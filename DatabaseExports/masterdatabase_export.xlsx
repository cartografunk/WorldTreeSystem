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orldtreecopinc.sharepoint.com/sites/Operations26/Shared Documents/WorldTreeSystem/DatabaseExports/"/>
    </mc:Choice>
  </mc:AlternateContent>
  <xr:revisionPtr revIDLastSave="735" documentId="11_562E1E1811FECC01F014DC90CC77B84D61BE1D32" xr6:coauthVersionLast="47" xr6:coauthVersionMax="47" xr10:uidLastSave="{6F46165F-6E6B-4EA7-8AF7-C6FD6BF079A7}"/>
  <bookViews>
    <workbookView xWindow="4005" yWindow="2445" windowWidth="28800" windowHeight="15345" tabRatio="740" firstSheet="1" activeTab="11" xr2:uid="{00000000-000D-0000-FFFF-FFFF00000000}"/>
  </bookViews>
  <sheets>
    <sheet name="Active Farmers Query" sheetId="1" r:id="rId1"/>
    <sheet name="cat_functions" sheetId="11" r:id="rId2"/>
    <sheet name="CTI" sheetId="2" r:id="rId3"/>
    <sheet name="FPI" sheetId="3" r:id="rId4"/>
    <sheet name="CA" sheetId="4" r:id="rId5"/>
    <sheet name="CRC" sheetId="13" r:id="rId6"/>
    <sheet name="IMC" sheetId="5" r:id="rId7"/>
    <sheet name="IM" sheetId="6" r:id="rId8"/>
    <sheet name="CR_summary" sheetId="7" r:id="rId9"/>
    <sheet name="CR_TS" sheetId="12" r:id="rId10"/>
    <sheet name="SMA" sheetId="8" r:id="rId11"/>
    <sheet name="master_inventories" sheetId="16" r:id="rId12"/>
  </sheets>
  <definedNames>
    <definedName name="_xlnm._FilterDatabase" localSheetId="8" hidden="1">CR_summary!$A$1:$N$424</definedName>
    <definedName name="_xlcn.WorksheetConnection_masterdatabase_export.xlsxTabla71" hidden="1">Tabla7[]</definedName>
  </definedNames>
  <calcPr calcId="191029"/>
  <pivotCaches>
    <pivotCache cacheId="0" r:id="rId13"/>
  </pivotCaches>
  <extLst>
    <ext xmlns:x15="http://schemas.microsoft.com/office/spreadsheetml/2010/11/main" uri="{FCE2AD5D-F65C-4FA6-A056-5C36A1767C68}">
      <x15:dataModel>
        <x15:modelTables>
          <x15:modelTable id="Tabla7" name="Tabla7" connection="WorksheetConnection_masterdatabase_export.xlsx!Tabla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3" i="4" l="1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72" i="4"/>
  <c r="E12" i="2"/>
  <c r="E13" i="2"/>
  <c r="E14" i="2"/>
  <c r="E16" i="2"/>
  <c r="E17" i="2"/>
  <c r="E18" i="2"/>
  <c r="E19" i="2"/>
  <c r="E20" i="2"/>
  <c r="E21" i="2"/>
  <c r="E22" i="2"/>
  <c r="E23" i="2"/>
  <c r="E25" i="2"/>
  <c r="E26" i="2"/>
  <c r="E27" i="2"/>
  <c r="E28" i="2"/>
  <c r="E29" i="2"/>
  <c r="E30" i="2"/>
  <c r="E32" i="2"/>
  <c r="E33" i="2"/>
  <c r="E34" i="2"/>
  <c r="E35" i="2"/>
  <c r="E36" i="2"/>
  <c r="E37" i="2"/>
  <c r="E38" i="2"/>
  <c r="E42" i="2"/>
  <c r="E43" i="2"/>
  <c r="E44" i="2"/>
  <c r="E45" i="2"/>
  <c r="E49" i="2"/>
  <c r="E52" i="2"/>
  <c r="E54" i="2"/>
  <c r="E59" i="2"/>
  <c r="E61" i="2"/>
  <c r="E65" i="2"/>
  <c r="E82" i="2"/>
  <c r="E90" i="2"/>
  <c r="E91" i="2"/>
  <c r="E96" i="2"/>
  <c r="E97" i="2"/>
  <c r="E101" i="2"/>
  <c r="E102" i="2"/>
  <c r="E104" i="2"/>
  <c r="E105" i="2"/>
  <c r="E106" i="2"/>
  <c r="E107" i="2"/>
  <c r="E125" i="2"/>
  <c r="E126" i="2"/>
  <c r="E127" i="2"/>
  <c r="E128" i="2"/>
  <c r="E131" i="2"/>
  <c r="E133" i="2"/>
  <c r="E136" i="2"/>
  <c r="E138" i="2"/>
  <c r="E140" i="2"/>
  <c r="E142" i="2"/>
  <c r="E143" i="2"/>
  <c r="E144" i="2"/>
  <c r="E145" i="2"/>
  <c r="E150" i="2"/>
  <c r="E172" i="2"/>
  <c r="E175" i="2"/>
  <c r="E177" i="2"/>
  <c r="E178" i="2"/>
  <c r="E179" i="2"/>
  <c r="E181" i="2"/>
  <c r="E182" i="2"/>
  <c r="E186" i="2"/>
  <c r="E187" i="2"/>
  <c r="E188" i="2"/>
  <c r="E191" i="2"/>
  <c r="E212" i="2"/>
  <c r="E216" i="2"/>
  <c r="E295" i="2"/>
  <c r="E303" i="2"/>
  <c r="E305" i="2"/>
  <c r="E306" i="2"/>
  <c r="E308" i="2"/>
  <c r="E309" i="2"/>
  <c r="E310" i="2"/>
  <c r="E311" i="2"/>
  <c r="E312" i="2"/>
  <c r="E313" i="2"/>
  <c r="E314" i="2"/>
  <c r="E319" i="2"/>
  <c r="E320" i="2"/>
  <c r="E326" i="2"/>
  <c r="E337" i="2"/>
  <c r="E339" i="2"/>
  <c r="E341" i="2"/>
  <c r="E346" i="2"/>
  <c r="E359" i="2"/>
  <c r="E365" i="2"/>
  <c r="E381" i="2"/>
  <c r="E382" i="2"/>
  <c r="E386" i="2"/>
  <c r="E398" i="2"/>
  <c r="E400" i="2"/>
  <c r="E401" i="2"/>
  <c r="E415" i="2"/>
  <c r="E15" i="2"/>
  <c r="E31" i="2"/>
  <c r="E173" i="2"/>
  <c r="E296" i="2"/>
  <c r="E300" i="2"/>
  <c r="E317" i="2"/>
  <c r="E329" i="2"/>
  <c r="Q15" i="2"/>
  <c r="Q31" i="2"/>
  <c r="Q130" i="2"/>
  <c r="Q137" i="2"/>
  <c r="Q158" i="2"/>
  <c r="Q166" i="2"/>
  <c r="Q173" i="2"/>
  <c r="Q270" i="2"/>
  <c r="Q296" i="2"/>
  <c r="Q300" i="2"/>
  <c r="Q317" i="2"/>
  <c r="Q329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71" i="2"/>
  <c r="P273" i="4" l="1" a="1"/>
  <c r="P273" i="4" s="1"/>
  <c r="L273" i="4" a="1"/>
  <c r="L273" i="4" s="1"/>
  <c r="M273" i="4" a="1"/>
  <c r="M273" i="4" s="1"/>
  <c r="N273" i="4" a="1"/>
  <c r="N273" i="4" s="1"/>
  <c r="O273" i="4" a="1"/>
  <c r="O273" i="4" s="1"/>
  <c r="P274" i="4" a="1"/>
  <c r="P274" i="4" s="1"/>
  <c r="L274" i="4" a="1"/>
  <c r="L274" i="4" s="1"/>
  <c r="M274" i="4" a="1"/>
  <c r="M274" i="4" s="1"/>
  <c r="N274" i="4" a="1"/>
  <c r="N274" i="4" s="1"/>
  <c r="O274" i="4" a="1"/>
  <c r="O274" i="4" s="1"/>
  <c r="P275" i="4" a="1"/>
  <c r="P275" i="4" s="1"/>
  <c r="L275" i="4" a="1"/>
  <c r="L275" i="4" s="1"/>
  <c r="M275" i="4" a="1"/>
  <c r="M275" i="4" s="1"/>
  <c r="N275" i="4" a="1"/>
  <c r="N275" i="4" s="1"/>
  <c r="O275" i="4" a="1"/>
  <c r="O275" i="4" s="1"/>
  <c r="O276" i="4" a="1"/>
  <c r="O276" i="4" s="1"/>
  <c r="P276" i="4" a="1"/>
  <c r="P276" i="4" s="1"/>
  <c r="M276" i="4" a="1"/>
  <c r="M276" i="4" s="1"/>
  <c r="L276" i="4" a="1"/>
  <c r="L276" i="4" s="1"/>
  <c r="N276" i="4" a="1"/>
  <c r="N276" i="4" s="1"/>
  <c r="P277" i="4" a="1"/>
  <c r="P277" i="4" s="1"/>
  <c r="L277" i="4" a="1"/>
  <c r="L277" i="4" s="1"/>
  <c r="N277" i="4" a="1"/>
  <c r="N277" i="4" s="1"/>
  <c r="O277" i="4" a="1"/>
  <c r="O277" i="4" s="1"/>
  <c r="M277" i="4" a="1"/>
  <c r="M277" i="4" s="1"/>
  <c r="P278" i="4" a="1"/>
  <c r="P278" i="4" s="1"/>
  <c r="L278" i="4" a="1"/>
  <c r="L278" i="4" s="1"/>
  <c r="O278" i="4" a="1"/>
  <c r="O278" i="4" s="1"/>
  <c r="N278" i="4" a="1"/>
  <c r="N278" i="4" s="1"/>
  <c r="M278" i="4" a="1"/>
  <c r="M278" i="4" s="1"/>
  <c r="N279" i="4" a="1"/>
  <c r="N279" i="4" s="1"/>
  <c r="L279" i="4" a="1"/>
  <c r="L279" i="4" s="1"/>
  <c r="P279" i="4" a="1"/>
  <c r="P279" i="4" s="1"/>
  <c r="O279" i="4" a="1"/>
  <c r="O279" i="4" s="1"/>
  <c r="M279" i="4" a="1"/>
  <c r="M279" i="4" s="1"/>
  <c r="N280" i="4" a="1"/>
  <c r="N280" i="4" s="1"/>
  <c r="O280" i="4" a="1"/>
  <c r="O280" i="4" s="1"/>
  <c r="P280" i="4" a="1"/>
  <c r="P280" i="4" s="1"/>
  <c r="L280" i="4" a="1"/>
  <c r="L280" i="4" s="1"/>
  <c r="M280" i="4" a="1"/>
  <c r="M280" i="4" s="1"/>
  <c r="N281" i="4" a="1"/>
  <c r="N281" i="4" s="1"/>
  <c r="M281" i="4" a="1"/>
  <c r="M281" i="4" s="1"/>
  <c r="L281" i="4" a="1"/>
  <c r="L281" i="4" s="1"/>
  <c r="P281" i="4" a="1"/>
  <c r="P281" i="4" s="1"/>
  <c r="O281" i="4" a="1"/>
  <c r="O281" i="4" s="1"/>
  <c r="N282" i="4" a="1"/>
  <c r="N282" i="4" s="1"/>
  <c r="P282" i="4" a="1"/>
  <c r="P282" i="4" s="1"/>
  <c r="L282" i="4" a="1"/>
  <c r="L282" i="4" s="1"/>
  <c r="O282" i="4" a="1"/>
  <c r="O282" i="4" s="1"/>
  <c r="M282" i="4" a="1"/>
  <c r="M282" i="4" s="1"/>
  <c r="N283" i="4" a="1"/>
  <c r="N283" i="4" s="1"/>
  <c r="L283" i="4" a="1"/>
  <c r="L283" i="4" s="1"/>
  <c r="P283" i="4" a="1"/>
  <c r="P283" i="4" s="1"/>
  <c r="O283" i="4" a="1"/>
  <c r="O283" i="4" s="1"/>
  <c r="M283" i="4" a="1"/>
  <c r="M283" i="4" s="1"/>
  <c r="L284" i="4" a="1"/>
  <c r="L284" i="4" s="1"/>
  <c r="N284" i="4" a="1"/>
  <c r="N284" i="4" s="1"/>
  <c r="P284" i="4" a="1"/>
  <c r="P284" i="4" s="1"/>
  <c r="O284" i="4" a="1"/>
  <c r="O284" i="4" s="1"/>
  <c r="M284" i="4" a="1"/>
  <c r="M284" i="4" s="1"/>
  <c r="N285" i="4" a="1"/>
  <c r="N285" i="4" s="1"/>
  <c r="O285" i="4" a="1"/>
  <c r="O285" i="4" s="1"/>
  <c r="L285" i="4" a="1"/>
  <c r="L285" i="4" s="1"/>
  <c r="P285" i="4" a="1"/>
  <c r="P285" i="4" s="1"/>
  <c r="M285" i="4" a="1"/>
  <c r="M285" i="4" s="1"/>
  <c r="O286" i="4" a="1"/>
  <c r="O286" i="4" s="1"/>
  <c r="P286" i="4" a="1"/>
  <c r="P286" i="4" s="1"/>
  <c r="L286" i="4" a="1"/>
  <c r="L286" i="4" s="1"/>
  <c r="N286" i="4" a="1"/>
  <c r="N286" i="4" s="1"/>
  <c r="M286" i="4" a="1"/>
  <c r="M286" i="4" s="1"/>
  <c r="O287" i="4" a="1"/>
  <c r="O287" i="4" s="1"/>
  <c r="P287" i="4" a="1"/>
  <c r="P287" i="4" s="1"/>
  <c r="N287" i="4" a="1"/>
  <c r="N287" i="4" s="1"/>
  <c r="L287" i="4" a="1"/>
  <c r="L287" i="4" s="1"/>
  <c r="M287" i="4" a="1"/>
  <c r="M287" i="4" s="1"/>
  <c r="L288" i="4" a="1"/>
  <c r="L288" i="4" s="1"/>
  <c r="O288" i="4" a="1"/>
  <c r="O288" i="4" s="1"/>
  <c r="P288" i="4" a="1"/>
  <c r="P288" i="4" s="1"/>
  <c r="N288" i="4" a="1"/>
  <c r="N288" i="4" s="1"/>
  <c r="M288" i="4" a="1"/>
  <c r="M288" i="4" s="1"/>
  <c r="O289" i="4" a="1"/>
  <c r="O289" i="4" s="1"/>
  <c r="N289" i="4" a="1"/>
  <c r="N289" i="4" s="1"/>
  <c r="P289" i="4" a="1"/>
  <c r="P289" i="4" s="1"/>
  <c r="L289" i="4" a="1"/>
  <c r="L289" i="4" s="1"/>
  <c r="M289" i="4" a="1"/>
  <c r="M289" i="4" s="1"/>
  <c r="O290" i="4" a="1"/>
  <c r="O290" i="4" s="1"/>
  <c r="P290" i="4" a="1"/>
  <c r="P290" i="4" s="1"/>
  <c r="L290" i="4" a="1"/>
  <c r="L290" i="4" s="1"/>
  <c r="N290" i="4" a="1"/>
  <c r="N290" i="4" s="1"/>
  <c r="M290" i="4" a="1"/>
  <c r="M290" i="4" s="1"/>
  <c r="O291" i="4" a="1"/>
  <c r="O291" i="4" s="1"/>
  <c r="N291" i="4" a="1"/>
  <c r="N291" i="4" s="1"/>
  <c r="P291" i="4" a="1"/>
  <c r="P291" i="4" s="1"/>
  <c r="L291" i="4" a="1"/>
  <c r="L291" i="4" s="1"/>
  <c r="M291" i="4" a="1"/>
  <c r="M291" i="4" s="1"/>
  <c r="P292" i="4" a="1"/>
  <c r="P292" i="4" s="1"/>
  <c r="N292" i="4" a="1"/>
  <c r="N292" i="4" s="1"/>
  <c r="M292" i="4" a="1"/>
  <c r="M292" i="4" s="1"/>
  <c r="L292" i="4" a="1"/>
  <c r="L292" i="4" s="1"/>
  <c r="O292" i="4" a="1"/>
  <c r="O292" i="4" s="1"/>
  <c r="O293" i="4" a="1"/>
  <c r="O293" i="4" s="1"/>
  <c r="N293" i="4" a="1"/>
  <c r="N293" i="4" s="1"/>
  <c r="P293" i="4" a="1"/>
  <c r="P293" i="4" s="1"/>
  <c r="M293" i="4" a="1"/>
  <c r="M293" i="4" s="1"/>
  <c r="L293" i="4" a="1"/>
  <c r="L293" i="4" s="1"/>
  <c r="L272" i="4" a="1"/>
  <c r="L272" i="4" s="1"/>
  <c r="P272" i="4" a="1"/>
  <c r="P272" i="4" s="1"/>
  <c r="K272" i="4" a="1"/>
  <c r="K272" i="4" s="1"/>
  <c r="O272" i="4" a="1"/>
  <c r="O272" i="4" s="1"/>
  <c r="N272" i="4" a="1"/>
  <c r="N272" i="4" s="1"/>
  <c r="M272" i="4" a="1"/>
  <c r="M27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B7CFF8-587B-4092-8546-D212C617713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87A5117-B7B5-4B4A-955B-60F2578EADC3}" name="WorksheetConnection_masterdatabase_export.xlsx!Tabla7" type="102" refreshedVersion="8" minRefreshableVersion="5">
    <extLst>
      <ext xmlns:x15="http://schemas.microsoft.com/office/spreadsheetml/2010/11/main" uri="{DE250136-89BD-433C-8126-D09CA5730AF9}">
        <x15:connection id="Tabla7" autoDelete="1">
          <x15:rangePr sourceName="_xlcn.WorksheetConnection_masterdatabase_export.xlsxTabla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<sst xmlns="http://schemas.openxmlformats.org/spreadsheetml/2006/main" count="20290" uniqueCount="4054">
  <si>
    <t>contract_code</t>
  </si>
  <si>
    <t>farmer_number</t>
  </si>
  <si>
    <t>contract_name</t>
  </si>
  <si>
    <t>representative</t>
  </si>
  <si>
    <t>status</t>
  </si>
  <si>
    <t>etp_year</t>
  </si>
  <si>
    <t>planted</t>
  </si>
  <si>
    <t>planting_obligation</t>
  </si>
  <si>
    <t>planting_year</t>
  </si>
  <si>
    <t>region</t>
  </si>
  <si>
    <t>species</t>
  </si>
  <si>
    <t>strain</t>
  </si>
  <si>
    <t>trees_contract</t>
  </si>
  <si>
    <t>planting_date</t>
  </si>
  <si>
    <t>inventory_date</t>
  </si>
  <si>
    <t>current_survival</t>
  </si>
  <si>
    <t>surviving_trees</t>
  </si>
  <si>
    <t>mean_dbh</t>
  </si>
  <si>
    <t>mean_height</t>
  </si>
  <si>
    <t>CR0001</t>
  </si>
  <si>
    <t>20001</t>
  </si>
  <si>
    <t>Cecilia Castillo Umaña</t>
  </si>
  <si>
    <t>Cecilia Sanders</t>
  </si>
  <si>
    <t>CR0002</t>
  </si>
  <si>
    <t>20002</t>
  </si>
  <si>
    <t>Coopedota</t>
  </si>
  <si>
    <t>CR0003</t>
  </si>
  <si>
    <t>20003</t>
  </si>
  <si>
    <t>Agricola Los Robles de Naranjo S.A</t>
  </si>
  <si>
    <t xml:space="preserve">Erasmo Aguilera </t>
  </si>
  <si>
    <t>CR0004</t>
  </si>
  <si>
    <t>20004</t>
  </si>
  <si>
    <t>Fernando Esteban Chacon</t>
  </si>
  <si>
    <t xml:space="preserve">Esteban Chacon </t>
  </si>
  <si>
    <t>CR0005</t>
  </si>
  <si>
    <t>20005</t>
  </si>
  <si>
    <t xml:space="preserve">ASESORIA DE EMPRESAS TONAL S A, </t>
  </si>
  <si>
    <t>Juan Luis  Chaves</t>
  </si>
  <si>
    <t>CR0006</t>
  </si>
  <si>
    <t>20006</t>
  </si>
  <si>
    <t>Jose Joaquin Montero Calderon</t>
  </si>
  <si>
    <t>Minor Montero</t>
  </si>
  <si>
    <t>CR0007</t>
  </si>
  <si>
    <t>20007</t>
  </si>
  <si>
    <t>Segrufor Segundo Grupo Forestal, S.A</t>
  </si>
  <si>
    <t>William Guiterrez</t>
  </si>
  <si>
    <t>CR0008</t>
  </si>
  <si>
    <t>20008</t>
  </si>
  <si>
    <t>Carlos Navarro</t>
  </si>
  <si>
    <t>CR0009</t>
  </si>
  <si>
    <t>20009</t>
  </si>
  <si>
    <t>Edgar Gutierrez</t>
  </si>
  <si>
    <t>David Gutierrez</t>
  </si>
  <si>
    <t>CR0010</t>
  </si>
  <si>
    <t>20010</t>
  </si>
  <si>
    <t>Edgar Ureña</t>
  </si>
  <si>
    <t>CR0011</t>
  </si>
  <si>
    <t>20011</t>
  </si>
  <si>
    <t>Fernando Altmann</t>
  </si>
  <si>
    <t>CR0012</t>
  </si>
  <si>
    <t>20012</t>
  </si>
  <si>
    <t>Sumava de Lourdes, R.L</t>
  </si>
  <si>
    <t>Francisco Mena</t>
  </si>
  <si>
    <t>CR0013</t>
  </si>
  <si>
    <t>20013</t>
  </si>
  <si>
    <t>Herberth Chacon</t>
  </si>
  <si>
    <t>CR0015</t>
  </si>
  <si>
    <t>CR0016</t>
  </si>
  <si>
    <t>20015</t>
  </si>
  <si>
    <t>Krzysztof Adamski</t>
  </si>
  <si>
    <t>CR0017</t>
  </si>
  <si>
    <t>20016</t>
  </si>
  <si>
    <t xml:space="preserve">Rojas y Pacheco S.R.L, </t>
  </si>
  <si>
    <t>Manuel Rojas</t>
  </si>
  <si>
    <t>CR0018</t>
  </si>
  <si>
    <t>20017</t>
  </si>
  <si>
    <t>Martin Gutierrez</t>
  </si>
  <si>
    <t>CR0019</t>
  </si>
  <si>
    <t>20018</t>
  </si>
  <si>
    <t>Miriam Mora Salazar</t>
  </si>
  <si>
    <t>Miguel Angel Cabezas</t>
  </si>
  <si>
    <t>CR0020</t>
  </si>
  <si>
    <t>20019</t>
  </si>
  <si>
    <t xml:space="preserve">Esteban Fernando Chacon </t>
  </si>
  <si>
    <t xml:space="preserve">Fernando Chacon </t>
  </si>
  <si>
    <t>CR0021</t>
  </si>
  <si>
    <t>20020</t>
  </si>
  <si>
    <t>Oscar Viquez,María Isabel Quesada Víquez, Eraida Quesada Víquez, Estelia Quesada Víquez</t>
  </si>
  <si>
    <t xml:space="preserve">Oscar Viquez </t>
  </si>
  <si>
    <t>CR0022</t>
  </si>
  <si>
    <t>20021</t>
  </si>
  <si>
    <t>Susy Calderon</t>
  </si>
  <si>
    <t>CR0023</t>
  </si>
  <si>
    <t>20022</t>
  </si>
  <si>
    <t>Carlos Hernandez</t>
  </si>
  <si>
    <t>CR0024</t>
  </si>
  <si>
    <t>20023</t>
  </si>
  <si>
    <t>Carlos Montero</t>
  </si>
  <si>
    <t>CR0025</t>
  </si>
  <si>
    <t>CR0026</t>
  </si>
  <si>
    <t>CR0027</t>
  </si>
  <si>
    <t>20024</t>
  </si>
  <si>
    <t>Eduardo Gurdian</t>
  </si>
  <si>
    <t>CR0028</t>
  </si>
  <si>
    <t>20025</t>
  </si>
  <si>
    <t>Juan Manuel Sanchez</t>
  </si>
  <si>
    <t>Edgardo Matamoros</t>
  </si>
  <si>
    <t>CR0029</t>
  </si>
  <si>
    <t>20026</t>
  </si>
  <si>
    <t>María Julia Ramirez</t>
  </si>
  <si>
    <t>CR0030</t>
  </si>
  <si>
    <t>20027</t>
  </si>
  <si>
    <t>Mayela Quesada</t>
  </si>
  <si>
    <t>CR0031</t>
  </si>
  <si>
    <t>CR0032</t>
  </si>
  <si>
    <t>20028</t>
  </si>
  <si>
    <t>Inversiones Los Alpinos S.A</t>
  </si>
  <si>
    <t>Rene Ceciliano</t>
  </si>
  <si>
    <t>CR0033</t>
  </si>
  <si>
    <t>20029</t>
  </si>
  <si>
    <t>Ricardo Simpson</t>
  </si>
  <si>
    <t>CR0034</t>
  </si>
  <si>
    <t>20030</t>
  </si>
  <si>
    <t>Richard Valverde</t>
  </si>
  <si>
    <t>CR0035</t>
  </si>
  <si>
    <t>20031</t>
  </si>
  <si>
    <t>Alex Donato Arguedas Arroyo</t>
  </si>
  <si>
    <t>CR0036</t>
  </si>
  <si>
    <t>20032</t>
  </si>
  <si>
    <t>El Edén de los Abarca S.A</t>
  </si>
  <si>
    <t>Alexander Abarca Ortega</t>
  </si>
  <si>
    <t>CR0037</t>
  </si>
  <si>
    <t>20033</t>
  </si>
  <si>
    <t>Hermanos Wolfe Arce S.A</t>
  </si>
  <si>
    <t>Ana Wolfe Arce</t>
  </si>
  <si>
    <t>CR0038</t>
  </si>
  <si>
    <t>20034</t>
  </si>
  <si>
    <t>Anastacio Castillo</t>
  </si>
  <si>
    <t>CR0039</t>
  </si>
  <si>
    <t>20035</t>
  </si>
  <si>
    <t>Ania Monge Chavarria </t>
  </si>
  <si>
    <t>Mauricio Alvarado</t>
  </si>
  <si>
    <t>CR0040</t>
  </si>
  <si>
    <t>20036</t>
  </si>
  <si>
    <t>Aracelly Sanchez Rojas</t>
  </si>
  <si>
    <t>Marco Pacheco</t>
  </si>
  <si>
    <t>CR0041</t>
  </si>
  <si>
    <t>20037</t>
  </si>
  <si>
    <t>Carlos Peña</t>
  </si>
  <si>
    <t>CR0042</t>
  </si>
  <si>
    <t>20038</t>
  </si>
  <si>
    <t>Didier Jose Alfaro Alvarado</t>
  </si>
  <si>
    <t>Didier Alfaro Alvarado</t>
  </si>
  <si>
    <t>CR0043</t>
  </si>
  <si>
    <t>20039</t>
  </si>
  <si>
    <t>Diego Gerardo Fernandez Barboza</t>
  </si>
  <si>
    <t>CR0044</t>
  </si>
  <si>
    <t>20040</t>
  </si>
  <si>
    <t>Diogenes Cubero</t>
  </si>
  <si>
    <t>CR0045</t>
  </si>
  <si>
    <t>20041</t>
  </si>
  <si>
    <t>Donald Diaz Rojas</t>
  </si>
  <si>
    <t>CR0046</t>
  </si>
  <si>
    <t>20042</t>
  </si>
  <si>
    <t>Elia Araya Guzman</t>
  </si>
  <si>
    <t>Enrique Quiroz</t>
  </si>
  <si>
    <t>CR0047</t>
  </si>
  <si>
    <t>20043</t>
  </si>
  <si>
    <t>Emidey Ramirez</t>
  </si>
  <si>
    <t>Francisco Ramirez</t>
  </si>
  <si>
    <t>CR0048</t>
  </si>
  <si>
    <t>20044</t>
  </si>
  <si>
    <t>El anillo de doña Emilia S.A</t>
  </si>
  <si>
    <t xml:space="preserve">Marijose Apestegui </t>
  </si>
  <si>
    <t>CR0049</t>
  </si>
  <si>
    <t>20045</t>
  </si>
  <si>
    <t>Gregorio Corella</t>
  </si>
  <si>
    <t>CR0050</t>
  </si>
  <si>
    <t>20046</t>
  </si>
  <si>
    <t xml:space="preserve">Ismael Chaves </t>
  </si>
  <si>
    <t>CR0051</t>
  </si>
  <si>
    <t>20047</t>
  </si>
  <si>
    <t>Jeison Espinoza</t>
  </si>
  <si>
    <t>CR0052</t>
  </si>
  <si>
    <t>20048</t>
  </si>
  <si>
    <t>Tengo Fuera S.A</t>
  </si>
  <si>
    <t>Jerry Myers</t>
  </si>
  <si>
    <t>CR0053</t>
  </si>
  <si>
    <t>20049</t>
  </si>
  <si>
    <t xml:space="preserve">Jose Eduardo Esquivel </t>
  </si>
  <si>
    <t>CR0054</t>
  </si>
  <si>
    <t>20050</t>
  </si>
  <si>
    <t>Karlos Bolaños</t>
  </si>
  <si>
    <t>CR0055</t>
  </si>
  <si>
    <t>20051</t>
  </si>
  <si>
    <t>Laura Blanco</t>
  </si>
  <si>
    <t>CR0056</t>
  </si>
  <si>
    <t>20052</t>
  </si>
  <si>
    <t>LKC Arrendamientos S.A</t>
  </si>
  <si>
    <t>Luis Alonso Salazar Rodriguez</t>
  </si>
  <si>
    <t>CR0057</t>
  </si>
  <si>
    <t>20053</t>
  </si>
  <si>
    <t>Marco Fiorio</t>
  </si>
  <si>
    <t>CR0058</t>
  </si>
  <si>
    <t>20054</t>
  </si>
  <si>
    <t>Marco Mora</t>
  </si>
  <si>
    <t>CR0059</t>
  </si>
  <si>
    <t>20055</t>
  </si>
  <si>
    <t>Marianela Campos Campos</t>
  </si>
  <si>
    <t>Marianela Campos</t>
  </si>
  <si>
    <t>CR0060</t>
  </si>
  <si>
    <t>20056</t>
  </si>
  <si>
    <t>Marleni Oporta Castillo</t>
  </si>
  <si>
    <t>CR0061</t>
  </si>
  <si>
    <t>CR0062</t>
  </si>
  <si>
    <t>20057</t>
  </si>
  <si>
    <t>Mercedez Barboza</t>
  </si>
  <si>
    <t>Mercedes Barboza</t>
  </si>
  <si>
    <t>CR0063</t>
  </si>
  <si>
    <t>20058</t>
  </si>
  <si>
    <t>Olger Monge</t>
  </si>
  <si>
    <t>CR0064</t>
  </si>
  <si>
    <t>20059</t>
  </si>
  <si>
    <t>Oswaldo Alvarez</t>
  </si>
  <si>
    <t>Marvin Chavarria</t>
  </si>
  <si>
    <t>CR0065</t>
  </si>
  <si>
    <t>20060</t>
  </si>
  <si>
    <t>Roy Damian Campos</t>
  </si>
  <si>
    <t>CR0066</t>
  </si>
  <si>
    <t>20061</t>
  </si>
  <si>
    <t>AGRICOLA BUENA VISTA EL ALTO S.A</t>
  </si>
  <si>
    <t>Victor Godinez</t>
  </si>
  <si>
    <t>CR0067</t>
  </si>
  <si>
    <t>20062</t>
  </si>
  <si>
    <t>Victor Sibaja Elizondo</t>
  </si>
  <si>
    <t>CR0068</t>
  </si>
  <si>
    <t>20063</t>
  </si>
  <si>
    <t>Wilberth Jesus Alfaro</t>
  </si>
  <si>
    <t>CR0069</t>
  </si>
  <si>
    <t>20064</t>
  </si>
  <si>
    <t>Wilman Alvarado</t>
  </si>
  <si>
    <t>CR0070</t>
  </si>
  <si>
    <t>20065</t>
  </si>
  <si>
    <t>Alfonso Carranza</t>
  </si>
  <si>
    <t>CR0071</t>
  </si>
  <si>
    <t>CR0072</t>
  </si>
  <si>
    <t>20066</t>
  </si>
  <si>
    <t>Colegio Tecnico Ricardo Beer</t>
  </si>
  <si>
    <t>Christian Miranda</t>
  </si>
  <si>
    <t>CR0073</t>
  </si>
  <si>
    <t>20067</t>
  </si>
  <si>
    <t>Geiner Araya Guzman</t>
  </si>
  <si>
    <t>CR0074</t>
  </si>
  <si>
    <t>20068</t>
  </si>
  <si>
    <t>Ubuntu GH  S.A</t>
  </si>
  <si>
    <t xml:space="preserve">Luis Alonso Garita Hidalgo </t>
  </si>
  <si>
    <t>CR0075</t>
  </si>
  <si>
    <t>20069</t>
  </si>
  <si>
    <t>Oldemar Perez</t>
  </si>
  <si>
    <t>CR0076</t>
  </si>
  <si>
    <t>20070</t>
  </si>
  <si>
    <t xml:space="preserve">Olga Chavarria </t>
  </si>
  <si>
    <t>CR0077</t>
  </si>
  <si>
    <t>20071</t>
  </si>
  <si>
    <t>Rafael Quiroz</t>
  </si>
  <si>
    <t>CR0078</t>
  </si>
  <si>
    <t>20072</t>
  </si>
  <si>
    <t>Xinia Moya</t>
  </si>
  <si>
    <t>CR0079</t>
  </si>
  <si>
    <t>20073</t>
  </si>
  <si>
    <t>Dennis Cordoba</t>
  </si>
  <si>
    <t>CR0080</t>
  </si>
  <si>
    <t>20074</t>
  </si>
  <si>
    <t>Carlos Batalla</t>
  </si>
  <si>
    <t>CR0081</t>
  </si>
  <si>
    <t>20075</t>
  </si>
  <si>
    <t>Corporacion Lummal S.A</t>
  </si>
  <si>
    <t>Carlos Castro Solano</t>
  </si>
  <si>
    <t>CR0082</t>
  </si>
  <si>
    <t>20076</t>
  </si>
  <si>
    <t>Carlos Luis Arias</t>
  </si>
  <si>
    <t>Gustavo Arias</t>
  </si>
  <si>
    <t>CR0083</t>
  </si>
  <si>
    <t>CR0084</t>
  </si>
  <si>
    <t>20077</t>
  </si>
  <si>
    <t>Carmelita Soto</t>
  </si>
  <si>
    <t>CR0085</t>
  </si>
  <si>
    <t>CR0086</t>
  </si>
  <si>
    <t>20078</t>
  </si>
  <si>
    <t xml:space="preserve">Edgar Chinchilla Quesada </t>
  </si>
  <si>
    <t>Agner Chinchlla</t>
  </si>
  <si>
    <t>CR0087</t>
  </si>
  <si>
    <t>20079</t>
  </si>
  <si>
    <t>Beneficio La Guaria S.A</t>
  </si>
  <si>
    <t>Francisco Flores</t>
  </si>
  <si>
    <t>CR0088</t>
  </si>
  <si>
    <t>20080</t>
  </si>
  <si>
    <t>Greivin Cordero</t>
  </si>
  <si>
    <t>Leonardo Cordero</t>
  </si>
  <si>
    <t>CR0089</t>
  </si>
  <si>
    <t>20081</t>
  </si>
  <si>
    <t>Miguel Corrales Venegas</t>
  </si>
  <si>
    <t>CR0090</t>
  </si>
  <si>
    <t>20082</t>
  </si>
  <si>
    <t>Omar Cascante</t>
  </si>
  <si>
    <t>CR0091</t>
  </si>
  <si>
    <t>20083</t>
  </si>
  <si>
    <t>William Mora</t>
  </si>
  <si>
    <t>CR0092</t>
  </si>
  <si>
    <t>20084</t>
  </si>
  <si>
    <t>Christian Araya</t>
  </si>
  <si>
    <t>CR0093</t>
  </si>
  <si>
    <t>20085</t>
  </si>
  <si>
    <t>Orsom Proyect S.A</t>
  </si>
  <si>
    <t>Roberto Solis</t>
  </si>
  <si>
    <t>CR0094</t>
  </si>
  <si>
    <t>20086</t>
  </si>
  <si>
    <t>Carlos Roberto Solis</t>
  </si>
  <si>
    <t>Mauro Solis</t>
  </si>
  <si>
    <t>CR0095</t>
  </si>
  <si>
    <t>20087</t>
  </si>
  <si>
    <t>Coopronaranjo R.L</t>
  </si>
  <si>
    <t>Mario Rodriguez</t>
  </si>
  <si>
    <t>CR0096</t>
  </si>
  <si>
    <t>20088</t>
  </si>
  <si>
    <t>Daniel Ureña</t>
  </si>
  <si>
    <t>CR0097</t>
  </si>
  <si>
    <t>20089</t>
  </si>
  <si>
    <t>Alvaro Vargas</t>
  </si>
  <si>
    <t>CR0098</t>
  </si>
  <si>
    <t>20090</t>
  </si>
  <si>
    <t>Grettel Jara Lara</t>
  </si>
  <si>
    <t>Jacobo Pardo Jara</t>
  </si>
  <si>
    <t>CR0099</t>
  </si>
  <si>
    <t>20091</t>
  </si>
  <si>
    <t>Jose Francisco Angulo</t>
  </si>
  <si>
    <t>CR0100</t>
  </si>
  <si>
    <t>20092</t>
  </si>
  <si>
    <t>Samule Wards</t>
  </si>
  <si>
    <t>Samuel Wards</t>
  </si>
  <si>
    <t>CR0101</t>
  </si>
  <si>
    <t>20093</t>
  </si>
  <si>
    <t>Tecamachalco S.A</t>
  </si>
  <si>
    <t>Leonardo Barquero</t>
  </si>
  <si>
    <t>CR0102</t>
  </si>
  <si>
    <t>20094</t>
  </si>
  <si>
    <t>Karen Vargas Fernandez y William Romero Fernandez</t>
  </si>
  <si>
    <t>William Romero</t>
  </si>
  <si>
    <t>CR0103</t>
  </si>
  <si>
    <t>20095</t>
  </si>
  <si>
    <t>Himalaya Verde  LTDA</t>
  </si>
  <si>
    <t>Jorge Alberto Cole</t>
  </si>
  <si>
    <t>CR0104</t>
  </si>
  <si>
    <t>20096</t>
  </si>
  <si>
    <t>Jose Manuel Ruiz</t>
  </si>
  <si>
    <t>Emmanuel Manuel Ruiz</t>
  </si>
  <si>
    <t>CR0105</t>
  </si>
  <si>
    <t>20097</t>
  </si>
  <si>
    <t>Johaner Rosales Flores</t>
  </si>
  <si>
    <t>CR0106</t>
  </si>
  <si>
    <t>20098</t>
  </si>
  <si>
    <t>Eduardo Trejos</t>
  </si>
  <si>
    <t>CR0107</t>
  </si>
  <si>
    <t>20099</t>
  </si>
  <si>
    <t>Rodrigo Mora</t>
  </si>
  <si>
    <t>CR0108</t>
  </si>
  <si>
    <t>20100</t>
  </si>
  <si>
    <t>Leidy Judith de la Trinidad Villalobos Arias, Carolina Castro</t>
  </si>
  <si>
    <t>Andrey Castro</t>
  </si>
  <si>
    <t>CR0109</t>
  </si>
  <si>
    <t>20101</t>
  </si>
  <si>
    <t>Carlos Garcia</t>
  </si>
  <si>
    <t>CR0110</t>
  </si>
  <si>
    <t>CR0111</t>
  </si>
  <si>
    <t>20102</t>
  </si>
  <si>
    <t>Ricardo Blanco</t>
  </si>
  <si>
    <t>CR0112</t>
  </si>
  <si>
    <t>20103</t>
  </si>
  <si>
    <t>Manfred Goyenaga Rodriguez</t>
  </si>
  <si>
    <t>Manfred Goyenaga</t>
  </si>
  <si>
    <t>GT0001</t>
  </si>
  <si>
    <t>30001</t>
  </si>
  <si>
    <t>Ada Patricia Scheel Bartlett</t>
  </si>
  <si>
    <t>GT0002</t>
  </si>
  <si>
    <t>30002</t>
  </si>
  <si>
    <t>Christopher Michael Schwart Marklan</t>
  </si>
  <si>
    <t>GT0003</t>
  </si>
  <si>
    <t>30003</t>
  </si>
  <si>
    <t>Edgar Rodolfo Grisolia</t>
  </si>
  <si>
    <t>GT0004</t>
  </si>
  <si>
    <t>30004</t>
  </si>
  <si>
    <t>Jorge Guillermo Castillo Mastahinich</t>
  </si>
  <si>
    <t>GT0005</t>
  </si>
  <si>
    <t>30005</t>
  </si>
  <si>
    <t>Jose Antonio Mombiela Mastahinich</t>
  </si>
  <si>
    <t>GT0006</t>
  </si>
  <si>
    <t>30006</t>
  </si>
  <si>
    <t>Luis Fernando Morán Peréz</t>
  </si>
  <si>
    <t>GT0007</t>
  </si>
  <si>
    <t>30007</t>
  </si>
  <si>
    <t>Miguel Roberto Mombiela Bruni</t>
  </si>
  <si>
    <t>GT0008</t>
  </si>
  <si>
    <t>30008</t>
  </si>
  <si>
    <t>Pablo Antonio Castillo Mastahinich</t>
  </si>
  <si>
    <t>GT0009</t>
  </si>
  <si>
    <t>30009</t>
  </si>
  <si>
    <t xml:space="preserve">Pedro Antonio Mombiela De León </t>
  </si>
  <si>
    <t>GT0010</t>
  </si>
  <si>
    <t>30010</t>
  </si>
  <si>
    <t>Pedro Maximiliano Mombiela De Leon</t>
  </si>
  <si>
    <t>GT0011</t>
  </si>
  <si>
    <t>30011</t>
  </si>
  <si>
    <t>Rudy Israel Cienfuegos Cordón</t>
  </si>
  <si>
    <t xml:space="preserve">Erick Cienfuegos </t>
  </si>
  <si>
    <t>GT0012</t>
  </si>
  <si>
    <t>30012</t>
  </si>
  <si>
    <t>Alvaro Antonio Guzman Rodas</t>
  </si>
  <si>
    <t>GT0013</t>
  </si>
  <si>
    <t>30013</t>
  </si>
  <si>
    <t>Axel Gamaliel Duarte Duarte</t>
  </si>
  <si>
    <t>Axel Duarte Duarte</t>
  </si>
  <si>
    <t>GT0014</t>
  </si>
  <si>
    <t>30014</t>
  </si>
  <si>
    <t>Borigar S.A. Carmen Lucía Garza López</t>
  </si>
  <si>
    <t>Boris Garza</t>
  </si>
  <si>
    <t>GT0015</t>
  </si>
  <si>
    <t>30015</t>
  </si>
  <si>
    <t>Carlos Adolfo López Letona</t>
  </si>
  <si>
    <t>GT0016</t>
  </si>
  <si>
    <t>30016</t>
  </si>
  <si>
    <t xml:space="preserve">Cartago S.A./ Elsa De Chacón </t>
  </si>
  <si>
    <t>Ricardo Chacón</t>
  </si>
  <si>
    <t>GT0017</t>
  </si>
  <si>
    <t>30017</t>
  </si>
  <si>
    <t>David Horacio Estrada Jeréz</t>
  </si>
  <si>
    <t>GT0018</t>
  </si>
  <si>
    <t>30018</t>
  </si>
  <si>
    <t>Emilia Beatriz Lopez Letona</t>
  </si>
  <si>
    <t>Carlos López</t>
  </si>
  <si>
    <t>GT0019</t>
  </si>
  <si>
    <t>30019</t>
  </si>
  <si>
    <t>Emilsa Natalia Guzman Leiva</t>
  </si>
  <si>
    <t>Hamblin Duarte</t>
  </si>
  <si>
    <t>GT0020</t>
  </si>
  <si>
    <t>30020</t>
  </si>
  <si>
    <t>Giovanni Musella</t>
  </si>
  <si>
    <t>GT0021</t>
  </si>
  <si>
    <t>30021</t>
  </si>
  <si>
    <t>Jaime Rolando Maximino Perez Hernández</t>
  </si>
  <si>
    <t>GT0022</t>
  </si>
  <si>
    <t>GT0023</t>
  </si>
  <si>
    <t>30022</t>
  </si>
  <si>
    <t>José Francisco Castillo Vásquez</t>
  </si>
  <si>
    <t>GT0024a</t>
  </si>
  <si>
    <t>30023</t>
  </si>
  <si>
    <t>Julio Francisco Morán Pérez</t>
  </si>
  <si>
    <t>GT0024b</t>
  </si>
  <si>
    <t>GT0025</t>
  </si>
  <si>
    <t>30024</t>
  </si>
  <si>
    <t>Marvin Rodolfo Porras Calderón</t>
  </si>
  <si>
    <t>GT0026</t>
  </si>
  <si>
    <t>30025</t>
  </si>
  <si>
    <t>Olga Victoria Herrera Sanjuan</t>
  </si>
  <si>
    <t>Pablo Castillo (Novio Laura María Morán)</t>
  </si>
  <si>
    <t>GT0027</t>
  </si>
  <si>
    <t>30026</t>
  </si>
  <si>
    <t>Richard Steven Callaway Ayau</t>
  </si>
  <si>
    <t>Richard Steven Callaway Ayau - Eco Energía H20</t>
  </si>
  <si>
    <t>GT0028</t>
  </si>
  <si>
    <t>30027</t>
  </si>
  <si>
    <t>Rolando Chinchilla Buezo</t>
  </si>
  <si>
    <t>GT0029</t>
  </si>
  <si>
    <t>GT0030</t>
  </si>
  <si>
    <t>GT0031a</t>
  </si>
  <si>
    <t>30028</t>
  </si>
  <si>
    <t>Agroindustrias Nativa S.A./Derek José Herman Gordillo</t>
  </si>
  <si>
    <t>Derek José Herman Gordillo</t>
  </si>
  <si>
    <t>GT0031b</t>
  </si>
  <si>
    <t>GT0031c</t>
  </si>
  <si>
    <t>GT0032</t>
  </si>
  <si>
    <t>GT0033</t>
  </si>
  <si>
    <t>GT0034</t>
  </si>
  <si>
    <t>30029</t>
  </si>
  <si>
    <t>Edin Leonel Chávez Rodriguez</t>
  </si>
  <si>
    <t>GT0035</t>
  </si>
  <si>
    <t>30030</t>
  </si>
  <si>
    <t>El Paste S.A./Elisa Janeth Salguero Pineda De Gordillo</t>
  </si>
  <si>
    <t>Sergio Gordillo</t>
  </si>
  <si>
    <t>GT0036</t>
  </si>
  <si>
    <t>30031</t>
  </si>
  <si>
    <t>Eloisa Amparo García Barrios</t>
  </si>
  <si>
    <t>Edilsar García</t>
  </si>
  <si>
    <t>GT0037</t>
  </si>
  <si>
    <t>30032</t>
  </si>
  <si>
    <t>Jorge Mario De León Alconero</t>
  </si>
  <si>
    <t>GT0038</t>
  </si>
  <si>
    <t>GT0039</t>
  </si>
  <si>
    <t>GT0040</t>
  </si>
  <si>
    <t>GT0041</t>
  </si>
  <si>
    <t>30033</t>
  </si>
  <si>
    <t>Trapiche de la Vega Sociedad Anónima / Walesca María Isabel Agüero Urruela de Maegli</t>
  </si>
  <si>
    <t>Trapiche de la Vega S.A. /María Isabel Agüero</t>
  </si>
  <si>
    <t>GT0042</t>
  </si>
  <si>
    <t>GT0043</t>
  </si>
  <si>
    <t>GT0044</t>
  </si>
  <si>
    <t>GT0045</t>
  </si>
  <si>
    <t>MX0001</t>
  </si>
  <si>
    <t>40001</t>
  </si>
  <si>
    <t>Jose Angel Hurtado Márquez</t>
  </si>
  <si>
    <t>MX0002</t>
  </si>
  <si>
    <t>40002</t>
  </si>
  <si>
    <t>José Francisco Sánchez Rojas</t>
  </si>
  <si>
    <t>MX0003</t>
  </si>
  <si>
    <t>40003</t>
  </si>
  <si>
    <t>Ana Paulina Hurtado Castro</t>
  </si>
  <si>
    <t>MX0004</t>
  </si>
  <si>
    <t>40004</t>
  </si>
  <si>
    <t>Aniceto Ramírez Flores and  Gilberto Hernandez Ayala</t>
  </si>
  <si>
    <t>Felipe Ramirez Flores</t>
  </si>
  <si>
    <t>MX0005</t>
  </si>
  <si>
    <t>40005</t>
  </si>
  <si>
    <t>Arturo Arguelles Barradas</t>
  </si>
  <si>
    <t>MX0006</t>
  </si>
  <si>
    <t>40006</t>
  </si>
  <si>
    <t>Cesar Aaron Olquin Jimenez</t>
  </si>
  <si>
    <t>MX0007</t>
  </si>
  <si>
    <t>MX0008</t>
  </si>
  <si>
    <t>40007</t>
  </si>
  <si>
    <t>Dionicio Mendoza Rinconcillo</t>
  </si>
  <si>
    <t>Heriberto Mendoza Villegas</t>
  </si>
  <si>
    <t>MX0009</t>
  </si>
  <si>
    <t>40008</t>
  </si>
  <si>
    <t>Dolores Ramirez Rodriguez</t>
  </si>
  <si>
    <t>MX0010</t>
  </si>
  <si>
    <t>40009</t>
  </si>
  <si>
    <t>Jesus Enriquez Magana</t>
  </si>
  <si>
    <t>Víctor Manuel Godínez Martínez</t>
  </si>
  <si>
    <t>MX0011</t>
  </si>
  <si>
    <t>40010</t>
  </si>
  <si>
    <t>Miguel Angel García Torres</t>
  </si>
  <si>
    <t>Jose Dolores Hugo Torres Hernandez</t>
  </si>
  <si>
    <t>MX0012</t>
  </si>
  <si>
    <t>40011</t>
  </si>
  <si>
    <t>Juan Carlos Cardoso Vargas</t>
  </si>
  <si>
    <t>MX0013</t>
  </si>
  <si>
    <t>40012</t>
  </si>
  <si>
    <t>Juan Chavez Calderon</t>
  </si>
  <si>
    <t>MX0014</t>
  </si>
  <si>
    <t>40013</t>
  </si>
  <si>
    <t>Juan Luis Villeda Gayosso</t>
  </si>
  <si>
    <t>Norma Pérez González</t>
  </si>
  <si>
    <t>MX0015</t>
  </si>
  <si>
    <t>40014</t>
  </si>
  <si>
    <t>Lucila Morales Druallet</t>
  </si>
  <si>
    <t>MX0016</t>
  </si>
  <si>
    <t>40015</t>
  </si>
  <si>
    <t>Miguel Angel Parada Fuentes</t>
  </si>
  <si>
    <t>MX0017</t>
  </si>
  <si>
    <t>40016</t>
  </si>
  <si>
    <t>Modesto Negrete Almeida</t>
  </si>
  <si>
    <t>MX0018</t>
  </si>
  <si>
    <t>40017</t>
  </si>
  <si>
    <t>Omar Ulises Guerrero Aboytes</t>
  </si>
  <si>
    <t>MX0019</t>
  </si>
  <si>
    <t>40018</t>
  </si>
  <si>
    <t>Rogelio Rizo Velázquez</t>
  </si>
  <si>
    <t>MX0020</t>
  </si>
  <si>
    <t>40019</t>
  </si>
  <si>
    <t>Victor Manuel Godinez Martinez</t>
  </si>
  <si>
    <t>MX0021</t>
  </si>
  <si>
    <t>40020</t>
  </si>
  <si>
    <t>Alvaro Hernandez Suarez</t>
  </si>
  <si>
    <t>MX0022</t>
  </si>
  <si>
    <t>40021</t>
  </si>
  <si>
    <t>Gregorio Martinez Sebastian</t>
  </si>
  <si>
    <t>MX0023</t>
  </si>
  <si>
    <t>40022</t>
  </si>
  <si>
    <t>Guadelupe Morales Cordova</t>
  </si>
  <si>
    <t>MX0024</t>
  </si>
  <si>
    <t>40023</t>
  </si>
  <si>
    <t>Mayolo Rodríguez Mendoza</t>
  </si>
  <si>
    <t>José Baruche Rodríguez Zuñiga</t>
  </si>
  <si>
    <t>MX0025</t>
  </si>
  <si>
    <t>40024</t>
  </si>
  <si>
    <t>Teresa Morales Román</t>
  </si>
  <si>
    <t>Francisco Crivelli</t>
  </si>
  <si>
    <t>MX0026</t>
  </si>
  <si>
    <t>40025</t>
  </si>
  <si>
    <t>Caralampio Arreola López</t>
  </si>
  <si>
    <t>MX0027</t>
  </si>
  <si>
    <t>40026</t>
  </si>
  <si>
    <t>Carlos Carbajal Gutiérrez</t>
  </si>
  <si>
    <t>MX0028</t>
  </si>
  <si>
    <t>40027</t>
  </si>
  <si>
    <t>Cirilo Carbajal Hernandez</t>
  </si>
  <si>
    <t>MX0029</t>
  </si>
  <si>
    <t>40028</t>
  </si>
  <si>
    <t>Francisco Contreras</t>
  </si>
  <si>
    <t>MX0030</t>
  </si>
  <si>
    <t>40029</t>
  </si>
  <si>
    <t>Heradio Hernandez Jimenez</t>
  </si>
  <si>
    <t>Heradio Hernandez Jímenez</t>
  </si>
  <si>
    <t>MX0031</t>
  </si>
  <si>
    <t>40030</t>
  </si>
  <si>
    <t>Jesus Rauda Gutierrez</t>
  </si>
  <si>
    <t>MX0032</t>
  </si>
  <si>
    <t>40031</t>
  </si>
  <si>
    <t>Jose Armando Carbajal Ocampo</t>
  </si>
  <si>
    <t>MX0033</t>
  </si>
  <si>
    <t>40032</t>
  </si>
  <si>
    <t>Lucas Raudas Guitierrez</t>
  </si>
  <si>
    <t>MX0034</t>
  </si>
  <si>
    <t>40033</t>
  </si>
  <si>
    <t>Pedro Molina Sánchez</t>
  </si>
  <si>
    <t>MX0035</t>
  </si>
  <si>
    <t>40034</t>
  </si>
  <si>
    <t>Rafael Hernández Hernández</t>
  </si>
  <si>
    <t>MX0036</t>
  </si>
  <si>
    <t>40035</t>
  </si>
  <si>
    <t>Tito Soria Pérez</t>
  </si>
  <si>
    <t>MX0037</t>
  </si>
  <si>
    <t>40036</t>
  </si>
  <si>
    <t>Ubaldo Guillermo Pérez Cruz</t>
  </si>
  <si>
    <t>MX0038</t>
  </si>
  <si>
    <t>40037</t>
  </si>
  <si>
    <t>Abraham Arreola Salto</t>
  </si>
  <si>
    <t>MX0039</t>
  </si>
  <si>
    <t>40038</t>
  </si>
  <si>
    <t>Agustín Ayala Torres</t>
  </si>
  <si>
    <t>MX0040</t>
  </si>
  <si>
    <t>40039</t>
  </si>
  <si>
    <t>Angela Lopez Cruz</t>
  </si>
  <si>
    <t>Angela López Cruz</t>
  </si>
  <si>
    <t>MX0041</t>
  </si>
  <si>
    <t>40040</t>
  </si>
  <si>
    <t>Aquiles Augusto Del Río Radilla</t>
  </si>
  <si>
    <t>MX0042</t>
  </si>
  <si>
    <t>MX0043</t>
  </si>
  <si>
    <t>MX0044</t>
  </si>
  <si>
    <t>40041</t>
  </si>
  <si>
    <t>Eduardo Romero Aguilar</t>
  </si>
  <si>
    <t>MX0045</t>
  </si>
  <si>
    <t>40042</t>
  </si>
  <si>
    <t>Juan Ramón Aguilar Rodríguez</t>
  </si>
  <si>
    <t>MX0046</t>
  </si>
  <si>
    <t>40043</t>
  </si>
  <si>
    <t>Lorenzo Rodríguez Osorio</t>
  </si>
  <si>
    <t>MX0047</t>
  </si>
  <si>
    <t>40044</t>
  </si>
  <si>
    <t>Moisés Jacinto Felipe</t>
  </si>
  <si>
    <t>MX0048</t>
  </si>
  <si>
    <t>MX0049</t>
  </si>
  <si>
    <t>40045</t>
  </si>
  <si>
    <t>Roberta Felipe Cruz</t>
  </si>
  <si>
    <t>MX0050</t>
  </si>
  <si>
    <t>40046</t>
  </si>
  <si>
    <t>Sofía Bautista Bustos</t>
  </si>
  <si>
    <t>MX0051</t>
  </si>
  <si>
    <t>MX0052</t>
  </si>
  <si>
    <t>40047</t>
  </si>
  <si>
    <t>Victorico Ortega Cohetero</t>
  </si>
  <si>
    <t>MX0053</t>
  </si>
  <si>
    <t>40048</t>
  </si>
  <si>
    <t>Alfonso Juan Durán</t>
  </si>
  <si>
    <t>MX0054</t>
  </si>
  <si>
    <t>40049</t>
  </si>
  <si>
    <t>Virginia Torrecilla Castillo</t>
  </si>
  <si>
    <t>MX0055</t>
  </si>
  <si>
    <t>40050</t>
  </si>
  <si>
    <t>Venustiano Lino Sisto</t>
  </si>
  <si>
    <t>Casto De la Cruz Francisco</t>
  </si>
  <si>
    <t>MX0056</t>
  </si>
  <si>
    <t>40051</t>
  </si>
  <si>
    <t>Tomás García Rodríguez</t>
  </si>
  <si>
    <t>MX0057</t>
  </si>
  <si>
    <t>40052</t>
  </si>
  <si>
    <t>Reyna Rangel Cruz</t>
  </si>
  <si>
    <t>MX0058</t>
  </si>
  <si>
    <t>40053</t>
  </si>
  <si>
    <t>Miguel Felipe Mauro</t>
  </si>
  <si>
    <t>MX0059</t>
  </si>
  <si>
    <t>40054</t>
  </si>
  <si>
    <t>Mauricio Maya Chávez</t>
  </si>
  <si>
    <t>MX0060</t>
  </si>
  <si>
    <t>MX0061</t>
  </si>
  <si>
    <t>40056</t>
  </si>
  <si>
    <t>MX0062</t>
  </si>
  <si>
    <t>40057</t>
  </si>
  <si>
    <t>Justino Cruz Mendoza</t>
  </si>
  <si>
    <t>Justino Cruz</t>
  </si>
  <si>
    <t>MX0063</t>
  </si>
  <si>
    <t>40058</t>
  </si>
  <si>
    <t xml:space="preserve">José Pastor Gutiérrez Rodríguez </t>
  </si>
  <si>
    <t>MX0064</t>
  </si>
  <si>
    <t>MX0065</t>
  </si>
  <si>
    <t>40060</t>
  </si>
  <si>
    <t>José Becerra García</t>
  </si>
  <si>
    <t>MX0066</t>
  </si>
  <si>
    <t>40061</t>
  </si>
  <si>
    <t>Irma García Camacho</t>
  </si>
  <si>
    <t>MX0067</t>
  </si>
  <si>
    <t>40062</t>
  </si>
  <si>
    <t>Félix Álvarez Vázquez</t>
  </si>
  <si>
    <t>MX0068</t>
  </si>
  <si>
    <t>40063</t>
  </si>
  <si>
    <t>Facundo Medina Delgado</t>
  </si>
  <si>
    <t>MX0069</t>
  </si>
  <si>
    <t>MX0070</t>
  </si>
  <si>
    <t>40065</t>
  </si>
  <si>
    <t>Eugenia Vargas Hernández</t>
  </si>
  <si>
    <t>MX0071</t>
  </si>
  <si>
    <t>40066</t>
  </si>
  <si>
    <t>Emma Barrios Goméz</t>
  </si>
  <si>
    <t>MX0072</t>
  </si>
  <si>
    <t>40067</t>
  </si>
  <si>
    <t>Ciro Martínez Gutiérrez</t>
  </si>
  <si>
    <t>MX0073</t>
  </si>
  <si>
    <t>MX0074</t>
  </si>
  <si>
    <t>40069</t>
  </si>
  <si>
    <t>Carolina García García</t>
  </si>
  <si>
    <t>MX0075</t>
  </si>
  <si>
    <t>40070</t>
  </si>
  <si>
    <t>Calixtro Cruz Silva</t>
  </si>
  <si>
    <t>MX0076</t>
  </si>
  <si>
    <t>40071</t>
  </si>
  <si>
    <t>Benita Rendón Ambrocio</t>
  </si>
  <si>
    <t>MX0077</t>
  </si>
  <si>
    <t>40072</t>
  </si>
  <si>
    <t>Rosario Sánchez Miravete</t>
  </si>
  <si>
    <t>Rosario Sánchez</t>
  </si>
  <si>
    <t>MX0078</t>
  </si>
  <si>
    <t>40073</t>
  </si>
  <si>
    <t>Rubén Fernández Méndez</t>
  </si>
  <si>
    <t>MX0079</t>
  </si>
  <si>
    <t>40074</t>
  </si>
  <si>
    <t>Marcelo Sánchez Miravete</t>
  </si>
  <si>
    <t>MX0080</t>
  </si>
  <si>
    <t>40075</t>
  </si>
  <si>
    <t>Leonel Mendoza Moreno</t>
  </si>
  <si>
    <t>María Álvarez Rivera</t>
  </si>
  <si>
    <t>MX0081</t>
  </si>
  <si>
    <t>40076</t>
  </si>
  <si>
    <t>Francisco Ramírez Zamorano</t>
  </si>
  <si>
    <t>MX0082</t>
  </si>
  <si>
    <t>40077</t>
  </si>
  <si>
    <t>Angel Gomez Mendez</t>
  </si>
  <si>
    <t>MX0083</t>
  </si>
  <si>
    <t>40078</t>
  </si>
  <si>
    <t>Alberto Amezcua Chávez</t>
  </si>
  <si>
    <t>Alberto Amezcua</t>
  </si>
  <si>
    <t>MX0084</t>
  </si>
  <si>
    <t>MX0085</t>
  </si>
  <si>
    <t>40079</t>
  </si>
  <si>
    <t>Gonzalo Cruz Jiménez</t>
  </si>
  <si>
    <t>Delfino Cruz Mil</t>
  </si>
  <si>
    <t>MX0086</t>
  </si>
  <si>
    <t>40080</t>
  </si>
  <si>
    <t>Valente Zamora Utrera</t>
  </si>
  <si>
    <t>MX0087</t>
  </si>
  <si>
    <t>40081</t>
  </si>
  <si>
    <t>Samuel Domínguez Gómez</t>
  </si>
  <si>
    <t>MX0088</t>
  </si>
  <si>
    <t>40082</t>
  </si>
  <si>
    <t>Roberto Morales Domínguez</t>
  </si>
  <si>
    <t>MX0089</t>
  </si>
  <si>
    <t>40083</t>
  </si>
  <si>
    <t>Milton Domínguez Morales</t>
  </si>
  <si>
    <t>MX0090</t>
  </si>
  <si>
    <t>40084</t>
  </si>
  <si>
    <t>Leopoldo Torales González</t>
  </si>
  <si>
    <t>MX0091</t>
  </si>
  <si>
    <t>40085</t>
  </si>
  <si>
    <t>José Enrique Lorenzo Solís</t>
  </si>
  <si>
    <t>MX0092</t>
  </si>
  <si>
    <t>40086</t>
  </si>
  <si>
    <t>José Crecencio Zamora Viveros</t>
  </si>
  <si>
    <t>MX0093</t>
  </si>
  <si>
    <t>40087</t>
  </si>
  <si>
    <t>Hugo Zamora Viveros</t>
  </si>
  <si>
    <t>MX0094</t>
  </si>
  <si>
    <t>40088</t>
  </si>
  <si>
    <t>Gustavo David Zamora Utrera</t>
  </si>
  <si>
    <t>MX0095</t>
  </si>
  <si>
    <t>40089</t>
  </si>
  <si>
    <t>Gelix Quirasco Sixteco</t>
  </si>
  <si>
    <t>MX0096</t>
  </si>
  <si>
    <t>MX0097</t>
  </si>
  <si>
    <t>40091</t>
  </si>
  <si>
    <t>Concepción Rueda Díaz</t>
  </si>
  <si>
    <t>MX0098</t>
  </si>
  <si>
    <t>40092</t>
  </si>
  <si>
    <t>Noel Zamora Viveros</t>
  </si>
  <si>
    <t>MX0099</t>
  </si>
  <si>
    <t>40093</t>
  </si>
  <si>
    <t>Carlos Luis Colín Vidal y Carla Verónica Colín Silva</t>
  </si>
  <si>
    <t>Carla Verónica Colín Silva</t>
  </si>
  <si>
    <t>MX0100</t>
  </si>
  <si>
    <t>MX0101</t>
  </si>
  <si>
    <t>MX0102</t>
  </si>
  <si>
    <t>40095</t>
  </si>
  <si>
    <t>Richard Capestani Knape</t>
  </si>
  <si>
    <t>MX0103</t>
  </si>
  <si>
    <t>MX0104</t>
  </si>
  <si>
    <t>40096</t>
  </si>
  <si>
    <t>Jorge García Baustista</t>
  </si>
  <si>
    <t>MX0105</t>
  </si>
  <si>
    <t>40097</t>
  </si>
  <si>
    <t>Martín García Bautista</t>
  </si>
  <si>
    <t>MX0106</t>
  </si>
  <si>
    <t>40098</t>
  </si>
  <si>
    <t>Alfredo Ortiz Hernández</t>
  </si>
  <si>
    <t>40094</t>
  </si>
  <si>
    <t>Fidencio Juárez Reyes</t>
  </si>
  <si>
    <t>MX0107</t>
  </si>
  <si>
    <t>MX0108</t>
  </si>
  <si>
    <t>MX0109</t>
  </si>
  <si>
    <t>MX0110</t>
  </si>
  <si>
    <t>MX0111</t>
  </si>
  <si>
    <t>40099</t>
  </si>
  <si>
    <t>Ignacio García Bautista</t>
  </si>
  <si>
    <t>MX0112</t>
  </si>
  <si>
    <t>40100</t>
  </si>
  <si>
    <t>Francisco Enrique Corona Gómez</t>
  </si>
  <si>
    <t>MX0113</t>
  </si>
  <si>
    <t>40101</t>
  </si>
  <si>
    <t>Marcelo Bolaños Rosas</t>
  </si>
  <si>
    <t>MX0114</t>
  </si>
  <si>
    <t>40102</t>
  </si>
  <si>
    <t>Hilario Estrada Rodríguez</t>
  </si>
  <si>
    <t>Alfredo Estrada Rodríguez</t>
  </si>
  <si>
    <t>MX0115</t>
  </si>
  <si>
    <t>40103</t>
  </si>
  <si>
    <t>Víctor Manuel García Junco</t>
  </si>
  <si>
    <t>MX0116</t>
  </si>
  <si>
    <t>40104</t>
  </si>
  <si>
    <t>Toribio Carbajal</t>
  </si>
  <si>
    <t>Telesforo Carbajal</t>
  </si>
  <si>
    <t>MX0117</t>
  </si>
  <si>
    <t>40105</t>
  </si>
  <si>
    <t>Helan Ovando García</t>
  </si>
  <si>
    <t>MX0118</t>
  </si>
  <si>
    <t>40106</t>
  </si>
  <si>
    <t>Sinforeano Pérez Enríquez</t>
  </si>
  <si>
    <t>MX0119</t>
  </si>
  <si>
    <t>40107</t>
  </si>
  <si>
    <t>Rogelio Vela Torres</t>
  </si>
  <si>
    <t>MX0120</t>
  </si>
  <si>
    <t>40108</t>
  </si>
  <si>
    <t>Heriberto Cuevas Ramos</t>
  </si>
  <si>
    <t>MX0121</t>
  </si>
  <si>
    <t>40109</t>
  </si>
  <si>
    <t>Julian Morales Márquez</t>
  </si>
  <si>
    <t>MX0122</t>
  </si>
  <si>
    <t>40110</t>
  </si>
  <si>
    <t>Juan Carlos Matínez Álvarez</t>
  </si>
  <si>
    <t>US0001</t>
  </si>
  <si>
    <t>10001</t>
  </si>
  <si>
    <t>Bruce Gamble</t>
  </si>
  <si>
    <t>US0002</t>
  </si>
  <si>
    <t>10002</t>
  </si>
  <si>
    <t>Bob Miller</t>
  </si>
  <si>
    <t>US0003</t>
  </si>
  <si>
    <t>10003</t>
  </si>
  <si>
    <t>Brian Lusnia</t>
  </si>
  <si>
    <t>US0004</t>
  </si>
  <si>
    <t>US0005</t>
  </si>
  <si>
    <t>US0006</t>
  </si>
  <si>
    <t>10004</t>
  </si>
  <si>
    <t>David Smith</t>
  </si>
  <si>
    <t>US0007</t>
  </si>
  <si>
    <t>10005</t>
  </si>
  <si>
    <t>Dennis Stoltzfoos</t>
  </si>
  <si>
    <t>US0008</t>
  </si>
  <si>
    <t>10006</t>
  </si>
  <si>
    <t>Eugene Martens</t>
  </si>
  <si>
    <t>US0009</t>
  </si>
  <si>
    <t>10007</t>
  </si>
  <si>
    <t>Jay Ridings</t>
  </si>
  <si>
    <t>US0010</t>
  </si>
  <si>
    <t>10008</t>
  </si>
  <si>
    <t>Jonathan Walker</t>
  </si>
  <si>
    <t>US0011</t>
  </si>
  <si>
    <t>10009</t>
  </si>
  <si>
    <t>Joseph Hostetler</t>
  </si>
  <si>
    <t>US0012</t>
  </si>
  <si>
    <t>10010</t>
  </si>
  <si>
    <t>Loretta Adderson</t>
  </si>
  <si>
    <t>US0013</t>
  </si>
  <si>
    <t>10011</t>
  </si>
  <si>
    <t>Nolan Bradford</t>
  </si>
  <si>
    <t>US0014</t>
  </si>
  <si>
    <t>10012</t>
  </si>
  <si>
    <t>Todd H Owen</t>
  </si>
  <si>
    <t>Wayne Owen</t>
  </si>
  <si>
    <t>US0015</t>
  </si>
  <si>
    <t>10013</t>
  </si>
  <si>
    <t>Elvire Frank Dembia</t>
  </si>
  <si>
    <t>Elvire Dembia</t>
  </si>
  <si>
    <t>US0016</t>
  </si>
  <si>
    <t>10014</t>
  </si>
  <si>
    <t>Juan Zermeno</t>
  </si>
  <si>
    <t>US0017</t>
  </si>
  <si>
    <t>10015</t>
  </si>
  <si>
    <t>Larry Wilcoxen</t>
  </si>
  <si>
    <t>US0018</t>
  </si>
  <si>
    <t>10016</t>
  </si>
  <si>
    <t>Lewauta Landholdings Inc</t>
  </si>
  <si>
    <t>Marlene Lewis</t>
  </si>
  <si>
    <t>US0019</t>
  </si>
  <si>
    <t>10017</t>
  </si>
  <si>
    <t>Paul Hartz</t>
  </si>
  <si>
    <t>US0020</t>
  </si>
  <si>
    <t>10018</t>
  </si>
  <si>
    <t>Richard Cumberland</t>
  </si>
  <si>
    <t>US0021</t>
  </si>
  <si>
    <t>10019</t>
  </si>
  <si>
    <t>Brandon Bailey</t>
  </si>
  <si>
    <t>US0022</t>
  </si>
  <si>
    <t>10020</t>
  </si>
  <si>
    <t>Daniel Bryd</t>
  </si>
  <si>
    <t>Daniel Byrd</t>
  </si>
  <si>
    <t>US0023</t>
  </si>
  <si>
    <t>US0024</t>
  </si>
  <si>
    <t>10021</t>
  </si>
  <si>
    <t>Southern Innovative Investments LLC</t>
  </si>
  <si>
    <t>Grover Plunkett</t>
  </si>
  <si>
    <t>US0025</t>
  </si>
  <si>
    <t>10022</t>
  </si>
  <si>
    <t>Jacob Schwartz</t>
  </si>
  <si>
    <t>US0026</t>
  </si>
  <si>
    <t>10023</t>
  </si>
  <si>
    <t>John Cline</t>
  </si>
  <si>
    <t>US0027</t>
  </si>
  <si>
    <t>US0028</t>
  </si>
  <si>
    <t>10024</t>
  </si>
  <si>
    <t>Matthew Knox</t>
  </si>
  <si>
    <t>US0029</t>
  </si>
  <si>
    <t>10025</t>
  </si>
  <si>
    <t>Tracy Sturgeon</t>
  </si>
  <si>
    <t>US0030</t>
  </si>
  <si>
    <t>10026</t>
  </si>
  <si>
    <t>Wayne Crotty</t>
  </si>
  <si>
    <t>US0031</t>
  </si>
  <si>
    <t>10027</t>
  </si>
  <si>
    <t>Wendell Lynn</t>
  </si>
  <si>
    <t>US0032</t>
  </si>
  <si>
    <t>10028</t>
  </si>
  <si>
    <t>Will and Amanda Johnson</t>
  </si>
  <si>
    <t>Will Johnson</t>
  </si>
  <si>
    <t>US0033</t>
  </si>
  <si>
    <t>10029</t>
  </si>
  <si>
    <t>Alfie Kelly</t>
  </si>
  <si>
    <t>US0034</t>
  </si>
  <si>
    <t>10030</t>
  </si>
  <si>
    <t xml:space="preserve">Billy Whittaker </t>
  </si>
  <si>
    <t>Billy Whittaker</t>
  </si>
  <si>
    <t>US0035</t>
  </si>
  <si>
    <t>US0036</t>
  </si>
  <si>
    <t>US0037</t>
  </si>
  <si>
    <t>10031</t>
  </si>
  <si>
    <t>Cheryl Meserole</t>
  </si>
  <si>
    <t>US0038</t>
  </si>
  <si>
    <t>10032</t>
  </si>
  <si>
    <t>The Langdon Group WW LLC</t>
  </si>
  <si>
    <t>Dan McClure</t>
  </si>
  <si>
    <t>US0039</t>
  </si>
  <si>
    <t>10033</t>
  </si>
  <si>
    <t>David Chang</t>
  </si>
  <si>
    <t>US0040</t>
  </si>
  <si>
    <t>10034</t>
  </si>
  <si>
    <t>David Peterson</t>
  </si>
  <si>
    <t>US0041</t>
  </si>
  <si>
    <t>10035</t>
  </si>
  <si>
    <t>Derek Bass</t>
  </si>
  <si>
    <t>US0042</t>
  </si>
  <si>
    <t>US0043</t>
  </si>
  <si>
    <t>10036</t>
  </si>
  <si>
    <t>Jason Humphries</t>
  </si>
  <si>
    <t>US0044</t>
  </si>
  <si>
    <t>10037</t>
  </si>
  <si>
    <t>Jimmy Aplin</t>
  </si>
  <si>
    <t>US0045</t>
  </si>
  <si>
    <t>10038</t>
  </si>
  <si>
    <t>Michael Masengil</t>
  </si>
  <si>
    <t>US0046</t>
  </si>
  <si>
    <t>10039</t>
  </si>
  <si>
    <t>Ricky and/or Darcy Dollar</t>
  </si>
  <si>
    <t>Ricky and Darcy Dollar</t>
  </si>
  <si>
    <t>US0047</t>
  </si>
  <si>
    <t>10040</t>
  </si>
  <si>
    <t>Scott Willis</t>
  </si>
  <si>
    <t>US0048</t>
  </si>
  <si>
    <t>10041</t>
  </si>
  <si>
    <t>Shawn Harrison</t>
  </si>
  <si>
    <t>US0049</t>
  </si>
  <si>
    <t>10042</t>
  </si>
  <si>
    <t>Steven Whittaker</t>
  </si>
  <si>
    <t>US0050</t>
  </si>
  <si>
    <t>10043</t>
  </si>
  <si>
    <t>Teddy Meeks</t>
  </si>
  <si>
    <t>US0051</t>
  </si>
  <si>
    <t>10044</t>
  </si>
  <si>
    <t>Wayne Moseley</t>
  </si>
  <si>
    <t>US0052</t>
  </si>
  <si>
    <t>10045</t>
  </si>
  <si>
    <t>Andy Youngblood</t>
  </si>
  <si>
    <t>US0053</t>
  </si>
  <si>
    <t>10046</t>
  </si>
  <si>
    <t>Jimmy A Cowart, Steve Anthony Cowart, and Christy Cowart Murphy</t>
  </si>
  <si>
    <t>Anthony Cowart</t>
  </si>
  <si>
    <t>US0054</t>
  </si>
  <si>
    <t>10047</t>
  </si>
  <si>
    <t>William Franklin</t>
  </si>
  <si>
    <t>US0055</t>
  </si>
  <si>
    <t>10048</t>
  </si>
  <si>
    <t>Billy Strange</t>
  </si>
  <si>
    <t>US0056</t>
  </si>
  <si>
    <t>US0057</t>
  </si>
  <si>
    <t>10049</t>
  </si>
  <si>
    <t>Carl Womack</t>
  </si>
  <si>
    <t>US0058</t>
  </si>
  <si>
    <t>10050</t>
  </si>
  <si>
    <t>Chadwin Payne</t>
  </si>
  <si>
    <t>Chad Payne</t>
  </si>
  <si>
    <t>US0059</t>
  </si>
  <si>
    <t>10051</t>
  </si>
  <si>
    <t>W.D. Ratliff</t>
  </si>
  <si>
    <t>Dale Ratliff</t>
  </si>
  <si>
    <t>US0060</t>
  </si>
  <si>
    <t>10052</t>
  </si>
  <si>
    <t>Daniel Perez</t>
  </si>
  <si>
    <t>US0061</t>
  </si>
  <si>
    <t>10053</t>
  </si>
  <si>
    <t>Darren Beachem</t>
  </si>
  <si>
    <t>US0062</t>
  </si>
  <si>
    <t>US0063</t>
  </si>
  <si>
    <t>US0064</t>
  </si>
  <si>
    <t>10054</t>
  </si>
  <si>
    <t>Ed Davenport</t>
  </si>
  <si>
    <t>US0065</t>
  </si>
  <si>
    <t>10055</t>
  </si>
  <si>
    <t>Glen Sanders</t>
  </si>
  <si>
    <t>Glenn Sanders</t>
  </si>
  <si>
    <t>US0066</t>
  </si>
  <si>
    <t>10056</t>
  </si>
  <si>
    <t>Glenn Preskitt</t>
  </si>
  <si>
    <t>US0067</t>
  </si>
  <si>
    <t>10057</t>
  </si>
  <si>
    <t>Guy Goodson</t>
  </si>
  <si>
    <t>US0068</t>
  </si>
  <si>
    <t>10058</t>
  </si>
  <si>
    <t>Richard and Trudie Barnes</t>
  </si>
  <si>
    <t>Jeff Barnes</t>
  </si>
  <si>
    <t>US0069</t>
  </si>
  <si>
    <t>10059</t>
  </si>
  <si>
    <t>Jeff George</t>
  </si>
  <si>
    <t>US0070</t>
  </si>
  <si>
    <t>10060</t>
  </si>
  <si>
    <t>Jeffrey Rice</t>
  </si>
  <si>
    <t>Jeff Rice</t>
  </si>
  <si>
    <t>US0071</t>
  </si>
  <si>
    <t>10061</t>
  </si>
  <si>
    <t>Jim West</t>
  </si>
  <si>
    <t>US0072</t>
  </si>
  <si>
    <t>10062</t>
  </si>
  <si>
    <t>Hayes Farms LLC</t>
  </si>
  <si>
    <t>John Hayes</t>
  </si>
  <si>
    <t>US0073</t>
  </si>
  <si>
    <t>10063</t>
  </si>
  <si>
    <t>Joseph Garrett</t>
  </si>
  <si>
    <t>US0074</t>
  </si>
  <si>
    <t>10064</t>
  </si>
  <si>
    <t>Josh Allen</t>
  </si>
  <si>
    <t>US0075</t>
  </si>
  <si>
    <t>10065</t>
  </si>
  <si>
    <t>Justin Brewer</t>
  </si>
  <si>
    <t>US0076</t>
  </si>
  <si>
    <t>10066</t>
  </si>
  <si>
    <t>Kim Martens</t>
  </si>
  <si>
    <t>US0077</t>
  </si>
  <si>
    <t>10067</t>
  </si>
  <si>
    <t>Mike Porter and Teri Galardi</t>
  </si>
  <si>
    <t>Mike Porter</t>
  </si>
  <si>
    <t>US0078</t>
  </si>
  <si>
    <t>10068</t>
  </si>
  <si>
    <t>Pete Preskitt</t>
  </si>
  <si>
    <t>US0079</t>
  </si>
  <si>
    <t>10069</t>
  </si>
  <si>
    <t>Peter Kampmann</t>
  </si>
  <si>
    <t>US0080</t>
  </si>
  <si>
    <t>10070</t>
  </si>
  <si>
    <t>Randy Grant</t>
  </si>
  <si>
    <t>US0081</t>
  </si>
  <si>
    <t>10071</t>
  </si>
  <si>
    <t>Ricky Mitchell</t>
  </si>
  <si>
    <t>US0082</t>
  </si>
  <si>
    <t>10072</t>
  </si>
  <si>
    <t>Ronnie and Kent Mathis</t>
  </si>
  <si>
    <t>US0083</t>
  </si>
  <si>
    <t>10073</t>
  </si>
  <si>
    <t>Russell and Sedalia Nelson</t>
  </si>
  <si>
    <t>US0084</t>
  </si>
  <si>
    <t>10074</t>
  </si>
  <si>
    <t>Scott Fenn</t>
  </si>
  <si>
    <t>US0085</t>
  </si>
  <si>
    <t>10075</t>
  </si>
  <si>
    <t>Cidney Scott and Stuart Page Landreau</t>
  </si>
  <si>
    <t>Scott Landreau</t>
  </si>
  <si>
    <t>US0086</t>
  </si>
  <si>
    <t>US0087</t>
  </si>
  <si>
    <t>US0088</t>
  </si>
  <si>
    <t>10076</t>
  </si>
  <si>
    <t>Will Allen</t>
  </si>
  <si>
    <t>US0089</t>
  </si>
  <si>
    <t>10077</t>
  </si>
  <si>
    <t>Andy  Thomas</t>
  </si>
  <si>
    <t>Andy Thomas</t>
  </si>
  <si>
    <t>US0090</t>
  </si>
  <si>
    <t>10078</t>
  </si>
  <si>
    <t>Don Dixon</t>
  </si>
  <si>
    <t>Beau Dixon</t>
  </si>
  <si>
    <t>US0091</t>
  </si>
  <si>
    <t>10079</t>
  </si>
  <si>
    <t>Billy Gordie</t>
  </si>
  <si>
    <t>US0092</t>
  </si>
  <si>
    <t>US0093</t>
  </si>
  <si>
    <t>US0094</t>
  </si>
  <si>
    <t>10080</t>
  </si>
  <si>
    <t>Bobby Searcy</t>
  </si>
  <si>
    <t>US0095</t>
  </si>
  <si>
    <t>10081</t>
  </si>
  <si>
    <t>Brent  Stiehl</t>
  </si>
  <si>
    <t>Brent Stiehl</t>
  </si>
  <si>
    <t>US0096</t>
  </si>
  <si>
    <t>10082</t>
  </si>
  <si>
    <t>Chris Bolen</t>
  </si>
  <si>
    <t>US0097</t>
  </si>
  <si>
    <t>10083</t>
  </si>
  <si>
    <t>Chris  Hoehn</t>
  </si>
  <si>
    <t>Chris Hoehn</t>
  </si>
  <si>
    <t>US0098</t>
  </si>
  <si>
    <t>10084</t>
  </si>
  <si>
    <t>David  Fordham</t>
  </si>
  <si>
    <t>David Fordham</t>
  </si>
  <si>
    <t>US0099</t>
  </si>
  <si>
    <t>10085</t>
  </si>
  <si>
    <t>Ivette  Alcoba</t>
  </si>
  <si>
    <t>Ivette Alcoba</t>
  </si>
  <si>
    <t>US0100</t>
  </si>
  <si>
    <t>10086</t>
  </si>
  <si>
    <t>James  Cochran</t>
  </si>
  <si>
    <t>James Cochran</t>
  </si>
  <si>
    <t>US0101</t>
  </si>
  <si>
    <t>10087</t>
  </si>
  <si>
    <t>Jamie  Hayes</t>
  </si>
  <si>
    <t>Jamie Hayes</t>
  </si>
  <si>
    <t>US0102</t>
  </si>
  <si>
    <t>10088</t>
  </si>
  <si>
    <t>Jared  Lilly</t>
  </si>
  <si>
    <t>Jared Lilly</t>
  </si>
  <si>
    <t>US0103</t>
  </si>
  <si>
    <t>10089</t>
  </si>
  <si>
    <t>Jacqueline and Anthony Lea</t>
  </si>
  <si>
    <t>Anthony Lea</t>
  </si>
  <si>
    <t>US0104</t>
  </si>
  <si>
    <t>10090</t>
  </si>
  <si>
    <t>Joe Lilly</t>
  </si>
  <si>
    <t>US0105</t>
  </si>
  <si>
    <t>US0106</t>
  </si>
  <si>
    <t>10091</t>
  </si>
  <si>
    <t>John Wilson</t>
  </si>
  <si>
    <t>US0107</t>
  </si>
  <si>
    <t>10092</t>
  </si>
  <si>
    <t>Jordy McMahan</t>
  </si>
  <si>
    <t>US0108</t>
  </si>
  <si>
    <t>US0109</t>
  </si>
  <si>
    <t>10093</t>
  </si>
  <si>
    <t>Keith  Bell</t>
  </si>
  <si>
    <t>Keith Bell</t>
  </si>
  <si>
    <t>US0110</t>
  </si>
  <si>
    <t>10094</t>
  </si>
  <si>
    <t>Kyle Flint</t>
  </si>
  <si>
    <t>US0111</t>
  </si>
  <si>
    <t>10095</t>
  </si>
  <si>
    <t>Loren  Raymer</t>
  </si>
  <si>
    <t>Loren Raymer</t>
  </si>
  <si>
    <t>US0112</t>
  </si>
  <si>
    <t>10096</t>
  </si>
  <si>
    <t>Lori &amp; Don Fults</t>
  </si>
  <si>
    <t>Lori Fults</t>
  </si>
  <si>
    <t>US0113</t>
  </si>
  <si>
    <t>10097</t>
  </si>
  <si>
    <t>Mac  Alexander</t>
  </si>
  <si>
    <t>Mac Alexander</t>
  </si>
  <si>
    <t>US0114</t>
  </si>
  <si>
    <t>10098</t>
  </si>
  <si>
    <t>Marty  Causseaux</t>
  </si>
  <si>
    <t>Marty Causseaux</t>
  </si>
  <si>
    <t>US0115</t>
  </si>
  <si>
    <t>10099</t>
  </si>
  <si>
    <t>Michael  Roe</t>
  </si>
  <si>
    <t>Michael Roe</t>
  </si>
  <si>
    <t>US0116</t>
  </si>
  <si>
    <t>US0117</t>
  </si>
  <si>
    <t>US0118</t>
  </si>
  <si>
    <t>10100</t>
  </si>
  <si>
    <t>Roy  Price</t>
  </si>
  <si>
    <t>Roy Price</t>
  </si>
  <si>
    <t>US0119</t>
  </si>
  <si>
    <t>US0120</t>
  </si>
  <si>
    <t>10101</t>
  </si>
  <si>
    <t>Scotty  Mckenzie</t>
  </si>
  <si>
    <t>Scotty Mckenzie</t>
  </si>
  <si>
    <t>US0121</t>
  </si>
  <si>
    <t>10102</t>
  </si>
  <si>
    <t>Sisay Souphom</t>
  </si>
  <si>
    <t>US0122</t>
  </si>
  <si>
    <t>10103</t>
  </si>
  <si>
    <t>Stephen  Andrews</t>
  </si>
  <si>
    <t>Stephen Andrews</t>
  </si>
  <si>
    <t>US0123</t>
  </si>
  <si>
    <t>10104</t>
  </si>
  <si>
    <t>Steven and
Christy Hunter</t>
  </si>
  <si>
    <t>Steven Hunter</t>
  </si>
  <si>
    <t>US0124</t>
  </si>
  <si>
    <t>10105</t>
  </si>
  <si>
    <t>Teresa and Josh Beam</t>
  </si>
  <si>
    <t>Teresa Beam</t>
  </si>
  <si>
    <t>US0125</t>
  </si>
  <si>
    <t>10106</t>
  </si>
  <si>
    <t>Tim  Harper</t>
  </si>
  <si>
    <t>Tim Harper</t>
  </si>
  <si>
    <t>US0126</t>
  </si>
  <si>
    <t>10107</t>
  </si>
  <si>
    <t>Wendy Muhammad</t>
  </si>
  <si>
    <t>US0127</t>
  </si>
  <si>
    <t>10108</t>
  </si>
  <si>
    <t>Wesley and Stanley Todd</t>
  </si>
  <si>
    <t>US0128</t>
  </si>
  <si>
    <t>10109</t>
  </si>
  <si>
    <t>Belinda Twohig</t>
  </si>
  <si>
    <t>US0129</t>
  </si>
  <si>
    <t>US0130</t>
  </si>
  <si>
    <t>US0131</t>
  </si>
  <si>
    <t>10110</t>
  </si>
  <si>
    <t>David Hall</t>
  </si>
  <si>
    <t>US0132</t>
  </si>
  <si>
    <t>10111</t>
  </si>
  <si>
    <t>David Lewis</t>
  </si>
  <si>
    <t>US0133</t>
  </si>
  <si>
    <t>10112</t>
  </si>
  <si>
    <t>Heather Rule</t>
  </si>
  <si>
    <t>US0134</t>
  </si>
  <si>
    <t>10113</t>
  </si>
  <si>
    <t>Kennsel Bennett</t>
  </si>
  <si>
    <t>US0135</t>
  </si>
  <si>
    <t>US0136</t>
  </si>
  <si>
    <t>10114</t>
  </si>
  <si>
    <t>Michele Dominguez</t>
  </si>
  <si>
    <t>US0137</t>
  </si>
  <si>
    <t>US0138</t>
  </si>
  <si>
    <t>10115</t>
  </si>
  <si>
    <t>Martha and Rick Griffis</t>
  </si>
  <si>
    <t>Rick Griffis</t>
  </si>
  <si>
    <t>US0139</t>
  </si>
  <si>
    <t>10116</t>
  </si>
  <si>
    <t>Rob Cason</t>
  </si>
  <si>
    <t>US0140</t>
  </si>
  <si>
    <t>10117</t>
  </si>
  <si>
    <t>Scott Hamilton</t>
  </si>
  <si>
    <t>US0141</t>
  </si>
  <si>
    <t>US0142</t>
  </si>
  <si>
    <t>US0143</t>
  </si>
  <si>
    <t>10118</t>
  </si>
  <si>
    <t>Todd McCarley</t>
  </si>
  <si>
    <t>US0144</t>
  </si>
  <si>
    <t>10119</t>
  </si>
  <si>
    <t>William (Cliff) Scales</t>
  </si>
  <si>
    <t>US0145</t>
  </si>
  <si>
    <t>10120</t>
  </si>
  <si>
    <t>Andy McCormick</t>
  </si>
  <si>
    <t>US0146</t>
  </si>
  <si>
    <t>10121</t>
  </si>
  <si>
    <t>Anita J Hardie</t>
  </si>
  <si>
    <t>Clinton Hardie</t>
  </si>
  <si>
    <t>US0147</t>
  </si>
  <si>
    <t>10122</t>
  </si>
  <si>
    <t>Colin McCulley</t>
  </si>
  <si>
    <t>US0148</t>
  </si>
  <si>
    <t>US0149</t>
  </si>
  <si>
    <t>10123</t>
  </si>
  <si>
    <t>WT Lumpkin Farms</t>
  </si>
  <si>
    <t>Greg Lumpkin</t>
  </si>
  <si>
    <t>US0150</t>
  </si>
  <si>
    <t>10124</t>
  </si>
  <si>
    <t>James Lamberth</t>
  </si>
  <si>
    <t>Jim Lamberth</t>
  </si>
  <si>
    <t>US0151</t>
  </si>
  <si>
    <t>US0152</t>
  </si>
  <si>
    <t>US0153</t>
  </si>
  <si>
    <t>US0154</t>
  </si>
  <si>
    <t>10125</t>
  </si>
  <si>
    <t>Steve Carson</t>
  </si>
  <si>
    <t>US0155</t>
  </si>
  <si>
    <t>US0156</t>
  </si>
  <si>
    <t>10126</t>
  </si>
  <si>
    <t>S&amp;S Timber Farms, Inc</t>
  </si>
  <si>
    <t>Austin Stacy</t>
  </si>
  <si>
    <t>US0157</t>
  </si>
  <si>
    <t>10127</t>
  </si>
  <si>
    <t>Cortney and Josh Chancey</t>
  </si>
  <si>
    <t>US0158</t>
  </si>
  <si>
    <t>10128</t>
  </si>
  <si>
    <t>Gary Goldsmith and
Chester Dooly</t>
  </si>
  <si>
    <t>Gary Goldsmith</t>
  </si>
  <si>
    <t>US0159</t>
  </si>
  <si>
    <t>US0160</t>
  </si>
  <si>
    <t>10129</t>
  </si>
  <si>
    <t>Keller Galpin</t>
  </si>
  <si>
    <t>US0161</t>
  </si>
  <si>
    <t>10130</t>
  </si>
  <si>
    <t>Ken English</t>
  </si>
  <si>
    <t>US0162</t>
  </si>
  <si>
    <t>10131</t>
  </si>
  <si>
    <t>Manuel Folsom</t>
  </si>
  <si>
    <t>US0163</t>
  </si>
  <si>
    <t>US0164</t>
  </si>
  <si>
    <t>US0165</t>
  </si>
  <si>
    <t>US0166</t>
  </si>
  <si>
    <t>US0167</t>
  </si>
  <si>
    <t>US0168</t>
  </si>
  <si>
    <t>10133</t>
  </si>
  <si>
    <t>Justin Montgomery and Rusty Elliott</t>
  </si>
  <si>
    <t>Justin Montgomery</t>
  </si>
  <si>
    <t>US0169</t>
  </si>
  <si>
    <t>10134</t>
  </si>
  <si>
    <t>Corley Walton Family Farm LLC</t>
  </si>
  <si>
    <t>Pat Cook &amp; Joe Walton</t>
  </si>
  <si>
    <t>US0170</t>
  </si>
  <si>
    <t>10132</t>
  </si>
  <si>
    <t>Shady Branch Farms LLC</t>
  </si>
  <si>
    <t>Brandon Richards</t>
  </si>
  <si>
    <t>contract_amendment</t>
  </si>
  <si>
    <t>harvest_year</t>
  </si>
  <si>
    <t>land_location</t>
  </si>
  <si>
    <t>loaded_at</t>
  </si>
  <si>
    <t>Filter</t>
  </si>
  <si>
    <t>land_location_pro</t>
  </si>
  <si>
    <t>-110</t>
  </si>
  <si>
    <t>31.00422383,-84.4464961</t>
  </si>
  <si>
    <t>110.0</t>
  </si>
  <si>
    <t>USA</t>
  </si>
  <si>
    <t>Fortunei</t>
  </si>
  <si>
    <t>11</t>
  </si>
  <si>
    <t>Active</t>
  </si>
  <si>
    <t>POINT(-84.4464961 31.00422383)</t>
  </si>
  <si>
    <t>1820</t>
  </si>
  <si>
    <t>17.2373253, -946166264</t>
  </si>
  <si>
    <t>Mexico</t>
  </si>
  <si>
    <t>CL502</t>
  </si>
  <si>
    <t>POINT(17.2373253 -946166264)</t>
  </si>
  <si>
    <t>from 1100-1650</t>
  </si>
  <si>
    <t>17.39534167, -93.77971765</t>
  </si>
  <si>
    <t>154.0</t>
  </si>
  <si>
    <t>POINT(-93.77971765 17.39534167)</t>
  </si>
  <si>
    <t>33.2121821, -83.2710521</t>
  </si>
  <si>
    <t>11, 12</t>
  </si>
  <si>
    <t>POINT(-83.2710521 33.2121821)</t>
  </si>
  <si>
    <t>18.021140, -94.304699</t>
  </si>
  <si>
    <t>Pending POD</t>
  </si>
  <si>
    <t>17.548329, -95.403114</t>
  </si>
  <si>
    <t>31.4472, -85.9809</t>
  </si>
  <si>
    <t>14</t>
  </si>
  <si>
    <t>POINT(-85.9809 31.4472)</t>
  </si>
  <si>
    <t>32.9323813, -83.2031174</t>
  </si>
  <si>
    <t>POINT(-83.2031174 32.9323813)</t>
  </si>
  <si>
    <t>33.22819, -83.93837</t>
  </si>
  <si>
    <t>POINT(-83.93837 33.22819)</t>
  </si>
  <si>
    <t>31.324008, -85.503748</t>
  </si>
  <si>
    <t>POINT(-85.503748 31.324008)</t>
  </si>
  <si>
    <t>10.706683, -84.518944</t>
  </si>
  <si>
    <t>Elongata CR</t>
  </si>
  <si>
    <t>POINT(-84.518944 10.706683)</t>
  </si>
  <si>
    <t>17.3628535, -94.4446755</t>
  </si>
  <si>
    <t>275.0</t>
  </si>
  <si>
    <t>Pending planting</t>
  </si>
  <si>
    <t>POINT(-94.4446755 17.3628535)</t>
  </si>
  <si>
    <t xml:space="preserve">34.250719, -86.527252 </t>
  </si>
  <si>
    <t>11, 12, 14, 18</t>
  </si>
  <si>
    <t>32.674238, -85.847949</t>
  </si>
  <si>
    <t>14, 18</t>
  </si>
  <si>
    <t>POINT(-85.847949 32.674238)</t>
  </si>
  <si>
    <t>34.702318, -95.141474</t>
  </si>
  <si>
    <t>TG Cool</t>
  </si>
  <si>
    <t>RFT</t>
  </si>
  <si>
    <t>POINT(-95.141474 34.702318)</t>
  </si>
  <si>
    <t>30.424531, -83.201936</t>
  </si>
  <si>
    <t>11, 12, 14</t>
  </si>
  <si>
    <t>POINT(-83.201936 30.424531)</t>
  </si>
  <si>
    <t>31.258754, -85.252275</t>
  </si>
  <si>
    <t>11, 13</t>
  </si>
  <si>
    <t>POINT(-85.252275 31.258754)</t>
  </si>
  <si>
    <t>14.648611, -91.699167</t>
  </si>
  <si>
    <t>Guatemala</t>
  </si>
  <si>
    <t>Elongata</t>
  </si>
  <si>
    <t>Out of Program</t>
  </si>
  <si>
    <t>POINT(-91.699167 14.648611)</t>
  </si>
  <si>
    <t>14.716111, -91.743611</t>
  </si>
  <si>
    <t>Elongata (in 2021 CL502)</t>
  </si>
  <si>
    <t>POINT(-91.743611 14.716111)</t>
  </si>
  <si>
    <t>14.723611, -91.815278</t>
  </si>
  <si>
    <t>1000.0</t>
  </si>
  <si>
    <t>POINT(-91.815278 14.723611)</t>
  </si>
  <si>
    <t>21.079418, -101.907360</t>
  </si>
  <si>
    <t>POINT(-101.907360 21.079418)</t>
  </si>
  <si>
    <t>30.814991, -84.811270</t>
  </si>
  <si>
    <t>POINT(-84.811270 30.814991)</t>
  </si>
  <si>
    <t>31.044872, -88.515002</t>
  </si>
  <si>
    <t>12, 14</t>
  </si>
  <si>
    <t>POINT(-88.515002 31.044872)</t>
  </si>
  <si>
    <t>32.645386, -86.086846</t>
  </si>
  <si>
    <t>POINT(-86.086846 32.645386)</t>
  </si>
  <si>
    <t>32.617043, -86.203639</t>
  </si>
  <si>
    <t>POINT(-86.203639 32.617043)</t>
  </si>
  <si>
    <t>30.824649, -83.054345</t>
  </si>
  <si>
    <t>2, 11</t>
  </si>
  <si>
    <t>POINT(-83.054345 30.824649)</t>
  </si>
  <si>
    <t>30.047118, -82.259403</t>
  </si>
  <si>
    <t>2, 13</t>
  </si>
  <si>
    <t>POINT(-82.259403 30.047118)</t>
  </si>
  <si>
    <t>33.191421, -84.068182</t>
  </si>
  <si>
    <t>12, 18</t>
  </si>
  <si>
    <t>POINT(-84.068182 33.191421)</t>
  </si>
  <si>
    <t>32.646970, -86.381339</t>
  </si>
  <si>
    <t>13, 18</t>
  </si>
  <si>
    <t>POINT(-86.381339 32.646970)</t>
  </si>
  <si>
    <t>17.322416, -94.140967</t>
  </si>
  <si>
    <t>17.7307534, -95.8595157</t>
  </si>
  <si>
    <t>CR0014</t>
  </si>
  <si>
    <t>10.145540993975324, -84.36977100256567</t>
  </si>
  <si>
    <t>Costa Rica</t>
  </si>
  <si>
    <t>P. fortunei</t>
  </si>
  <si>
    <t>POINT(-84.36977100256567 10.145540993975324)</t>
  </si>
  <si>
    <t>32.226497, -82.098965</t>
  </si>
  <si>
    <t>11, 18</t>
  </si>
  <si>
    <t>POINT(-82.098965 32.226497)</t>
  </si>
  <si>
    <t>30.090810, -82.909628</t>
  </si>
  <si>
    <t>POINT(-82.909628 30.090810)</t>
  </si>
  <si>
    <t>10.1525978335, -84.3586197692</t>
  </si>
  <si>
    <t>P.elongata and P.fortunei</t>
  </si>
  <si>
    <t>POINT(-84.3586197692 10.1525978335)</t>
  </si>
  <si>
    <t>10.115731, -84.245339</t>
  </si>
  <si>
    <t>P.fortunei</t>
  </si>
  <si>
    <t>POINT(-84.245339 10.115731)</t>
  </si>
  <si>
    <t>9.780361, -84.055419</t>
  </si>
  <si>
    <t>POINT(-84.055419 9.780361)</t>
  </si>
  <si>
    <t>9.800483, -83.989281</t>
  </si>
  <si>
    <t>POINT(-83.989281 9.800483)</t>
  </si>
  <si>
    <t> 9.637013, -83.9480</t>
  </si>
  <si>
    <t>18.085089697134027, -95.59988029456701 y 18.096114440235162, -95.63865216740112</t>
  </si>
  <si>
    <t>21.316833, -101.339944</t>
  </si>
  <si>
    <t>POINT(-101.339944 21.316833)</t>
  </si>
  <si>
    <t>20.715003, -100.847181</t>
  </si>
  <si>
    <t>POINT(-100.847181 20.715003)</t>
  </si>
  <si>
    <t>9.492735, -83.4512</t>
  </si>
  <si>
    <t>POINT(-83.4512 9.492735)</t>
  </si>
  <si>
    <t>20.926944, -101.754167</t>
  </si>
  <si>
    <t>POINT(-101.754167 20.926944)</t>
  </si>
  <si>
    <t>14.075889, -90.571944</t>
  </si>
  <si>
    <t>POINT(-90.571944 14.075889)</t>
  </si>
  <si>
    <t>10.1003100, -83.3830780</t>
  </si>
  <si>
    <t>P.elongata</t>
  </si>
  <si>
    <t>POINT(-83.3830780 10.1003100)</t>
  </si>
  <si>
    <t>11.0005320, -85.2015820</t>
  </si>
  <si>
    <t>POINT(-85.2015820 11.0005320)</t>
  </si>
  <si>
    <t>9.814743, -84.175211</t>
  </si>
  <si>
    <t>POINT(-84.175211 9.814743)</t>
  </si>
  <si>
    <t>10.061023, -83.390802</t>
  </si>
  <si>
    <t>POINT(-83.390802 10.061023)</t>
  </si>
  <si>
    <t>9.937280, -84.4446730</t>
  </si>
  <si>
    <t>POINT(-84.4446730 9.937280)</t>
  </si>
  <si>
    <t>10.2500530, -84.8776320</t>
  </si>
  <si>
    <t>POINT(-84.8776320 10.2500530)</t>
  </si>
  <si>
    <t>17.8528199, -95.2825474</t>
  </si>
  <si>
    <t>34.241776, -86.527479</t>
  </si>
  <si>
    <t>POINT(-86.527479 34.241776)</t>
  </si>
  <si>
    <t>10.1081763406, -84.3811140226</t>
  </si>
  <si>
    <t>POINT(-84.3811140226 10.1081763406)</t>
  </si>
  <si>
    <t>37.21962, -92.693223</t>
  </si>
  <si>
    <t>POINT(-92.693223 37.21962)</t>
  </si>
  <si>
    <t>10.3787110, -83.8081410</t>
  </si>
  <si>
    <t>POINT(-83.8081410 10.3787110)</t>
  </si>
  <si>
    <t>33.080107, -84.858179</t>
  </si>
  <si>
    <t>POINT(-84.858179 33.080107)</t>
  </si>
  <si>
    <t>30.820767, -84.808612</t>
  </si>
  <si>
    <t>POINT(-84.808612 30.820767)</t>
  </si>
  <si>
    <t xml:space="preserve"> 30.836336, -84.884128</t>
  </si>
  <si>
    <t>32.329099, -83.418513</t>
  </si>
  <si>
    <t>POINT(-83.418513 32.329099)</t>
  </si>
  <si>
    <t>10.737670, -85.045668</t>
  </si>
  <si>
    <t>POINT(-85.045668 10.737670)</t>
  </si>
  <si>
    <t>9.708597,-84.486891</t>
  </si>
  <si>
    <t>POINT(-84.486891 9.708597)</t>
  </si>
  <si>
    <t>14.696111, -91.608056</t>
  </si>
  <si>
    <t>CL502, 18K</t>
  </si>
  <si>
    <t>POINT(-91.608056 14.696111)</t>
  </si>
  <si>
    <t>14.323333, -90.434028</t>
  </si>
  <si>
    <t>POINT(-90.434028 14.323333)</t>
  </si>
  <si>
    <t>16.490000, -90.127200</t>
  </si>
  <si>
    <t>11.0</t>
  </si>
  <si>
    <t>POINT(-90.127200 16.490000)</t>
  </si>
  <si>
    <t>14.355278, -90.460000</t>
  </si>
  <si>
    <t>18K</t>
  </si>
  <si>
    <t>POINT(-90.460000 14.355278)</t>
  </si>
  <si>
    <t>17.213206, -94.592429</t>
  </si>
  <si>
    <t>POINT(-94.592429 17.213206)</t>
  </si>
  <si>
    <t>17.502881, -94.437142</t>
  </si>
  <si>
    <t>POINT(-94.437142 17.502881)</t>
  </si>
  <si>
    <t>17.511583, -94.450417</t>
  </si>
  <si>
    <t>POINT(-94.450417 17.511583)</t>
  </si>
  <si>
    <t>17.547283, -93.072147</t>
  </si>
  <si>
    <t>POINT(-93.072147 17.547283)</t>
  </si>
  <si>
    <t>17.359914, -93.325036</t>
  </si>
  <si>
    <t>POINT(-93.325036 17.359914)</t>
  </si>
  <si>
    <t>35.616983, -89.699598</t>
  </si>
  <si>
    <t>POINT(-89.699598 35.616983)</t>
  </si>
  <si>
    <t>17.5192162, -94.4582382</t>
  </si>
  <si>
    <t>POINT(-94.4582382 17.5192162)</t>
  </si>
  <si>
    <t>17.796072, -93.463639</t>
  </si>
  <si>
    <t>POINT(-93.463639 17.796072)</t>
  </si>
  <si>
    <t>17.489817, -92.894725</t>
  </si>
  <si>
    <t>POINT(-92.894725 17.489817)</t>
  </si>
  <si>
    <t>17.2702675, -94.8103548</t>
  </si>
  <si>
    <t>1100.0</t>
  </si>
  <si>
    <t>POINT(-94.8103548 17.2702675)</t>
  </si>
  <si>
    <t>17.680469, -94.024183</t>
  </si>
  <si>
    <t>2330.0</t>
  </si>
  <si>
    <t>Rescinded</t>
  </si>
  <si>
    <t>Omit</t>
  </si>
  <si>
    <t>POINT(-94.024183 17.680469)</t>
  </si>
  <si>
    <t>18.8159861, -96.9633167</t>
  </si>
  <si>
    <t>350.0</t>
  </si>
  <si>
    <t>POINT(-96.9633167 18.8159861)</t>
  </si>
  <si>
    <t>17.567000, -94.448319</t>
  </si>
  <si>
    <t>POINT(-94.448319 17.567000)</t>
  </si>
  <si>
    <t>17.432654, -93.798530</t>
  </si>
  <si>
    <t>35.414436, -84.455699</t>
  </si>
  <si>
    <t>12, 13, 18</t>
  </si>
  <si>
    <t>POINT(-84.455699 35.414436)</t>
  </si>
  <si>
    <t>34.606751, -94.057801</t>
  </si>
  <si>
    <t>2, 11, 14</t>
  </si>
  <si>
    <t>POINT(-94.057801 34.606751)</t>
  </si>
  <si>
    <t>17.5368368027441, -95.68759611234026</t>
  </si>
  <si>
    <t>9.9029650, -84.1790050</t>
  </si>
  <si>
    <t>POINT(-84.1790050 9.9029650)</t>
  </si>
  <si>
    <t>9.154319, -83.550926</t>
  </si>
  <si>
    <t>POINT(-83.550926 9.154319)</t>
  </si>
  <si>
    <t>10.6152, -84.3317</t>
  </si>
  <si>
    <t>POINT(-84.3317 10.6152)</t>
  </si>
  <si>
    <t>10.143793, -84.382349</t>
  </si>
  <si>
    <t>POINT(-84.382349 10.143793)</t>
  </si>
  <si>
    <t>31.507085, -88.018129</t>
  </si>
  <si>
    <t>POINT(-88.018129 31.507085)</t>
  </si>
  <si>
    <t>10.070442, -84.415962</t>
  </si>
  <si>
    <t>POINT(-84.415962 10.070442)</t>
  </si>
  <si>
    <t>9.61531, -83.9649</t>
  </si>
  <si>
    <t>POINT(-83.9649 9.61531)</t>
  </si>
  <si>
    <t>17.37289027 -93.76689468</t>
  </si>
  <si>
    <t>17.223254, -94.637088</t>
  </si>
  <si>
    <t>10.5613210, -85.5959160</t>
  </si>
  <si>
    <t>POINT(-85.5959160 10.5613210)</t>
  </si>
  <si>
    <t>10.4020950, -84.1630570</t>
  </si>
  <si>
    <t>POINT(-84.1630570 10.4020950)</t>
  </si>
  <si>
    <t>10.94816, -85.378762</t>
  </si>
  <si>
    <t>POINT(-85.378762 10.94816)</t>
  </si>
  <si>
    <t>10.7634470, -84.8849640</t>
  </si>
  <si>
    <t>POINT(-84.8849640 10.7634470)</t>
  </si>
  <si>
    <t>25.940528, -108.388556</t>
  </si>
  <si>
    <t>NA/BA</t>
  </si>
  <si>
    <t>POINT(-108.388556 25.940528)</t>
  </si>
  <si>
    <t>20.738034, -100.881319</t>
  </si>
  <si>
    <t>POINT(-100.881319 20.738034)</t>
  </si>
  <si>
    <t>14.8485947, -89.6783307</t>
  </si>
  <si>
    <t>POINT(-89.6783307 14.8485947)</t>
  </si>
  <si>
    <t>21.526252, -101.95930621</t>
  </si>
  <si>
    <t>POINT(-101.95930621 21.526252)</t>
  </si>
  <si>
    <t>20.389148,-101.579335</t>
  </si>
  <si>
    <t>POINT(-101.579335 20.389148)</t>
  </si>
  <si>
    <t>17.552611, -95.367722</t>
  </si>
  <si>
    <t>POINT(-95.367722 17.552611)</t>
  </si>
  <si>
    <t>14.664795, -91.860090</t>
  </si>
  <si>
    <t>POINT(-91.860090 14.664795)</t>
  </si>
  <si>
    <t>14.1278628, -91.6262344</t>
  </si>
  <si>
    <t>POINT(-91.6262344 14.1278628)</t>
  </si>
  <si>
    <t>17.217823, -94.628687</t>
  </si>
  <si>
    <t>14.673889, -91.808333</t>
  </si>
  <si>
    <t>POINT(-91.808333 14.673889)</t>
  </si>
  <si>
    <t>14.676667, -91.608333</t>
  </si>
  <si>
    <t>POINT(-91.608333 14.676667)</t>
  </si>
  <si>
    <t>32.453596, -82.227908</t>
  </si>
  <si>
    <t>POINT(-82.227908 32.453596)</t>
  </si>
  <si>
    <t>17.336209, -93.752678</t>
  </si>
  <si>
    <t>17.476400478068953, -95.60631006752998</t>
  </si>
  <si>
    <t>14.720000, -91.744167</t>
  </si>
  <si>
    <t>POINT(-91.744167 14.720000)</t>
  </si>
  <si>
    <t>14.739722, -91.707778</t>
  </si>
  <si>
    <t>POINT(-91.707778 14.739722)</t>
  </si>
  <si>
    <t>14.693333, -91.607500</t>
  </si>
  <si>
    <t>POINT(-91.607500 14.693333)</t>
  </si>
  <si>
    <t>14.680103, -91.609028</t>
  </si>
  <si>
    <t>Elongata, CL502, 18K</t>
  </si>
  <si>
    <t>POINT(-91.609028 14.680103)</t>
  </si>
  <si>
    <t>14.662500, -91.613889; 14.606417, -91.840889</t>
  </si>
  <si>
    <t>17.411565, -93.789705</t>
  </si>
  <si>
    <t>17.390432, -93.767104</t>
  </si>
  <si>
    <t>30.909772, -84.752342</t>
  </si>
  <si>
    <t>POINT(-84.752342 30.909772)</t>
  </si>
  <si>
    <t>30.819041, -84.808993</t>
  </si>
  <si>
    <t>POINT(-84.808993 30.819041)</t>
  </si>
  <si>
    <t>34.2594, -94.2761</t>
  </si>
  <si>
    <t>18</t>
  </si>
  <si>
    <t>POINT(-94.2761 34.2594)</t>
  </si>
  <si>
    <t>32.048595, -82.372231</t>
  </si>
  <si>
    <t>11, 14, 18</t>
  </si>
  <si>
    <t>POINT(-82.372231 32.048595)</t>
  </si>
  <si>
    <t>32.627857, -86.179914</t>
  </si>
  <si>
    <t>POINT(-86.179914 32.627857)</t>
  </si>
  <si>
    <t>31.623947, -91.865519</t>
  </si>
  <si>
    <t>POINT(-91.865519 31.623947)</t>
  </si>
  <si>
    <t>31.166019, -85.103106</t>
  </si>
  <si>
    <t>12, 13</t>
  </si>
  <si>
    <t>POINT(-85.103106 31.166019)</t>
  </si>
  <si>
    <t>32.943417, -84.155063</t>
  </si>
  <si>
    <t>POINT(-84.155063 32.943417)</t>
  </si>
  <si>
    <t>30.328607, -83.079026</t>
  </si>
  <si>
    <t>13, 14</t>
  </si>
  <si>
    <t>POINT(-83.079026 30.328607)</t>
  </si>
  <si>
    <t>17.242739, -94.827503</t>
  </si>
  <si>
    <t>POINT(-94.827503 17.242739)</t>
  </si>
  <si>
    <t>9.639730, -83.988155</t>
  </si>
  <si>
    <t>POINT(-83.988155 9.639730)</t>
  </si>
  <si>
    <t>10.14815, -84.3476</t>
  </si>
  <si>
    <t>POINT(-84.3476 10.14815)</t>
  </si>
  <si>
    <t>9.614964, -83.963403</t>
  </si>
  <si>
    <t>POINT(-83.963403 9.614964)</t>
  </si>
  <si>
    <t>30.959732, -84.864059</t>
  </si>
  <si>
    <t>POINT(-84.864059 30.959732)</t>
  </si>
  <si>
    <t>33.544381, -85.638128</t>
  </si>
  <si>
    <t>POINT(-85.638128 33.544381)</t>
  </si>
  <si>
    <t>32.9159, -83.2916</t>
  </si>
  <si>
    <t>POINT(-83.2916 32.9159)</t>
  </si>
  <si>
    <t>32.950704, -83.201976</t>
  </si>
  <si>
    <t>POINT(-83.201976 32.950704)</t>
  </si>
  <si>
    <t>31.6476889, -84.8328527</t>
  </si>
  <si>
    <t>POINT(-84.8328527 31.6476889)</t>
  </si>
  <si>
    <t>36.547, -86.5798</t>
  </si>
  <si>
    <t>POINT(-86.5798 36.547)</t>
  </si>
  <si>
    <t>31.002013, -84.443413</t>
  </si>
  <si>
    <t>11,12</t>
  </si>
  <si>
    <t>POINT(-84.443413 31.002013)</t>
  </si>
  <si>
    <t>10.106916, -83.469906</t>
  </si>
  <si>
    <t>POINT(-83.469906 10.106916)</t>
  </si>
  <si>
    <t>9.9405556, -84.4611111</t>
  </si>
  <si>
    <t>POINT(-84.4611111 9.9405556)</t>
  </si>
  <si>
    <t>10.311763, -85.032074</t>
  </si>
  <si>
    <t>POINT(-85.032074 10.311763)</t>
  </si>
  <si>
    <t>8.948962,-83.454376</t>
  </si>
  <si>
    <t>POINT(-83.454376 8.948962)</t>
  </si>
  <si>
    <t>10.357575,-84.067108</t>
  </si>
  <si>
    <t>POINT(-84.067108 10.357575)</t>
  </si>
  <si>
    <t>9.681389, -82.927467</t>
  </si>
  <si>
    <t>POINT(-82.927467 9.681389)</t>
  </si>
  <si>
    <t>32.144117, -85.580865</t>
  </si>
  <si>
    <t>13, 14, 18</t>
  </si>
  <si>
    <t>POINT(-85.580865 32.144117)</t>
  </si>
  <si>
    <t>17.485038872682228, -95.59815403706945</t>
  </si>
  <si>
    <t>17.39948168, -93.78466934</t>
  </si>
  <si>
    <t>10.798889, -84.645000</t>
  </si>
  <si>
    <t>POINT(-84.645000 10.798889)</t>
  </si>
  <si>
    <t>34.719320, -97.722168</t>
  </si>
  <si>
    <t>POINT(-97.722168 34.719320)</t>
  </si>
  <si>
    <t>34.778478, -97.835937</t>
  </si>
  <si>
    <t>2, 11, 13, 18</t>
  </si>
  <si>
    <t>POINT(-97.835937 34.778478)</t>
  </si>
  <si>
    <t>31.6701278, -84.811122</t>
  </si>
  <si>
    <t>POINT(-84.811122 31.6701278)</t>
  </si>
  <si>
    <t>32.5623385, -82.6182654</t>
  </si>
  <si>
    <t>POINT(-82.6182654 32.5623385)</t>
  </si>
  <si>
    <t>32.706608, -86.430760</t>
  </si>
  <si>
    <t>18, 13</t>
  </si>
  <si>
    <t>POINT(-86.430760 32.706608)</t>
  </si>
  <si>
    <t>32.42897, -84.09932</t>
  </si>
  <si>
    <t>POINT(-84.09932 32.42897)</t>
  </si>
  <si>
    <t>30.9439, -84.52606</t>
  </si>
  <si>
    <t>POINT(-84.52606 30.9439)</t>
  </si>
  <si>
    <t>14.131222, -90.386278</t>
  </si>
  <si>
    <t>POINT(-90.386278 14.131222)</t>
  </si>
  <si>
    <t>17.502994, -94.439860</t>
  </si>
  <si>
    <t>POINT(-94.439860 17.502994)</t>
  </si>
  <si>
    <t>17.242757, -94.827848</t>
  </si>
  <si>
    <t>POINT(-94.827848 17.242757)</t>
  </si>
  <si>
    <t>17.799281, -93.462602</t>
  </si>
  <si>
    <t>POINT(-93.462602 17.799281)</t>
  </si>
  <si>
    <t>17.6007097, -94.5515989</t>
  </si>
  <si>
    <t>POINT(-94.5515989 17.6007097)</t>
  </si>
  <si>
    <t>17.5162635, -94.4338635</t>
  </si>
  <si>
    <t>742.0</t>
  </si>
  <si>
    <t>POINT(-94.4338635 17.5162635)</t>
  </si>
  <si>
    <t>32.8212800, -86.8920200</t>
  </si>
  <si>
    <t xml:space="preserve">18, </t>
  </si>
  <si>
    <t>POINT(-86.8920200 32.8212800)</t>
  </si>
  <si>
    <t>17.6514457, -93.7004533</t>
  </si>
  <si>
    <t>POINT(-93.7004533 17.6514457)</t>
  </si>
  <si>
    <t>17.1850153, -94.2047243</t>
  </si>
  <si>
    <t>POINT(-94.2047243 17.1850153)</t>
  </si>
  <si>
    <t>17.581839, -95.235197</t>
  </si>
  <si>
    <t>POINT(-95.235197 17.581839)</t>
  </si>
  <si>
    <t>17.216251, -94.217917</t>
  </si>
  <si>
    <t>POINT(-94.217917 17.216251)</t>
  </si>
  <si>
    <t>30.512792, -90.144444</t>
  </si>
  <si>
    <t>2,12,13,14,18</t>
  </si>
  <si>
    <t>POINT(-90.144444 30.512792)</t>
  </si>
  <si>
    <t>31.44218, -85.98702</t>
  </si>
  <si>
    <t>POINT(-85.98702 31.44218)</t>
  </si>
  <si>
    <t>30.08279, -83.29082</t>
  </si>
  <si>
    <t>POINT(-83.29082 30.08279)</t>
  </si>
  <si>
    <t>10.331239, -83.715675</t>
  </si>
  <si>
    <t>POINT(-83.715675 10.331239)</t>
  </si>
  <si>
    <t>10.198515, -83.551444</t>
  </si>
  <si>
    <t>POINT(-83.551444 10.198515)</t>
  </si>
  <si>
    <t>10.7182, -84.8363</t>
  </si>
  <si>
    <t>POINT(-84.8363 10.7182)</t>
  </si>
  <si>
    <t>10.4297514509, -84.4295795273</t>
  </si>
  <si>
    <t>POINT(-84.4295795273 10.4297514509)</t>
  </si>
  <si>
    <t>9.715530, -84.493030</t>
  </si>
  <si>
    <t>POINT(-84.493030 9.715530)</t>
  </si>
  <si>
    <t>10.393608, -84.433483</t>
  </si>
  <si>
    <t>POINT(-84.433483 10.393608)</t>
  </si>
  <si>
    <t>9.907088488496681, -84.53383254232823</t>
  </si>
  <si>
    <t>POINT(-84.53383254232823 9.907088488496681)</t>
  </si>
  <si>
    <t>32.461693, -82.125609</t>
  </si>
  <si>
    <t>POINT(-82.125609 32.461693)</t>
  </si>
  <si>
    <t>17.3139202, -94.1468291</t>
  </si>
  <si>
    <t>POINT(-94.1468291 17.3139202)</t>
  </si>
  <si>
    <t>17.310944, -94.149801</t>
  </si>
  <si>
    <t>POINT(-94.149801 17.310944)</t>
  </si>
  <si>
    <t>17.2322696, -94.6381162</t>
  </si>
  <si>
    <t>POINT(-94.6381162 17.2322696)</t>
  </si>
  <si>
    <t>17.3314977, -94.1353051</t>
  </si>
  <si>
    <t>POINT(-94.1353051 17.3314977)</t>
  </si>
  <si>
    <t>17.23549747, -94.63290514</t>
  </si>
  <si>
    <t>POINT(-94.63290514 17.23549747)</t>
  </si>
  <si>
    <t>17.324828, -94.138915</t>
  </si>
  <si>
    <t>POINT(-94.138915 17.324828)</t>
  </si>
  <si>
    <t>9.831721, -84.171382</t>
  </si>
  <si>
    <t>POINT(-84.171382 9.831721)</t>
  </si>
  <si>
    <t>9.607136, -84.086778</t>
  </si>
  <si>
    <t>POINT(-84.086778 9.607136)</t>
  </si>
  <si>
    <t>9.61531, -83.9635</t>
  </si>
  <si>
    <t>POINT(-83.9635 9.61531)</t>
  </si>
  <si>
    <t>9.912110720985366, -83.94945776901817</t>
  </si>
  <si>
    <t>POINT(-83.94945776901817 9.912110720985366)</t>
  </si>
  <si>
    <t>33.147101, -85.298481</t>
  </si>
  <si>
    <t>11, 14</t>
  </si>
  <si>
    <t>POINT(-85.298481 33.147101)</t>
  </si>
  <si>
    <t>49.065235, -123.856235</t>
  </si>
  <si>
    <t>POINT(-123.856235 49.065235)</t>
  </si>
  <si>
    <t>32.084553, -88.272101</t>
  </si>
  <si>
    <t>POINT(-88.272101 32.084553)</t>
  </si>
  <si>
    <t>36.949087, -85.989939</t>
  </si>
  <si>
    <t>POINT(-85.989939 36.949087)</t>
  </si>
  <si>
    <t>9.592445, -84.056404</t>
  </si>
  <si>
    <t>POINT(-84.056404 9.592445)</t>
  </si>
  <si>
    <t>9.616331, -83.962018</t>
  </si>
  <si>
    <t>POINT(-83.962018 9.616331)</t>
  </si>
  <si>
    <t>10.145299386243805, -84.34903504823272</t>
  </si>
  <si>
    <t>POINT(-84.34903504823272 10.145299386243805)</t>
  </si>
  <si>
    <t>10.092262, -84.415180</t>
  </si>
  <si>
    <t>POINT(-84.415180 10.092262)</t>
  </si>
  <si>
    <t>9.648094, -84.025314</t>
  </si>
  <si>
    <t>POINT(-84.025314 9.648094)</t>
  </si>
  <si>
    <t>9.592423, -84.076438</t>
  </si>
  <si>
    <t>POINT(-84.076438 9.592423)</t>
  </si>
  <si>
    <t>9.599934, -83.967602</t>
  </si>
  <si>
    <t>POINT(-83.967602 9.599934)</t>
  </si>
  <si>
    <t>10.129139, -84.353389</t>
  </si>
  <si>
    <t>POINT(-84.353389 10.129139)</t>
  </si>
  <si>
    <t>20.742392, -100.867894</t>
  </si>
  <si>
    <t>POINT(-100.867894 20.742392)</t>
  </si>
  <si>
    <t>16.074253, -89.729667</t>
  </si>
  <si>
    <t>POINT(-89.729667 16.074253)</t>
  </si>
  <si>
    <t>14.7237050, -89.1903883</t>
  </si>
  <si>
    <t>POINT(-89.1903883 14.7237050)</t>
  </si>
  <si>
    <t>17.523197, -95.390517</t>
  </si>
  <si>
    <t>POINT(-95.390517 17.523197)</t>
  </si>
  <si>
    <t>21.316639, -101.339972</t>
  </si>
  <si>
    <t>POINT(-101.339972 21.316639)</t>
  </si>
  <si>
    <t>20.253389, -102.084111</t>
  </si>
  <si>
    <t>POINT(-102.084111 20.253389)</t>
  </si>
  <si>
    <t>22.114167, -102.098228</t>
  </si>
  <si>
    <t>POINT(-102.098228 22.114167)</t>
  </si>
  <si>
    <t>10.7701, -84.5141</t>
  </si>
  <si>
    <t>POINT(-84.5141 10.7701)</t>
  </si>
  <si>
    <t>10.7950000, -084.8700000</t>
  </si>
  <si>
    <t>POINT(-084.8700000 10.7950000)</t>
  </si>
  <si>
    <t>None</t>
  </si>
  <si>
    <t>21.398222, -101.255389</t>
  </si>
  <si>
    <t>POINT(-101.255389 21.398222)</t>
  </si>
  <si>
    <t>10.094975, -84.2569388889</t>
  </si>
  <si>
    <t>POINT(-84.2569388889 10.094975)</t>
  </si>
  <si>
    <t>14.844633, -91.779992</t>
  </si>
  <si>
    <t>POINT(-91.779992 14.844633)</t>
  </si>
  <si>
    <t>9.85458385907, -83.5665219867</t>
  </si>
  <si>
    <t>POINT(-83.5665219867 9.85458385907)</t>
  </si>
  <si>
    <t>9.948961, -84.476863</t>
  </si>
  <si>
    <t>POINT(-84.476863 9.948961)</t>
  </si>
  <si>
    <t>30.836336, -84.884128</t>
  </si>
  <si>
    <t>POINT(-84.884128 30.836336)</t>
  </si>
  <si>
    <t>33.151431, -85.297489</t>
  </si>
  <si>
    <t>POINT(-85.297489 33.151431)</t>
  </si>
  <si>
    <t>46.018121, -118.631065</t>
  </si>
  <si>
    <t>11, 12, 13, 14, 18, TG Cool</t>
  </si>
  <si>
    <t>POINT(-118.631065 46.018121)</t>
  </si>
  <si>
    <t>31.046150, -88.514616</t>
  </si>
  <si>
    <t>POINT(-88.514616 31.046150)</t>
  </si>
  <si>
    <t>32.570194, -86.139344</t>
  </si>
  <si>
    <t>POINT(-86.139344 32.570194)</t>
  </si>
  <si>
    <t>32.643850, -86.087211</t>
  </si>
  <si>
    <t>POINT(-86.087211 32.643850)</t>
  </si>
  <si>
    <t>32.493119, -87.035615</t>
  </si>
  <si>
    <t>13</t>
  </si>
  <si>
    <t>POINT(-87.035615 32.493119)</t>
  </si>
  <si>
    <t>17.2572108,-94.6050448</t>
  </si>
  <si>
    <t>32.718296, -86.462519</t>
  </si>
  <si>
    <t>POINT(-86.462519 32.718296)</t>
  </si>
  <si>
    <t>31.491922, -87.827034</t>
  </si>
  <si>
    <t>POINT(-87.827034 31.491922)</t>
  </si>
  <si>
    <t>30.822035, -84.810527</t>
  </si>
  <si>
    <t>POINT(-84.810527 30.822035)</t>
  </si>
  <si>
    <t>10.4592560, -84.0859000</t>
  </si>
  <si>
    <t>POINT(-84.0859000 10.4592560)</t>
  </si>
  <si>
    <t>9.791472, -83.914333</t>
  </si>
  <si>
    <t>POINT(-83.914333 9.791472)</t>
  </si>
  <si>
    <t>10.8637164, -84.8670888</t>
  </si>
  <si>
    <t>POINT(-84.8670888 10.8637164)</t>
  </si>
  <si>
    <t>10.937500, -85.365000</t>
  </si>
  <si>
    <t>POINT(-85.365000 10.937500)</t>
  </si>
  <si>
    <t>10.7950000, -84.8722222</t>
  </si>
  <si>
    <t>POINT(-84.8722222 10.7950000)</t>
  </si>
  <si>
    <t>9.822226, -84.173046</t>
  </si>
  <si>
    <t>POINT(-84.173046 9.822226)</t>
  </si>
  <si>
    <t>10.3508, -84.6472</t>
  </si>
  <si>
    <t>POINT(-84.6472 10.3508)</t>
  </si>
  <si>
    <t>9.584145, -84.044777</t>
  </si>
  <si>
    <t>POINT(-84.044777 9.584145)</t>
  </si>
  <si>
    <t>10.8283, -85.0779</t>
  </si>
  <si>
    <t>POINT(-85.0779 10.8283)</t>
  </si>
  <si>
    <t>9.813735,-84.521880</t>
  </si>
  <si>
    <t>POINT(-84.521880 9.813735)</t>
  </si>
  <si>
    <t>8.994306, -82.996704</t>
  </si>
  <si>
    <t>POINT(-82.996704 8.994306)</t>
  </si>
  <si>
    <t>10.38712, -83.57776</t>
  </si>
  <si>
    <t>POINT(-83.57776 10.38712)</t>
  </si>
  <si>
    <t>34.147730, -83.731530</t>
  </si>
  <si>
    <t>POINT(-83.731530 34.147730)</t>
  </si>
  <si>
    <t>33.925245, -83.275859</t>
  </si>
  <si>
    <t>POINT(-83.275859 33.925245)</t>
  </si>
  <si>
    <t>32.650205, -86.164934</t>
  </si>
  <si>
    <t>11, 12, 13, 14, 18</t>
  </si>
  <si>
    <t>POINT(-86.164934 32.650205)</t>
  </si>
  <si>
    <t>31.246499, -85.161864</t>
  </si>
  <si>
    <t>2, 12, 18</t>
  </si>
  <si>
    <t>POINT(-85.161864 31.246499)</t>
  </si>
  <si>
    <t>31.080472, -86.570887</t>
  </si>
  <si>
    <t>POINT(-86.570887 31.080472)</t>
  </si>
  <si>
    <t>32.675524, -88.847579</t>
  </si>
  <si>
    <t>11, 13, 14</t>
  </si>
  <si>
    <t>POINT(-88.847579 32.675524)</t>
  </si>
  <si>
    <t>31.26, -89.8300000</t>
  </si>
  <si>
    <t>2, 12, 14</t>
  </si>
  <si>
    <t>POINT(-89.8300000 31.26)</t>
  </si>
  <si>
    <t>34.704052, -83.659809</t>
  </si>
  <si>
    <t>POINT(-83.659809 34.704052)</t>
  </si>
  <si>
    <t>31.157609, -85.167070</t>
  </si>
  <si>
    <t>POINT(-85.167070 31.157609)</t>
  </si>
  <si>
    <t>31.157525, -85.197849</t>
  </si>
  <si>
    <t>POINT(-85.197849 31.157525)</t>
  </si>
  <si>
    <t>33.685657, -85.343371</t>
  </si>
  <si>
    <t>POINT(-85.343371 33.685657)</t>
  </si>
  <si>
    <t>32.019754, -83.626989</t>
  </si>
  <si>
    <t>POINT(-83.626989 32.019754)</t>
  </si>
  <si>
    <t>33.148289, -85.301667</t>
  </si>
  <si>
    <t>POINT(-85.301667 33.148289)</t>
  </si>
  <si>
    <t>33.218413, -83.932813</t>
  </si>
  <si>
    <t>2, 11, 12</t>
  </si>
  <si>
    <t>POINT(-83.932813 33.218413)</t>
  </si>
  <si>
    <t>40.450869, -121.877380</t>
  </si>
  <si>
    <t>2, 11, 12, 13, 14, 20, TG Cool</t>
  </si>
  <si>
    <t>POINT(-121.877380 40.450869)</t>
  </si>
  <si>
    <t>31.452362, -86.213403</t>
  </si>
  <si>
    <t>2, 12, 13, 14, 18</t>
  </si>
  <si>
    <t>POINT(-86.213403 31.452362)</t>
  </si>
  <si>
    <t>33.012014, -84.475939</t>
  </si>
  <si>
    <t>12, 13, 14</t>
  </si>
  <si>
    <t>POINT(-84.475939 33.012014)</t>
  </si>
  <si>
    <t>32.49, -86.5100000</t>
  </si>
  <si>
    <t>POINT(-86.5100000 32.49)</t>
  </si>
  <si>
    <t>34.43919, -83.23246</t>
  </si>
  <si>
    <t>2, 14, 18</t>
  </si>
  <si>
    <t>POINT(-83.23246 34.43919)</t>
  </si>
  <si>
    <t>49.174988, -123.992556</t>
  </si>
  <si>
    <t>POINT(-123.992556 49.174988)</t>
  </si>
  <si>
    <t>17.002723, -95.064282</t>
  </si>
  <si>
    <t>17.547844, -94.467956</t>
  </si>
  <si>
    <t>POINT(-94.467956 17.547844)</t>
  </si>
  <si>
    <t>31.246976, -85.178192</t>
  </si>
  <si>
    <t>POINT(-85.178192 31.246976)</t>
  </si>
  <si>
    <t>31.9851774, -85.5246404</t>
  </si>
  <si>
    <t>POINT(-85.5246404 31.9851774)</t>
  </si>
  <si>
    <t>32.278489, -85.247919</t>
  </si>
  <si>
    <t>2, 11, 14, 18</t>
  </si>
  <si>
    <t>POINT(-85.247919 32.278489)</t>
  </si>
  <si>
    <t>10.681722, -84.068329</t>
  </si>
  <si>
    <t>POINT(-84.068329 10.681722)</t>
  </si>
  <si>
    <t>10.8096, -84.6369</t>
  </si>
  <si>
    <t>POINT(-84.6369 10.8096)</t>
  </si>
  <si>
    <t>9.0522990, -83.4801100</t>
  </si>
  <si>
    <t>POINT(-83.4801100 9.0522990)</t>
  </si>
  <si>
    <t>33.621869, -85.456980</t>
  </si>
  <si>
    <t>POINT(-85.456980 33.621869)</t>
  </si>
  <si>
    <t>10.057484, -84.4583290</t>
  </si>
  <si>
    <t>POINT(-84.4583290 10.057484)</t>
  </si>
  <si>
    <t>10.3576690, -84.9288100</t>
  </si>
  <si>
    <t>POINT(-84.9288100 10.3576690)</t>
  </si>
  <si>
    <t>10.717385, -84.684209</t>
  </si>
  <si>
    <t>POINT(-84.684209 10.717385)</t>
  </si>
  <si>
    <t>10.819479, -85.239038</t>
  </si>
  <si>
    <t>POINT(-85.239038 10.819479)</t>
  </si>
  <si>
    <t>10.025055, -84.395242</t>
  </si>
  <si>
    <t>POINT(-84.395242 10.025055)</t>
  </si>
  <si>
    <t>9.957288, -84.191905</t>
  </si>
  <si>
    <t>POINT(-84.191905 9.957288)</t>
  </si>
  <si>
    <t>10.262187, -83.684872</t>
  </si>
  <si>
    <t>POINT(-83.684872 10.262187)</t>
  </si>
  <si>
    <t>10.141989, -84.345863</t>
  </si>
  <si>
    <t>POINT(-84.345863 10.141989)</t>
  </si>
  <si>
    <t>10.1442903528, -84.3388900105</t>
  </si>
  <si>
    <t>POINT(-84.3388900105 10.1442903528)</t>
  </si>
  <si>
    <t>8.81043499972, -82.9855150001</t>
  </si>
  <si>
    <t>POINT(-82.9855150001 8.81043499972)</t>
  </si>
  <si>
    <t>8.845435,-82.895748</t>
  </si>
  <si>
    <t>POINT(-82.895748 8.845435)</t>
  </si>
  <si>
    <t>14.7226790, -90.0106004</t>
  </si>
  <si>
    <t>POINT(-90.0106004 14.7226790)</t>
  </si>
  <si>
    <t>14.5684073, -89.3669417; 17.004972, -89.243806</t>
  </si>
  <si>
    <t>14.670583, -91.861889</t>
  </si>
  <si>
    <t>POINT(-91.861889 14.670583)</t>
  </si>
  <si>
    <t>9.808026349, -84.1160400027</t>
  </si>
  <si>
    <t>POINT(-84.1160400027 9.808026349)</t>
  </si>
  <si>
    <t>14.569028, -89.387389</t>
  </si>
  <si>
    <t>POINT(-89.387389 14.569028)</t>
  </si>
  <si>
    <t>26.278008, -97.890074</t>
  </si>
  <si>
    <t>POINT(-97.890074 26.278008)</t>
  </si>
  <si>
    <t>26.275504, -97.890818</t>
  </si>
  <si>
    <t>POINT(-97.890818 26.275504)</t>
  </si>
  <si>
    <t>27.478449, -81.296945</t>
  </si>
  <si>
    <t>POINT(-81.296945 27.478449)</t>
  </si>
  <si>
    <t>14.696389, -91.614167</t>
  </si>
  <si>
    <t>POINT(-91.614167 14.696389)</t>
  </si>
  <si>
    <t>17.515256, -94.456917</t>
  </si>
  <si>
    <t>POINT(-94.456917 17.515256)</t>
  </si>
  <si>
    <t>17.235938, -94.891213</t>
  </si>
  <si>
    <t>21.326888, -101.356834</t>
  </si>
  <si>
    <t>POINT(-101.356834 21.326888)</t>
  </si>
  <si>
    <t>15.6174366, -88.550626</t>
  </si>
  <si>
    <t>POINT(-88.550626 15.6174366)</t>
  </si>
  <si>
    <t>14.862008, -91.680298</t>
  </si>
  <si>
    <t>POINT(-91.680298 14.862008)</t>
  </si>
  <si>
    <t>9.79456599997, -84.4494810002</t>
  </si>
  <si>
    <t>POINT(-84.4494810002 9.79456599997)</t>
  </si>
  <si>
    <t>10.152412, -84.384034</t>
  </si>
  <si>
    <t>POINT(-84.384034 10.152412)</t>
  </si>
  <si>
    <t>45.321683 -122.533558</t>
  </si>
  <si>
    <t>30.770056, -89.532565</t>
  </si>
  <si>
    <t>POINT(-89.532565 30.770056)</t>
  </si>
  <si>
    <t>30.13526 -83.18676</t>
  </si>
  <si>
    <t>33.146328, -85.297633</t>
  </si>
  <si>
    <t>POINT(-85.297633 33.146328)</t>
  </si>
  <si>
    <t>33.77408, -85.77677</t>
  </si>
  <si>
    <t>POINT(-85.77677 33.77408)</t>
  </si>
  <si>
    <t>40.450392, -81.009647</t>
  </si>
  <si>
    <t>POINT(-81.009647 40.450392)</t>
  </si>
  <si>
    <t>33.121452, -82.197412</t>
  </si>
  <si>
    <t>POINT(-82.197412 33.121452)</t>
  </si>
  <si>
    <t>33.983918, -86.808292</t>
  </si>
  <si>
    <t>POINT(-86.808292 33.983918)</t>
  </si>
  <si>
    <t>35.551192, -89.559985</t>
  </si>
  <si>
    <t>POINT(-89.559985 35.551192)</t>
  </si>
  <si>
    <t>10.156746464826096, -84.36153974720318</t>
  </si>
  <si>
    <t>POINT(-84.36153974720318 10.156746464826096)</t>
  </si>
  <si>
    <t>38.924631, -79.115736</t>
  </si>
  <si>
    <t>POINT(-79.115736 38.924631)</t>
  </si>
  <si>
    <t>30.507875, -96.677142</t>
  </si>
  <si>
    <t>POINT(-96.677142 30.507875)</t>
  </si>
  <si>
    <t>38.97308658743254, -81.85390750716458</t>
  </si>
  <si>
    <t>POINT(-81.85390750716458 38.97308658743254)</t>
  </si>
  <si>
    <t>49.06572, -123.854433</t>
  </si>
  <si>
    <t>POINT(-123.854433 49.06572)</t>
  </si>
  <si>
    <t>40.146041, -75.902765</t>
  </si>
  <si>
    <t>POINT(-75.902765 40.146041)</t>
  </si>
  <si>
    <t>32.920002, -81.857590</t>
  </si>
  <si>
    <t>POINT(-81.857590 32.920002)</t>
  </si>
  <si>
    <t>9.948853, -83.912934</t>
  </si>
  <si>
    <t>POINT(-83.912934 9.948853)</t>
  </si>
  <si>
    <t>35.023722, -97.734500</t>
  </si>
  <si>
    <t>POINT(-97.734500 35.023722)</t>
  </si>
  <si>
    <t>34.7043556, -83.6595083</t>
  </si>
  <si>
    <t>POINT(-83.6595083 34.7043556)</t>
  </si>
  <si>
    <t>17.246038, -94.898974</t>
  </si>
  <si>
    <t>10.03002, -84.4588</t>
  </si>
  <si>
    <t>POINT(-84.4588 10.03002)</t>
  </si>
  <si>
    <t>10.0115921398, -84.0836667227</t>
  </si>
  <si>
    <t>POINT(-84.0836667227 10.0115921398)</t>
  </si>
  <si>
    <t>17.244685, -94.902886</t>
  </si>
  <si>
    <t>31.1808, -85.5426</t>
  </si>
  <si>
    <t>POINT(-85.5426 31.1808)</t>
  </si>
  <si>
    <t>31.435859, -82.676627</t>
  </si>
  <si>
    <t>POINT(-82.676627 31.435859)</t>
  </si>
  <si>
    <t>32.268004, -85.276762</t>
  </si>
  <si>
    <t>POINT(-85.276762 32.268004)</t>
  </si>
  <si>
    <t>31.264032, -85.211331</t>
  </si>
  <si>
    <t>POINT(-85.211331 31.264032)</t>
  </si>
  <si>
    <t>33.118028, -84.690333</t>
  </si>
  <si>
    <t>POINT(-84.690333 33.118028)</t>
  </si>
  <si>
    <t>33.220833, -83.948611</t>
  </si>
  <si>
    <t>POINT(-83.948611 33.220833)</t>
  </si>
  <si>
    <t>34.355772, -87.809977</t>
  </si>
  <si>
    <t>POINT(-87.809977 34.355772)</t>
  </si>
  <si>
    <t>32.087257, -83.779869</t>
  </si>
  <si>
    <t>POINT(-83.779869 32.087257)</t>
  </si>
  <si>
    <t>34.771515, -83.016177</t>
  </si>
  <si>
    <t>POINT(-83.016177 34.771515)</t>
  </si>
  <si>
    <t>32.899323, -86.760369</t>
  </si>
  <si>
    <t>2, 12</t>
  </si>
  <si>
    <t>POINT(-86.760369 32.899323)</t>
  </si>
  <si>
    <t>30.503376, -85.128196</t>
  </si>
  <si>
    <t>POINT(-85.128196 30.503376)</t>
  </si>
  <si>
    <t>30.512148, -90.149143</t>
  </si>
  <si>
    <t>POINT(-90.149143 30.512148)</t>
  </si>
  <si>
    <t>10.064184, -84.202693</t>
  </si>
  <si>
    <t>POINT(-84.202693 10.064184)</t>
  </si>
  <si>
    <t>17.216591, -94.906441</t>
  </si>
  <si>
    <t>30.296870,-85.118840</t>
  </si>
  <si>
    <t>POINT(-85.118840 30.296870)</t>
  </si>
  <si>
    <t>32.629858, -86.343719</t>
  </si>
  <si>
    <t>2</t>
  </si>
  <si>
    <t>POINT(-86.343719 32.629858)</t>
  </si>
  <si>
    <t>33.669076, -85.558646</t>
  </si>
  <si>
    <t>POINT(-85.558646 33.669076)</t>
  </si>
  <si>
    <t>33.817511, -85.333604</t>
  </si>
  <si>
    <t>POINT(-85.333604 33.817511)</t>
  </si>
  <si>
    <t>31.511507, -86.030343</t>
  </si>
  <si>
    <t>POINT(-86.030343 31.511507)</t>
  </si>
  <si>
    <t>44.153595, -123.184589</t>
  </si>
  <si>
    <t>11, TG Cool</t>
  </si>
  <si>
    <t>POINT(-123.184589 44.153595)</t>
  </si>
  <si>
    <t>32.847766, -85.747348</t>
  </si>
  <si>
    <t>POINT(-85.747348 32.847766)</t>
  </si>
  <si>
    <t>30.281944, -84.261389</t>
  </si>
  <si>
    <t>POINT(-84.261389 30.281944)</t>
  </si>
  <si>
    <t>30.7101463, -90.1702716</t>
  </si>
  <si>
    <t>POINT(-90.1702716 30.7101463)</t>
  </si>
  <si>
    <t>32.884628, -86.619910</t>
  </si>
  <si>
    <t>POINT(-86.619910 32.884628)</t>
  </si>
  <si>
    <t>32.294732, -83.771057</t>
  </si>
  <si>
    <t>POINT(-83.771057 32.294732)</t>
  </si>
  <si>
    <t>32.619274, -86.316458</t>
  </si>
  <si>
    <t>POINT(-86.316458 32.619274)</t>
  </si>
  <si>
    <t>32.819540, -86.884327</t>
  </si>
  <si>
    <t>POINT(-86.884327 32.819540)</t>
  </si>
  <si>
    <t>35.469667, -81.623418</t>
  </si>
  <si>
    <t>POINT(-81.623418 35.469667)</t>
  </si>
  <si>
    <t>33.355810, -84.466823</t>
  </si>
  <si>
    <t>POINT(-84.466823 33.355810)</t>
  </si>
  <si>
    <t>33.902222, -85.603611</t>
  </si>
  <si>
    <t>POINT(-85.603611 33.902222)</t>
  </si>
  <si>
    <t>9.134511, -83.533200</t>
  </si>
  <si>
    <t>POINT(-83.533200 9.134511)</t>
  </si>
  <si>
    <t>9.645706, -84.114748</t>
  </si>
  <si>
    <t>POINT(-84.114748 9.645706)</t>
  </si>
  <si>
    <t>10.804139,-85.107325</t>
  </si>
  <si>
    <t>POINT(-85.107325 10.804139)</t>
  </si>
  <si>
    <t>9.631844, -83.974478</t>
  </si>
  <si>
    <t>POINT(-83.974478 9.631844)</t>
  </si>
  <si>
    <t>10.110107, -84.384851</t>
  </si>
  <si>
    <t>POINT(-84.384851 10.110107)</t>
  </si>
  <si>
    <t>14.949444, -89.331667</t>
  </si>
  <si>
    <t>POINT(-89.331667 14.949444)</t>
  </si>
  <si>
    <t>31.091828, -85.145523</t>
  </si>
  <si>
    <t>POINT(-85.145523 31.091828)</t>
  </si>
  <si>
    <t>32.504364, -96.432625</t>
  </si>
  <si>
    <t>POINT(-96.432625 32.504364)</t>
  </si>
  <si>
    <t>37.159784, -79.564229</t>
  </si>
  <si>
    <t>2, CV</t>
  </si>
  <si>
    <t>POINT(-79.564229 37.159784)</t>
  </si>
  <si>
    <t>16.739722, -90.462361</t>
  </si>
  <si>
    <t>POINT(-90.462361 16.739722)</t>
  </si>
  <si>
    <t>14.965472, -89.280583</t>
  </si>
  <si>
    <t>POINT(-89.280583 14.965472)</t>
  </si>
  <si>
    <t>16.008611, -90.842000</t>
  </si>
  <si>
    <t>POINT(-90.842000 16.008611)</t>
  </si>
  <si>
    <t>17.217873, -94.638552</t>
  </si>
  <si>
    <t>1650.0</t>
  </si>
  <si>
    <t>POINT(-94.638552 17.217873)</t>
  </si>
  <si>
    <t>17.2390516, -94.1949683</t>
  </si>
  <si>
    <t>POINT(-94.1949683 17.2390516)</t>
  </si>
  <si>
    <t>17.735231695097593, -95.89492031715417</t>
  </si>
  <si>
    <t>17.491062, -94.436408</t>
  </si>
  <si>
    <t>POINT(-94.436408 17.491062)</t>
  </si>
  <si>
    <t>17.4902304, -94.4526763</t>
  </si>
  <si>
    <t>POINT(-94.4526763 17.4902304)</t>
  </si>
  <si>
    <t>17.38913629, -93.77397504</t>
  </si>
  <si>
    <t>POINT(-93.77397504 17.38913629)</t>
  </si>
  <si>
    <t>14.990889, -91.990889</t>
  </si>
  <si>
    <t>18K, CL502</t>
  </si>
  <si>
    <t>POINT(-91.990889 14.990889)</t>
  </si>
  <si>
    <t>22.446450, -101.494247</t>
  </si>
  <si>
    <t>POINT(-101.494247 22.446450)</t>
  </si>
  <si>
    <t>17.568433, -95.317894</t>
  </si>
  <si>
    <t>POINT(-95.317894 17.568433)</t>
  </si>
  <si>
    <t>17.817750, -95.269309</t>
  </si>
  <si>
    <t>POINT(-95.269309 17.817750)</t>
  </si>
  <si>
    <t>17.773121, -94.070394</t>
  </si>
  <si>
    <t>POINT(-94.070394 17.773121)</t>
  </si>
  <si>
    <t>17.613268, -95.2580050</t>
  </si>
  <si>
    <t>POINT(-95.2580050 17.613268)</t>
  </si>
  <si>
    <t>16.534257, -92.474401</t>
  </si>
  <si>
    <t>POINT(-92.474401 16.534257)</t>
  </si>
  <si>
    <t>17.933919, -95.322563</t>
  </si>
  <si>
    <t>POINT(-95.322563 17.933919)</t>
  </si>
  <si>
    <t>2, 14,13</t>
  </si>
  <si>
    <t>32.619274,-86.316458</t>
  </si>
  <si>
    <t>35.624443, -84.560837</t>
  </si>
  <si>
    <t>13, 14, CV</t>
  </si>
  <si>
    <t>POINT(-84.560837 35.624443)</t>
  </si>
  <si>
    <t>30.694789, -87.088518</t>
  </si>
  <si>
    <t>POINT(-87.088518 30.694789)</t>
  </si>
  <si>
    <t>46.537576, -122.354751</t>
  </si>
  <si>
    <t>2, 11, 12, 13, 14, 18, 20, TG</t>
  </si>
  <si>
    <t>POINT(-122.354751 46.537576)</t>
  </si>
  <si>
    <t>31.220170, -82.632183</t>
  </si>
  <si>
    <t>POINT(-82.632183 31.220170)</t>
  </si>
  <si>
    <t>17.3617901, -93.78557324</t>
  </si>
  <si>
    <t>POINT(-93.78557324 17.3617901)</t>
  </si>
  <si>
    <t>17.34223477, -93.7660538</t>
  </si>
  <si>
    <t>POINT(-93.7660538 17.34223477)</t>
  </si>
  <si>
    <t>17.4952513, -94.4474044</t>
  </si>
  <si>
    <t>POINT(-94.4474044 17.4952513)</t>
  </si>
  <si>
    <t>17.35488148, -93.78831346</t>
  </si>
  <si>
    <t>POINT(-93.78831346 17.35488148)</t>
  </si>
  <si>
    <t>17.38517395, -93.77421711</t>
  </si>
  <si>
    <t>POINT(-93.77421711 17.38517395)</t>
  </si>
  <si>
    <t>17.211378, -94.592932</t>
  </si>
  <si>
    <t>POINT(-94.592932 17.211378)</t>
  </si>
  <si>
    <t>17.2663584, -94.8070242</t>
  </si>
  <si>
    <t>1750.0</t>
  </si>
  <si>
    <t>POINT(-94.8070242 17.2663584)</t>
  </si>
  <si>
    <t>17.32442, -94.1406212</t>
  </si>
  <si>
    <t>POINT(-94.1406212 17.32442)</t>
  </si>
  <si>
    <t>17.23688551, -94.62315052</t>
  </si>
  <si>
    <t>POINT(-94.62315052 17.23688551)</t>
  </si>
  <si>
    <t>17.3095507, -94.1507831</t>
  </si>
  <si>
    <t>POINT(-94.1507831 17.3095507)</t>
  </si>
  <si>
    <t>9.1788952,-83.3352067</t>
  </si>
  <si>
    <t>POINT(-83.3352067 9.1788952)</t>
  </si>
  <si>
    <t>12</t>
  </si>
  <si>
    <t>31.942337, -84.868611</t>
  </si>
  <si>
    <t>POINT(-84.868611 31.942337)</t>
  </si>
  <si>
    <t>17.3173835, -94.126369</t>
  </si>
  <si>
    <t>POINT(-94.126369 17.3173835)</t>
  </si>
  <si>
    <t>17.30949, -94.158382</t>
  </si>
  <si>
    <t>POINT(-94.158382 17.30949)</t>
  </si>
  <si>
    <t>17.217334, -94.629938</t>
  </si>
  <si>
    <t>POINT(-94.629938 17.217334)</t>
  </si>
  <si>
    <t>17.3168959, -94.1362131</t>
  </si>
  <si>
    <t>POINT(-94.1362131 17.3168959)</t>
  </si>
  <si>
    <t>17.3227256, -94.1536424</t>
  </si>
  <si>
    <t>POINT(-94.1536424 17.3227256)</t>
  </si>
  <si>
    <t>17.2219009, -94.6369167</t>
  </si>
  <si>
    <t>POINT(-94.6369167 17.2219009)</t>
  </si>
  <si>
    <t>17.300934, -94.173452</t>
  </si>
  <si>
    <t>POINT(-94.173452 17.300934)</t>
  </si>
  <si>
    <t>17.3284854, -94.1451928</t>
  </si>
  <si>
    <t>POINT(-94.1451928 17.3284854)</t>
  </si>
  <si>
    <t>17.3251813, -94.138121</t>
  </si>
  <si>
    <t>POINT(-94.138121 17.3251813)</t>
  </si>
  <si>
    <t>17.4844392236139, -95.5933437605206</t>
  </si>
  <si>
    <t>POINT(-95.5933437605206 17.4844392236139)</t>
  </si>
  <si>
    <t>17.9506003, -95.3010965</t>
  </si>
  <si>
    <t>POINT(-95.3010965 17.9506003)</t>
  </si>
  <si>
    <t>17.4764004478068, -95.6063100675299</t>
  </si>
  <si>
    <t>POINT(-95.6063100675299 17.4764004478068)</t>
  </si>
  <si>
    <t>17.8019092, -95.8793005</t>
  </si>
  <si>
    <t>POINT(-95.8793005 17.8019092)</t>
  </si>
  <si>
    <t>18.0043718449499, -95.6316656587739</t>
  </si>
  <si>
    <t>POINT(-95.6316656587739 18.0043718449499)</t>
  </si>
  <si>
    <t>18.021515650799625, -95.43151895369918</t>
  </si>
  <si>
    <t>POINT(-95.43151895369918 18.021515650799625)</t>
  </si>
  <si>
    <t>17.6995652, -95.5325522</t>
  </si>
  <si>
    <t>POINT(-95.5325522 17.6995652)</t>
  </si>
  <si>
    <t>17.2068758, -94.7027043</t>
  </si>
  <si>
    <t>POINT(-94.7027043 17.2068758)</t>
  </si>
  <si>
    <t>17.3242687, -94.1495566</t>
  </si>
  <si>
    <t>POINT(-94.1495566 17.3242687)</t>
  </si>
  <si>
    <t>17.3189185, -93.7432548</t>
  </si>
  <si>
    <t>820.0</t>
  </si>
  <si>
    <t>POINT(-93.7432548 17.3189185)</t>
  </si>
  <si>
    <t>17.3262367, -93.7438911</t>
  </si>
  <si>
    <t>1475.0</t>
  </si>
  <si>
    <t>POINT(-93.7438911 17.3262367)</t>
  </si>
  <si>
    <t>17.42363581, -93.7994805</t>
  </si>
  <si>
    <t>POINT(-93.7994805 17.42363581)</t>
  </si>
  <si>
    <t>17.38856997, -93.77116978</t>
  </si>
  <si>
    <t>390.0</t>
  </si>
  <si>
    <t>POINT(-93.77116978 17.38856997)</t>
  </si>
  <si>
    <t>17.424491, -93.803707</t>
  </si>
  <si>
    <t>POINT(-93.803707 17.424491)</t>
  </si>
  <si>
    <t>17.39444359, -93.77239354</t>
  </si>
  <si>
    <t>650.0</t>
  </si>
  <si>
    <t>POINT(-93.77239354 17.39444359)</t>
  </si>
  <si>
    <t>phone</t>
  </si>
  <si>
    <t>email</t>
  </si>
  <si>
    <t>address</t>
  </si>
  <si>
    <t>shipping_address</t>
  </si>
  <si>
    <t>contract_codes</t>
  </si>
  <si>
    <t>956-873-2487</t>
  </si>
  <si>
    <t>brucegamblefarms@gmail.com</t>
  </si>
  <si>
    <t>10539 Mile 8 Road, LaFeria, TX, USA, 78559</t>
  </si>
  <si>
    <t>['US0001', 'US0004', 'US0005']</t>
  </si>
  <si>
    <t>['US0002']</t>
  </si>
  <si>
    <t>['US0003']</t>
  </si>
  <si>
    <t>228-861-5711</t>
  </si>
  <si>
    <t>davidsmith@coastepa.com</t>
  </si>
  <si>
    <t>42 M K Layne  Poplarville  MS  39470-4337</t>
  </si>
  <si>
    <t>['US0006']</t>
  </si>
  <si>
    <t>['US0007']</t>
  </si>
  <si>
    <t>334-646-0227, 334-885-6998</t>
  </si>
  <si>
    <t>emartens@teleclipse.net</t>
  </si>
  <si>
    <t>516 County Road 664, Roanoke, AL. 36274-5431</t>
  </si>
  <si>
    <t>['US0008', 'US0023']</t>
  </si>
  <si>
    <t>901-619-5991, 901-476-1263, 901-313-9793</t>
  </si>
  <si>
    <t>jridings01@aol.com, jayspaintandbody@gmail.com, jridings01@aol.com</t>
  </si>
  <si>
    <t>1972 Leighs Chapel Rd, Covington, TN 38019-4522</t>
  </si>
  <si>
    <t>['US0009']</t>
  </si>
  <si>
    <t>['US0010']</t>
  </si>
  <si>
    <t>724-946-2819 - message only, 234-567-1751</t>
  </si>
  <si>
    <t>0</t>
  </si>
  <si>
    <t>47 B&amp;H Lane, New Wilmington PA 16142</t>
  </si>
  <si>
    <t>8080 Branch Rd SE Scio OH 43988-9552</t>
  </si>
  <si>
    <t>['US0011']</t>
  </si>
  <si>
    <t>['US0012']</t>
  </si>
  <si>
    <t>['US0013']</t>
  </si>
  <si>
    <t>901-356-4125</t>
  </si>
  <si>
    <t>292 Ralph Rd  Covington  TN  38019-4916</t>
  </si>
  <si>
    <t>['US0014']</t>
  </si>
  <si>
    <t>['US0015']</t>
  </si>
  <si>
    <t>['US0016']</t>
  </si>
  <si>
    <t>['US0017']</t>
  </si>
  <si>
    <t>250-889-1343</t>
  </si>
  <si>
    <t>marlene@end-dyslexia.com, mmlewisaccess@gmail.com, marlene@empressacres.ca, petermlewis1@gmail.com</t>
  </si>
  <si>
    <t>2974 Haslam Road, Nanaimo, BC V9X 1T1, Canada</t>
  </si>
  <si>
    <t>['US0018', 'US0027']</t>
  </si>
  <si>
    <t>['US0019']</t>
  </si>
  <si>
    <t>['US0020']</t>
  </si>
  <si>
    <t>['US0021']</t>
  </si>
  <si>
    <t>270-261-2663</t>
  </si>
  <si>
    <t>dbyrd@plinsurance.com</t>
  </si>
  <si>
    <t>1456 Finney Rd Glasgow KY 42141-8796</t>
  </si>
  <si>
    <t>['US0022']</t>
  </si>
  <si>
    <t>334-462-4962, 334-324-6696, 334-322-7480 (Cody Bell Farm manager</t>
  </si>
  <si>
    <t>gplunkett@faulkner.edu, rebecca.plunkett2@gmail.com</t>
  </si>
  <si>
    <t>6464 Halcyon Dr  Montgomery  AL  36117-3416</t>
  </si>
  <si>
    <t>5129 New Harmony Rd, Arab, AL 35016, USA</t>
  </si>
  <si>
    <t>['US0024', 'US0042']</t>
  </si>
  <si>
    <t>417-935-2048, 417-859-6283, 417-840-1211, 417-766-1389</t>
  </si>
  <si>
    <t>908 Smith Rd  Seymour  MO  65746-8033</t>
  </si>
  <si>
    <t>['US0025']</t>
  </si>
  <si>
    <t>['US0026']</t>
  </si>
  <si>
    <t>256-596-0663</t>
  </si>
  <si>
    <t>knoxbrothersllc@gmail.com, matthewknox1968@yahoo.com</t>
  </si>
  <si>
    <t>200 Tommy Hill Rd  Dadeville  AL  36853-4391</t>
  </si>
  <si>
    <t>['US0028']</t>
  </si>
  <si>
    <t>918-413-2680, 918-385-1914</t>
  </si>
  <si>
    <t>tracyl1a1sw@yahoo.com</t>
  </si>
  <si>
    <t>PO Box 70 Albion OK 74521</t>
  </si>
  <si>
    <t>14602 SE 1103 Ave  Tuskahoma, OK 74574</t>
  </si>
  <si>
    <t>['US0029']</t>
  </si>
  <si>
    <t>407-908-0643, 386-938-2468</t>
  </si>
  <si>
    <t>wayne@allproservicesco.com</t>
  </si>
  <si>
    <t>9451 Southwest Co Road 143, Jasper, FL, USA</t>
  </si>
  <si>
    <t>['US0030']</t>
  </si>
  <si>
    <t>912-293-7679</t>
  </si>
  <si>
    <t>wdlynn99@gmail.com</t>
  </si>
  <si>
    <t>550 Hancock Landing Rd, Waynesboro GA 30830-3000</t>
  </si>
  <si>
    <t>2130 Cedar Creek Church Rd, Collins GA 30421-3240</t>
  </si>
  <si>
    <t>['US0031']</t>
  </si>
  <si>
    <t>(386) 697-8079, 386-249-2134</t>
  </si>
  <si>
    <t>Trophyhillplantation@gmail.com</t>
  </si>
  <si>
    <t>7791 200th St, Mc Alpin, FL, USA 32062-2754</t>
  </si>
  <si>
    <t>['US0032']</t>
  </si>
  <si>
    <t>['US0033']</t>
  </si>
  <si>
    <t>229-243-3487, 229 400 2304</t>
  </si>
  <si>
    <t>whihm@aol.com</t>
  </si>
  <si>
    <t>7701 Reynolds Landing Rd Donalsonville GA 39845-6928</t>
  </si>
  <si>
    <t>['US0034', 'US0035', 'US0036', 'US0056', 'US0093']</t>
  </si>
  <si>
    <t>334-885-6662</t>
  </si>
  <si>
    <t>cyarbrough@teleclipse.net</t>
  </si>
  <si>
    <t>545 County Road 664 Roanoke AL 36274-5439</t>
  </si>
  <si>
    <t>['US0037']</t>
  </si>
  <si>
    <t>509-520-2957, 509-520-2957</t>
  </si>
  <si>
    <t>mccluredan4@gmail.com, sarahdale.mcclure@gmail.com, cbmcclure22@gmail.com</t>
  </si>
  <si>
    <t>2994 Barney Rd, Touchet, WA 99360-9681</t>
  </si>
  <si>
    <t>['US0038']</t>
  </si>
  <si>
    <t>769-475-0772</t>
  </si>
  <si>
    <t>lungs111@yahoo.com, lungs111@gmail.com</t>
  </si>
  <si>
    <t>2561 Legends Row, Mobile, AL, USA 36618-4819</t>
  </si>
  <si>
    <t>4019 Stringfellow Road, Lucedale, MS 39452, USA</t>
  </si>
  <si>
    <t>['US0039', 'US0062']</t>
  </si>
  <si>
    <t>334-651-3521</t>
  </si>
  <si>
    <t>davpete82@yahoo.com</t>
  </si>
  <si>
    <t>1028 Old Georgia Plank Road, Wetumpka, AL 36092-5962, USA</t>
  </si>
  <si>
    <t>['US0040']</t>
  </si>
  <si>
    <t>334-657-2856</t>
  </si>
  <si>
    <t>wdb359@aol.com</t>
  </si>
  <si>
    <t>359 Sunny Lane Loop, Wetumpka, AL, USA 36092</t>
  </si>
  <si>
    <t>['US0041', 'US0063']</t>
  </si>
  <si>
    <t>(205) 369-9295, (205) 915-1310</t>
  </si>
  <si>
    <t>13biscuit@gmail.com, ahumphries0731@gmail.com, 4hplantation@gmail.com</t>
  </si>
  <si>
    <t>1457 Ballantrae Club Dr. Pelham AL 35124-6255</t>
  </si>
  <si>
    <t>897 Berry Road, Valley Grande, AL, USA</t>
  </si>
  <si>
    <t>['US0043']</t>
  </si>
  <si>
    <t>['US0044']</t>
  </si>
  <si>
    <t>423-453-1271</t>
  </si>
  <si>
    <t>mlmasengil@gmail.com</t>
  </si>
  <si>
    <t>945 County Road 461,  Englewood TN 37329-5242</t>
  </si>
  <si>
    <t>['US0045']</t>
  </si>
  <si>
    <t>479-216-3092</t>
  </si>
  <si>
    <t>rickytodddollar@gmail.com, darcydollar@yahoo.com</t>
  </si>
  <si>
    <t>211 Polk Rd 193, Mena, AR 71953-8196, USA</t>
  </si>
  <si>
    <t>['US0046']</t>
  </si>
  <si>
    <t>205-287-1554</t>
  </si>
  <si>
    <t>fishdraft@yahoo.com</t>
  </si>
  <si>
    <t>33303 County Rd. 51 Clanton Al 35046</t>
  </si>
  <si>
    <t>455 County Road 537, Verbena, AL 36091, USA</t>
  </si>
  <si>
    <t>['US0047']</t>
  </si>
  <si>
    <t>['US0048']</t>
  </si>
  <si>
    <t>229-254-3319</t>
  </si>
  <si>
    <t>jarviswhittaker@icloud.com</t>
  </si>
  <si>
    <t>7688 Reynolds Landing Rd, Donalsonville, GA 39845-6925, USA</t>
  </si>
  <si>
    <t>['US0049', 'US0086', 'US0087']</t>
  </si>
  <si>
    <t>770-468-1878</t>
  </si>
  <si>
    <t>Wilddaisyfarm109@gmail.com</t>
  </si>
  <si>
    <t>1506 GA Highway 109, Molena GA 30258-3234</t>
  </si>
  <si>
    <t>20 Spring Rd, Molena, GA 30258, USA</t>
  </si>
  <si>
    <t>['US0050']</t>
  </si>
  <si>
    <t>251-769-2778, 251-246-4346</t>
  </si>
  <si>
    <t>2045 Pruitt Rd, Leroy, AL, USA 36548-5010</t>
  </si>
  <si>
    <t>['US0051']</t>
  </si>
  <si>
    <t>479-243-5423</t>
  </si>
  <si>
    <t>info@youngbloodfarm.com</t>
  </si>
  <si>
    <t>173 Polk Rd 252, Grannis, AR, USA 71944</t>
  </si>
  <si>
    <t>173 Polk Rd 252, Grannis, AR 71944, USA</t>
  </si>
  <si>
    <t>['US0052']</t>
  </si>
  <si>
    <t>912-245-0476</t>
  </si>
  <si>
    <t>cowartinc1@bellsouth.net, cowartinc2@bellsouth.net</t>
  </si>
  <si>
    <t>816 GA Highway 56 W Lyons GA 30436-5945</t>
  </si>
  <si>
    <t>['US0053']</t>
  </si>
  <si>
    <t>334-850-6700, 334-320-1545</t>
  </si>
  <si>
    <t>sherifffranklin@elmoreso.com, luke2a21@gmail.com</t>
  </si>
  <si>
    <t>410 Fortner Rd Wetumpka AL 36092-4229</t>
  </si>
  <si>
    <t>['US0054']</t>
  </si>
  <si>
    <t>318-481-1835, 318-481-1833</t>
  </si>
  <si>
    <t>riza_strange@yahoo.com</t>
  </si>
  <si>
    <t>1142 Good Road, Jonesville, Louisiana 71343</t>
  </si>
  <si>
    <t>['US0055', 'US0092']</t>
  </si>
  <si>
    <t>334-701-8363</t>
  </si>
  <si>
    <t>carlwomack1@yahoo.com</t>
  </si>
  <si>
    <t>2536 S County Road 75, Pansey AL 36370-4922</t>
  </si>
  <si>
    <t>['US0057']</t>
  </si>
  <si>
    <t>706-741-5396</t>
  </si>
  <si>
    <t>cdpayne1@gmail.com</t>
  </si>
  <si>
    <t>2467 Boyt Rd Yatesville GA 31097-3911</t>
  </si>
  <si>
    <t>['US0058']</t>
  </si>
  <si>
    <t>386-590-1822, 386-590-1821</t>
  </si>
  <si>
    <t>ratliff4@windstream.net, dratliff50@gmail.com, fallonratliff97@hotmail.com, daleratliff50@gmail.com</t>
  </si>
  <si>
    <t>15949 68th St, Live Oak, FL 32060, USA</t>
  </si>
  <si>
    <t>['US0059']</t>
  </si>
  <si>
    <t>813-727-1896</t>
  </si>
  <si>
    <t>dpjr01@gmail.com</t>
  </si>
  <si>
    <t>457 Herndon Rd  Lumpkin GA 31815-4702</t>
  </si>
  <si>
    <t>['US0060']</t>
  </si>
  <si>
    <t>334-782-6461</t>
  </si>
  <si>
    <t>darren.beachem22@gmail.com, darren.beachem@yahoo.com</t>
  </si>
  <si>
    <t>3022 Autumn Wood Dr NW Apt B Huntsville AL 35816-3120</t>
  </si>
  <si>
    <t>22316 US-82 Union Springs, AL 36089-6279</t>
  </si>
  <si>
    <t>['US0061']</t>
  </si>
  <si>
    <t>770-712-9831</t>
  </si>
  <si>
    <t>davenported91@gmail.com, mnmtrailers@gmail.com</t>
  </si>
  <si>
    <t>490 Whites Bottom Rd Pendergrass GA 30567-2816</t>
  </si>
  <si>
    <t>['US0064']</t>
  </si>
  <si>
    <t>706-714-4180</t>
  </si>
  <si>
    <t>gsand1956@gmail.com</t>
  </si>
  <si>
    <t>184 Bunker Hill Rd Crawford GA 30630-2410</t>
  </si>
  <si>
    <t>3345 Robert Hardeman Rd, Winterville, GA 30683, USA</t>
  </si>
  <si>
    <t>['US0065']</t>
  </si>
  <si>
    <t>334-652-5278, 334-567-5600</t>
  </si>
  <si>
    <t>mattpreskitt@gmail.com</t>
  </si>
  <si>
    <t>4536 Grier Rd Wetumpka AL 36092-6104</t>
  </si>
  <si>
    <t>3990 Grier Rd. Wetumpka AL 36092-4214</t>
  </si>
  <si>
    <t>['US0066']</t>
  </si>
  <si>
    <t>334-726-4064</t>
  </si>
  <si>
    <t>gcgoodson@yahoo.com</t>
  </si>
  <si>
    <t>6810 N County 33 Rd, Columbia AL 36319-4026</t>
  </si>
  <si>
    <t>2148 Hunter Rd, Columbia, AL 36319, USA</t>
  </si>
  <si>
    <t>['US0067']</t>
  </si>
  <si>
    <t>334-312-5528</t>
  </si>
  <si>
    <t>jmbarnes65@gmail.com</t>
  </si>
  <si>
    <t>6170 Vine Dr Andalusia AL 36420-6714</t>
  </si>
  <si>
    <t>['US0068']</t>
  </si>
  <si>
    <t>601-527-1366, 601-743-2647</t>
  </si>
  <si>
    <t>jeff@tjsubway.net</t>
  </si>
  <si>
    <t>8834 Highway 495 S, De Kalb, MS 39328-7173</t>
  </si>
  <si>
    <t>['US0069']</t>
  </si>
  <si>
    <t>334-728-3304</t>
  </si>
  <si>
    <t>Jetney7@gmail.com</t>
  </si>
  <si>
    <t>376 County Shop Rd Dadeville AL 36853-3706</t>
  </si>
  <si>
    <t>['US0070']</t>
  </si>
  <si>
    <t>706-200-6522</t>
  </si>
  <si>
    <t>westjb@hotmail.com</t>
  </si>
  <si>
    <t>2984 Georgia 255, Sautee Nacoochee, GA, USA</t>
  </si>
  <si>
    <t>['US0071', 'US0151']</t>
  </si>
  <si>
    <t>334-726-8074</t>
  </si>
  <si>
    <t>john.hayes09@icloud.com</t>
  </si>
  <si>
    <t>5053 Pansey Rd Pansey AL 36370-4059</t>
  </si>
  <si>
    <t>['US0072', 'US0105']</t>
  </si>
  <si>
    <t>334-726-5737</t>
  </si>
  <si>
    <t>trac9to8r@yahoo.com</t>
  </si>
  <si>
    <t>1033 McDaniel Rd, Ashford AL 36312-5627</t>
  </si>
  <si>
    <t>['US0073']</t>
  </si>
  <si>
    <t>770-826-1573</t>
  </si>
  <si>
    <t>jlabowhunter@yahoo.com</t>
  </si>
  <si>
    <t>1924 County Road 104 Muscadine AL 36269-3198</t>
  </si>
  <si>
    <t>['US0074']</t>
  </si>
  <si>
    <t>229-947-9400</t>
  </si>
  <si>
    <t>brewer_justin90@yahoo.com</t>
  </si>
  <si>
    <t>134 Powers Rd, Cordele, Georgia, 31015-7904</t>
  </si>
  <si>
    <t>['US0075']</t>
  </si>
  <si>
    <t>608-852-5395, 678-595-0537</t>
  </si>
  <si>
    <t>kmartens8482@gmail.com, kim.empressenterprise@gmail.com, kim@empressenterprise.net</t>
  </si>
  <si>
    <t>516 County Road 664, Roanoke, AL 36274, USA</t>
  </si>
  <si>
    <t>['US0076']</t>
  </si>
  <si>
    <t>702-406-7479</t>
  </si>
  <si>
    <t>mikeporter64@gmail.com</t>
  </si>
  <si>
    <t>2146 Highway 42 S Flovilla GA 30216-2318</t>
  </si>
  <si>
    <t>['US0077', 'US0116', 'US0167']</t>
  </si>
  <si>
    <t>334-651-1377</t>
  </si>
  <si>
    <t>ppreskitt@icloud.com</t>
  </si>
  <si>
    <t>2140 Weoka Rd Wetumpka AL 36092-4520</t>
  </si>
  <si>
    <t>['US0078', 'US0137']</t>
  </si>
  <si>
    <t>530-514-5947, 530-520-0961</t>
  </si>
  <si>
    <t>heartkamp@gmail.com</t>
  </si>
  <si>
    <t>4955 Wilson Hill Road, Manton, California 96059, USA</t>
  </si>
  <si>
    <t>['US0079']</t>
  </si>
  <si>
    <t>334-504-8494</t>
  </si>
  <si>
    <t>bigoak2019@gmail.com</t>
  </si>
  <si>
    <t>4264 Morgan Mill Rd Brantley AL 36009-3207</t>
  </si>
  <si>
    <t>['US0080']</t>
  </si>
  <si>
    <t>334-654-4553</t>
  </si>
  <si>
    <t>mitchellricky799@gmail.com, 754mitchell@gmail.com</t>
  </si>
  <si>
    <t>29306 US Highway 331 Opp AL 36467-5640</t>
  </si>
  <si>
    <t>['US0081']</t>
  </si>
  <si>
    <t>706-499-6493, 706 499 1501</t>
  </si>
  <si>
    <t>ronmountainearthfarms@gmail.com, kentrm1@yahoo.com</t>
  </si>
  <si>
    <t>PO Box 1592 Cornelia GA 30531-1026</t>
  </si>
  <si>
    <t>260 Hollywood Hwy Clarkesville GA 30523-4731</t>
  </si>
  <si>
    <t>['US0082', 'US0117']</t>
  </si>
  <si>
    <t>251-747-0140, 251-269-8749</t>
  </si>
  <si>
    <t>russell17852@gmail.com</t>
  </si>
  <si>
    <t>1154 Hunter Rd Columbia AL 36319-4018</t>
  </si>
  <si>
    <t>['US0083']</t>
  </si>
  <si>
    <t>334 546 8921</t>
  </si>
  <si>
    <t>scottf@southerngrowers.com, fennjam@hotmail.com</t>
  </si>
  <si>
    <t>Southern Growers, 3601 Wetumpka Highway, Montgomery, AL 36110, USA</t>
  </si>
  <si>
    <t>3601 Wetumpka Highway Montgomery AL 36110</t>
  </si>
  <si>
    <t>['US0084']</t>
  </si>
  <si>
    <t>334-303-0827</t>
  </si>
  <si>
    <t>landreauinc@yahoo.com, scott2lallc@yahoo.com, Mklandreau@yahoo.com</t>
  </si>
  <si>
    <t>3063 Little Road, Tallassee, AL 36078-3267</t>
  </si>
  <si>
    <t>494 State Hwy 26, Hatchechubbee, AL, USA</t>
  </si>
  <si>
    <t>['US0085', 'US0119']</t>
  </si>
  <si>
    <t>256-846-0777</t>
  </si>
  <si>
    <t>willallen78@gmail.com</t>
  </si>
  <si>
    <t>516 Co Rd 482, Heflin, AL, USA</t>
  </si>
  <si>
    <t>County Road 482, Heflin, AL 36264, USA</t>
  </si>
  <si>
    <t>['US0088']</t>
  </si>
  <si>
    <t>912-381-3658</t>
  </si>
  <si>
    <t>athomas31552@gmail.com, athomas@elixirext.com</t>
  </si>
  <si>
    <t>4610 Andrew Tanner Rd Nicholls GA 31554-6371</t>
  </si>
  <si>
    <t>['US0089']</t>
  </si>
  <si>
    <t>334-321-1984</t>
  </si>
  <si>
    <t>beau526@hotmail.com, ddtreefarm6@gmail.com</t>
  </si>
  <si>
    <t>255 Zion Hill Road, Hatchechubbee, AL  36858</t>
  </si>
  <si>
    <t>['US0090']</t>
  </si>
  <si>
    <t>334-791-5944</t>
  </si>
  <si>
    <t>billygordie@gmail.com</t>
  </si>
  <si>
    <t>11517 E State Highway 52 Webb AL 36376-6465</t>
  </si>
  <si>
    <t>['US0091']</t>
  </si>
  <si>
    <t>334-405-2409, 334.618.1380</t>
  </si>
  <si>
    <t>searcyfarmsangus@gmail.com</t>
  </si>
  <si>
    <t>115 Livingston Loop Webb AL 36376-6435</t>
  </si>
  <si>
    <t>['US0094', 'US0129']</t>
  </si>
  <si>
    <t>678-378-7574</t>
  </si>
  <si>
    <t>Drstiehl@stiehldental.com</t>
  </si>
  <si>
    <t>2577 Highway 54 Moreland GA 30259-2808</t>
  </si>
  <si>
    <t>['US0095']</t>
  </si>
  <si>
    <t>678-478-2288</t>
  </si>
  <si>
    <t>jcbolen73@gmail.com</t>
  </si>
  <si>
    <t>1751 Heidi Trl Buckhead GA 30625-1530</t>
  </si>
  <si>
    <t>Fawn Rd, Jackson, GA, USA</t>
  </si>
  <si>
    <t>['US0096', 'US0130']</t>
  </si>
  <si>
    <t>256-366-1612</t>
  </si>
  <si>
    <t>chris.d.hoehn@gmail.com</t>
  </si>
  <si>
    <t>4923 Jenna Cir SE Owens Cross Roads AL 35763-9165</t>
  </si>
  <si>
    <t>348 Nix Mill Pond Rd Phil Campbell AL 35581-4433</t>
  </si>
  <si>
    <t>['US0097']</t>
  </si>
  <si>
    <t>912-685-5887</t>
  </si>
  <si>
    <t>fordhaminsurance@yahoo.com</t>
  </si>
  <si>
    <t>7357 Harvest Rd Metter GA 30439-8914</t>
  </si>
  <si>
    <t>['US0098']</t>
  </si>
  <si>
    <t>786-877-2208</t>
  </si>
  <si>
    <t>ivettealcoba1@gmail.com, ialcoba@yahoo.com, ivettealcoba1@gmail.com</t>
  </si>
  <si>
    <t>2451 Brickell Ave Apt 15H Miami FL 33129-2421</t>
  </si>
  <si>
    <t>0 cane Mill Rd LL 305 and 334 14th LD.</t>
  </si>
  <si>
    <t>['US0099']</t>
  </si>
  <si>
    <t>864-903-1919</t>
  </si>
  <si>
    <t>jncmd90@gmx.com</t>
  </si>
  <si>
    <t>235 Scenic Heights Rd West Union SC 29696-3134</t>
  </si>
  <si>
    <t>['US0100']</t>
  </si>
  <si>
    <t>205-229-8176</t>
  </si>
  <si>
    <t>bayraynay@gmail.com</t>
  </si>
  <si>
    <t>31840 Shoal Water Dr Orange Beach AL 36561-3770</t>
  </si>
  <si>
    <t>4111 County Road 5 Thorsby AL 35171-7051</t>
  </si>
  <si>
    <t>['US0101']</t>
  </si>
  <si>
    <t>850-643-8515</t>
  </si>
  <si>
    <t>jjlilly13@gmail.com</t>
  </si>
  <si>
    <t>15779 NW Ashley Shiver Rd Altha FL 32421-4815</t>
  </si>
  <si>
    <t>['US0102']</t>
  </si>
  <si>
    <t>225-939-2710</t>
  </si>
  <si>
    <t>anthonylearph@gmail.com</t>
  </si>
  <si>
    <t>41190 Cannon Road, Gonzales, LA 70737</t>
  </si>
  <si>
    <t>Gretchen Lane Off, Covington, LA 70435</t>
  </si>
  <si>
    <t>['US0103', 'US0155']</t>
  </si>
  <si>
    <t>850-693-3946</t>
  </si>
  <si>
    <t>joelilly1953@gmail.com</t>
  </si>
  <si>
    <t>7701 SE Marysville School Rd Blountstown FL 32424-5623</t>
  </si>
  <si>
    <t>['US0104']</t>
  </si>
  <si>
    <t>334-324-3475, 334-799-4219</t>
  </si>
  <si>
    <t>johntammy72289@gmail.com</t>
  </si>
  <si>
    <t>761 Old Farm Rd Deatsville AL 36022-5853</t>
  </si>
  <si>
    <t>['US0106']</t>
  </si>
  <si>
    <t>470-351-8043, 256-201-9099</t>
  </si>
  <si>
    <t>jordy@barco-us.com, KMcMahan@alfains.com</t>
  </si>
  <si>
    <t>PO Box 113 Heflin AL 36264-0113</t>
  </si>
  <si>
    <t>6568 Highway 78 Heflin AL 36264-2422; 2444 Steadman Rd, Tallapoosa, GA 30176</t>
  </si>
  <si>
    <t>['US0107', 'US0108']</t>
  </si>
  <si>
    <t>334-494-4395</t>
  </si>
  <si>
    <t>ecurrencykeith@gmail.com, keith.b.bell@centurytel.net</t>
  </si>
  <si>
    <t>1156-1368 Co Rd 224 Elba, AL 36323</t>
  </si>
  <si>
    <t>1156 Co Rd 224 Elba, AL 36323</t>
  </si>
  <si>
    <t>['US0109']</t>
  </si>
  <si>
    <t>405-215-8195</t>
  </si>
  <si>
    <t>kyle.flint@bhboring.com</t>
  </si>
  <si>
    <t>301 James Dean Dr Norman OK 73072-9793</t>
  </si>
  <si>
    <t>2450 Cox City Rd, Rush Springs, OK, USA</t>
  </si>
  <si>
    <t>['US0110', 'US0135', 'US0152']</t>
  </si>
  <si>
    <t>469-404-3681, 214-334-6829</t>
  </si>
  <si>
    <t>loren.raymer@gmail.com</t>
  </si>
  <si>
    <t>10031 FM Rd, 1390 Scurry TX 75158</t>
  </si>
  <si>
    <t>['US0111']</t>
  </si>
  <si>
    <t>541-660-0190</t>
  </si>
  <si>
    <t>caprith@live.com</t>
  </si>
  <si>
    <t>91722 Prairie Meadows, Junction City, OR 97448, USA</t>
  </si>
  <si>
    <t>91722 Prairie Rd Junction City OR 97448-9419</t>
  </si>
  <si>
    <t>['US0112']</t>
  </si>
  <si>
    <t>205-999-4665</t>
  </si>
  <si>
    <t>alexaar3457@gmail.com, macalex79@gmail.com</t>
  </si>
  <si>
    <t>1802 Dudleyville Rd Dadeville AL 36853-3700</t>
  </si>
  <si>
    <t>['US0113']</t>
  </si>
  <si>
    <t>850-251-7047</t>
  </si>
  <si>
    <t>martyhq02@gmail.com</t>
  </si>
  <si>
    <t>10644 Woodville Hwy Tallahassee FL 32305-1960</t>
  </si>
  <si>
    <t>161 Centerline Rd Crawfordville FL 32327-5408</t>
  </si>
  <si>
    <t>['US0114']</t>
  </si>
  <si>
    <t>504-210-6684</t>
  </si>
  <si>
    <t>michael@WindmillNurseryLLC.com</t>
  </si>
  <si>
    <t>12398 Highway 25 Franklinton LA 70438-4602</t>
  </si>
  <si>
    <t>['US0115']</t>
  </si>
  <si>
    <t>334-799-3713</t>
  </si>
  <si>
    <t>roy@priceceiling.com</t>
  </si>
  <si>
    <t>350 Price Drive, Clanton, AL, 35046</t>
  </si>
  <si>
    <t>['US0118']</t>
  </si>
  <si>
    <t>478-960-3760</t>
  </si>
  <si>
    <t>mac12.5@windstream.net</t>
  </si>
  <si>
    <t>0 Cane Mill Rd, Elko, GA, 31025</t>
  </si>
  <si>
    <t>['US0120']</t>
  </si>
  <si>
    <t>334-220-2957</t>
  </si>
  <si>
    <t>ssouphom@gmail.com</t>
  </si>
  <si>
    <t>625 Fern Rd Wetumpka AL 36092-7465</t>
  </si>
  <si>
    <t>789 Fern Rd Wetumpka, Al 36092</t>
  </si>
  <si>
    <t>['US0121', 'US0141']</t>
  </si>
  <si>
    <t>912-658-9372</t>
  </si>
  <si>
    <t>sda308@aol.com</t>
  </si>
  <si>
    <t>242 Rivercrest Dr, Brooklet, GA, 30415-5691</t>
  </si>
  <si>
    <t>1001 North 2nd Street, Stillmore, GA, USA</t>
  </si>
  <si>
    <t>['US0122']</t>
  </si>
  <si>
    <t>205-405-0233</t>
  </si>
  <si>
    <t>stevenhunter@protonmail.com</t>
  </si>
  <si>
    <t>2645 State Highway 139, Maplesville, Alabama
36750, USA</t>
  </si>
  <si>
    <t>AL HWY 139, Maplesville, AL</t>
  </si>
  <si>
    <t>['US0123', 'US0142', 'US0165']</t>
  </si>
  <si>
    <t>704-530-8581, 704-530-8587</t>
  </si>
  <si>
    <t>beamberrypatch@gmail.com</t>
  </si>
  <si>
    <t>963 Sunbeam Dr Lincolnton NC 28092-9749</t>
  </si>
  <si>
    <t>5224 7 Pines Rd, Lawndale, NC 28090, USA</t>
  </si>
  <si>
    <t>['US0124']</t>
  </si>
  <si>
    <t>334-726-9624</t>
  </si>
  <si>
    <t>fld120_1994@yahoo.com</t>
  </si>
  <si>
    <t>4471 E County Road 8 Pansey AL 36370-6043</t>
  </si>
  <si>
    <t>['US0125']</t>
  </si>
  <si>
    <t>678-571-7763, 404.219.8878</t>
  </si>
  <si>
    <t>farmsforliving@gmail.com</t>
  </si>
  <si>
    <t>177 Porter Rd Fayetteville GA 30215-3053</t>
  </si>
  <si>
    <t>['US0126']</t>
  </si>
  <si>
    <t>256-452-1441</t>
  </si>
  <si>
    <t>wesleytodd95@gmail.com</t>
  </si>
  <si>
    <t>1658 Dailey St Piedmont AL 36272-7582</t>
  </si>
  <si>
    <t>['US0127']</t>
  </si>
  <si>
    <t>865-603-0451</t>
  </si>
  <si>
    <t>doubletalpacas@gmail.com</t>
  </si>
  <si>
    <t>210 County Road 292 Niota TN 37826-2064</t>
  </si>
  <si>
    <t>210 County Road 292, Niota, TN, USA 37826</t>
  </si>
  <si>
    <t>['US0128']</t>
  </si>
  <si>
    <t>229-416-8076</t>
  </si>
  <si>
    <t>dhall123@netzero.net</t>
  </si>
  <si>
    <t>2975 Herring Buckhole Rd Donalsonville GA 39845-6025</t>
  </si>
  <si>
    <t>['US0131', 'US0148']</t>
  </si>
  <si>
    <t>850-910-0141</t>
  </si>
  <si>
    <t>dlewis63@att.net</t>
  </si>
  <si>
    <t>6981 Ranchers Cove Trl Milton FL 32570-5597</t>
  </si>
  <si>
    <t>Eagle Drive, Milton, FL, USA gate code 0720#</t>
  </si>
  <si>
    <t>['US0132']</t>
  </si>
  <si>
    <t>303-984-1014, 719-271-4390</t>
  </si>
  <si>
    <t>calantini@live.com, calantini@aol.com</t>
  </si>
  <si>
    <t>3404 S Pierce St, Lakewood, CO 80227, USA</t>
  </si>
  <si>
    <t>111 Myer Rd Morton WA 98356-9504</t>
  </si>
  <si>
    <t>['US0133']</t>
  </si>
  <si>
    <t>912-387-8919</t>
  </si>
  <si>
    <t>kennselb@gmail.com</t>
  </si>
  <si>
    <t>2592 Seminole Trail, Waycross, GA 31501, USA</t>
  </si>
  <si>
    <t>1341 Manor Millwood Rd N, Manor, GA 31550, USA</t>
  </si>
  <si>
    <t>['US0134']</t>
  </si>
  <si>
    <t>540-905-5647</t>
  </si>
  <si>
    <t>jacknimbel@aol.com</t>
  </si>
  <si>
    <t>2530 Ayers Rd Moneta VA 24121-3522</t>
  </si>
  <si>
    <t>['US0136']</t>
  </si>
  <si>
    <t>229-834-8941</t>
  </si>
  <si>
    <t>rickgriffis53@gmail.com</t>
  </si>
  <si>
    <t>3272 GA Highway 135 N Lake Park GA 31636-6137</t>
  </si>
  <si>
    <t>['US0138', 'US0163']</t>
  </si>
  <si>
    <t>352-494-3072</t>
  </si>
  <si>
    <t>robc@cheneybrothers.com</t>
  </si>
  <si>
    <t>12060 NE County Road 237 Lake Butler FL 32054-5200</t>
  </si>
  <si>
    <t>['US0139', 'US0153']</t>
  </si>
  <si>
    <t>562-857-1953</t>
  </si>
  <si>
    <t>Scott.hamilton@enpinstitute.com</t>
  </si>
  <si>
    <t>689 High Falls Road, Jackson, GA, USA 30233</t>
  </si>
  <si>
    <t>689 High Falls Road, Jackson, GA, USA</t>
  </si>
  <si>
    <t>['US0140']</t>
  </si>
  <si>
    <t>334-657-8505</t>
  </si>
  <si>
    <t>toddm87413@gmail.com</t>
  </si>
  <si>
    <t>818 Foreman Rd Deatsville AL 36022-3546</t>
  </si>
  <si>
    <t>['US0143']</t>
  </si>
  <si>
    <t>478-955-0051</t>
  </si>
  <si>
    <t>cliff.scales@outlook.com</t>
  </si>
  <si>
    <t>45B Old Milledgeville Rd Hawkinsville GA 31036-6706</t>
  </si>
  <si>
    <t>['US0144']</t>
  </si>
  <si>
    <t>256-201-1839</t>
  </si>
  <si>
    <t>grandmastersx32x@yahoo.com</t>
  </si>
  <si>
    <t>380 County Road 923 Heflin AL 36264-3658</t>
  </si>
  <si>
    <t>['US0145']</t>
  </si>
  <si>
    <t>478-808-1458</t>
  </si>
  <si>
    <t>awnfarms@hotmail.com</t>
  </si>
  <si>
    <t>177 Hwy 243 Ivey GA. 31031</t>
  </si>
  <si>
    <t>181 GA-243, Ivey, GA 31031, USA</t>
  </si>
  <si>
    <t>['US0146']</t>
  </si>
  <si>
    <t>478-457-6214</t>
  </si>
  <si>
    <t>mcc120797@gmail.com</t>
  </si>
  <si>
    <t>23780 U.S. 441, Milledgeville, GA 31061</t>
  </si>
  <si>
    <t>['US0147']</t>
  </si>
  <si>
    <t>229-317-3926</t>
  </si>
  <si>
    <t>gregtlumpkin@yahoo.com</t>
  </si>
  <si>
    <t>274 Snapper rd Coleman Ga 39836</t>
  </si>
  <si>
    <t>274 Snapper Rd, Coleman GA, 39840</t>
  </si>
  <si>
    <t>['US0149', 'US0159']</t>
  </si>
  <si>
    <t>615-351-6509</t>
  </si>
  <si>
    <t>jim@sunshinepoolstn.com</t>
  </si>
  <si>
    <t>901 Clearview Rd, COTTONTOWN, TN, 37048</t>
  </si>
  <si>
    <t>['US0150']</t>
  </si>
  <si>
    <t>813-731-1266</t>
  </si>
  <si>
    <t>makanifl78@yahoo.com</t>
  </si>
  <si>
    <t>9024 Breland Dr Tampa FL 33626-2974</t>
  </si>
  <si>
    <t>['US0154', 'US0164']</t>
  </si>
  <si>
    <t>678-943-7687</t>
  </si>
  <si>
    <t>greggstacy2@aol.com , austinstacy25@gmail.com</t>
  </si>
  <si>
    <t>5334 Birchland Court Buford GA 30518</t>
  </si>
  <si>
    <t>1321 Ga Highway 15 S, Adrian, GA, 31002</t>
  </si>
  <si>
    <t>['US0156']</t>
  </si>
  <si>
    <t>334-202-2441</t>
  </si>
  <si>
    <t>cmp926@gmail.com</t>
  </si>
  <si>
    <t>521 County Road 20 East, Marbury, AL 36051</t>
  </si>
  <si>
    <t>521 County Road 20 E, Marbury, AL 36051</t>
  </si>
  <si>
    <t>['US0157']</t>
  </si>
  <si>
    <t>850-240-0780, 850-305-3985</t>
  </si>
  <si>
    <t>gmgoldsmith@hotmail.com, chester.dooly@conlanacres.com</t>
  </si>
  <si>
    <t>211 Avondale Circle, Warner Robins, GA 31088</t>
  </si>
  <si>
    <t>5690 Pine Level Road, Oglethorpe, GA 31068</t>
  </si>
  <si>
    <t>['US0158']</t>
  </si>
  <si>
    <t>229-220-9169</t>
  </si>
  <si>
    <t>kwgalpin@gmail.com</t>
  </si>
  <si>
    <t>2113 Blacklake Circle, Bainbridge, Ga 39819</t>
  </si>
  <si>
    <t>Off Sharber Rd, Bainbridge, GA, 39817</t>
  </si>
  <si>
    <t>['US0160']</t>
  </si>
  <si>
    <t>334-447-1046</t>
  </si>
  <si>
    <t>kenenglish27@gmail.com</t>
  </si>
  <si>
    <t>285 County Road 247, Elba, AL, USA</t>
  </si>
  <si>
    <t>['US0161', 'US0166']</t>
  </si>
  <si>
    <t>850-624-2222</t>
  </si>
  <si>
    <t>manuel.folsom@yahoo.com</t>
  </si>
  <si>
    <t>4213 De Len Drive, Panama City, FL 32404</t>
  </si>
  <si>
    <t>3821 Southwest County Road 534, Mayo, FL, USA</t>
  </si>
  <si>
    <t>['US0162']</t>
  </si>
  <si>
    <t>3343338837</t>
  </si>
  <si>
    <t>atobrandon@gmail.com</t>
  </si>
  <si>
    <t xml:space="preserve">11529 County Rd 59, Midland City, AL </t>
  </si>
  <si>
    <t>11529 County Road 59, Midland City, AL, USA</t>
  </si>
  <si>
    <t>['US0170']</t>
  </si>
  <si>
    <t>(706) 512-0523</t>
  </si>
  <si>
    <t>justin.montgomery@jones.k12.ga.us</t>
  </si>
  <si>
    <t>1609 Parker Springs Church Rd</t>
  </si>
  <si>
    <t>['US0168']</t>
  </si>
  <si>
    <t>(404) 580-6207</t>
  </si>
  <si>
    <t>pat.cook@hotmail.com</t>
  </si>
  <si>
    <t>118 Theresa Drive SE, Eatonton, GA 31024</t>
  </si>
  <si>
    <t>['US0169']</t>
  </si>
  <si>
    <t>['CR0001']</t>
  </si>
  <si>
    <t>['CR0002']</t>
  </si>
  <si>
    <t>['CR0003']</t>
  </si>
  <si>
    <t>['CR0004']</t>
  </si>
  <si>
    <t>['CR0005', 'CR0015']</t>
  </si>
  <si>
    <t>['CR0006']</t>
  </si>
  <si>
    <t>['CR0007']</t>
  </si>
  <si>
    <t>['CR0008', 'CR0025']</t>
  </si>
  <si>
    <t>['CR0009', 'CR0026', 'CR0085']</t>
  </si>
  <si>
    <t>['CR0010']</t>
  </si>
  <si>
    <t>['CR0011']</t>
  </si>
  <si>
    <t>['CR0012']</t>
  </si>
  <si>
    <t>50687018348</t>
  </si>
  <si>
    <t>h.chacon@hotmail.es, info@cafelaspenas.com</t>
  </si>
  <si>
    <t>Sabanilla, Provincia de Alajuela, Sabanilla, Costa Rica</t>
  </si>
  <si>
    <t>10.067475, -84.219483</t>
  </si>
  <si>
    <t>['CR0013']</t>
  </si>
  <si>
    <t>['CR0016']</t>
  </si>
  <si>
    <t>['CR0017']</t>
  </si>
  <si>
    <t>['CR0018']</t>
  </si>
  <si>
    <t>['CR0019']</t>
  </si>
  <si>
    <t>['CR0020']</t>
  </si>
  <si>
    <t>['CR0021', 'CR0031']</t>
  </si>
  <si>
    <t>['CR0022']</t>
  </si>
  <si>
    <t>['CR0023']</t>
  </si>
  <si>
    <t>['CR0024', 'CR0083']</t>
  </si>
  <si>
    <t>['CR0027']</t>
  </si>
  <si>
    <t>506 88886685, 24500034, 24511126</t>
  </si>
  <si>
    <t>ematamoros@elcantaro.net, santaanita@elcantaro.net</t>
  </si>
  <si>
    <t>800 metros del cementerio de candelaria de Naranjo Cualquier</t>
  </si>
  <si>
    <t>San Juan de Naranjo, Costa Rica</t>
  </si>
  <si>
    <t>['CR0028']</t>
  </si>
  <si>
    <t>506 24500063, +506 83565043</t>
  </si>
  <si>
    <t>mariajulia00@yahoo.com.mx, asis.lamerced@gmail.com</t>
  </si>
  <si>
    <t>500 metros norte colegio de naranjo</t>
  </si>
  <si>
    <t>San Rafael de Naranjo, Costa Rica</t>
  </si>
  <si>
    <t>['CR0029']</t>
  </si>
  <si>
    <t>50683838815, 83838815</t>
  </si>
  <si>
    <t>mquesada@agricoladelcafetal.com</t>
  </si>
  <si>
    <t>Lourdes de Naranjo, 709, Alajuela Province, Naranjo de Alajuela, Costa Rica</t>
  </si>
  <si>
    <t>10.1525978335, -84.3586197692; 10,1552646 -843609432</t>
  </si>
  <si>
    <t>['CR0030', 'CR0061']</t>
  </si>
  <si>
    <t>['CR0032']</t>
  </si>
  <si>
    <t>['CR0033']</t>
  </si>
  <si>
    <t>['CR0034']</t>
  </si>
  <si>
    <t>(506) 8393-8278, (506)-8386-1055</t>
  </si>
  <si>
    <t>ganaderiada@gmail.com</t>
  </si>
  <si>
    <t>500m Oeste del supermercado La Canastica, La Guácima, Alajuela.</t>
  </si>
  <si>
    <t>el distrito 3-Rita cantón 2-Pococi de la provincia de Limón</t>
  </si>
  <si>
    <t>['CR0035']</t>
  </si>
  <si>
    <t>8694-3131</t>
  </si>
  <si>
    <t>03abarca@gmail.com, adavidabarca@gmail.com</t>
  </si>
  <si>
    <t>Limón Pocosí Guápiles, de la iglesia católica de Toro Amarillo 200m norte y 75 este</t>
  </si>
  <si>
    <t>DISTRITO 2- BATAN CANTON 5-MATINA DE LA PROVINCIA DE LIMON, Costa Rica,</t>
  </si>
  <si>
    <t>['CR0036']</t>
  </si>
  <si>
    <t>506 84963507, +506 61159707, 84963507</t>
  </si>
  <si>
    <t>aiwa1069@hotmail.com</t>
  </si>
  <si>
    <t>Limón, Matina, Batan, 28 millas 75m al este de la escuela</t>
  </si>
  <si>
    <t>['CR0037']</t>
  </si>
  <si>
    <t>['CR0038']</t>
  </si>
  <si>
    <t>8449-5753, 506 8443 5753</t>
  </si>
  <si>
    <t>agus1092@hotmail.com</t>
  </si>
  <si>
    <t>San Ignacio de Acosta 1 km al oeste de la iglesia de Chirraca</t>
  </si>
  <si>
    <t>el distrito 3-Palmichal cantón 12-Acosta de la provincia de San José, Costa Rica</t>
  </si>
  <si>
    <t>['CR0039']</t>
  </si>
  <si>
    <t>8858-1627, 8503-2348, 2259-6150</t>
  </si>
  <si>
    <t>Yarima.sandoval@gmail.com</t>
  </si>
  <si>
    <t>San José, Desamparados, Urbanización Monte Claro, casa D5-1</t>
  </si>
  <si>
    <t>['CR0040']</t>
  </si>
  <si>
    <t>506-6076-0838</t>
  </si>
  <si>
    <t>carlosdec@gmail.com</t>
  </si>
  <si>
    <t>Rohrmoser, Pavas, costado norte del Colegio Humbolt, 4ta casa a mano izquierda</t>
  </si>
  <si>
    <t>DISTRITO 3-SAN JUAN CANTON 7-ABANGARES DE LA PROVINCIA DE GUANACASTE, Costa Rica</t>
  </si>
  <si>
    <t>['CR0041', 'CR0071']</t>
  </si>
  <si>
    <t>506-8521-1397, 506-8551-4454</t>
  </si>
  <si>
    <t>didier-alfaro@hotmail.es, alexis.aa@gmail.com</t>
  </si>
  <si>
    <t>300m SO del bar la Central en San Juan, Bolivar de Grecia</t>
  </si>
  <si>
    <t>el distrito 13-pocosol Canton 10-San Carlos de la provincia de Alajuela, Costa Rica</t>
  </si>
  <si>
    <t>['CR0042']</t>
  </si>
  <si>
    <t>87512200</t>
  </si>
  <si>
    <t>diegobarboza2062@gmail.com</t>
  </si>
  <si>
    <t>900 m Norte de la escuela los Ceibos en la unión de Guatuso</t>
  </si>
  <si>
    <t>EL DISTRITO 2-BUENA VISTA CANTON 15-GUATUSO DE LA PROVINCIA DE ALAJUELA, Costa Rica</t>
  </si>
  <si>
    <t>['CR0043']</t>
  </si>
  <si>
    <t>8312-1516</t>
  </si>
  <si>
    <t>dioqbero@gmail.com</t>
  </si>
  <si>
    <t>Pijije de Bagaces, Guanacaste, 800m suroeste de la escuela, casa amarilla, mano izquierda</t>
  </si>
  <si>
    <t>DISTRITO 6-ESQUIPULAS CANTON 7-PALMARES DE LA PROVINCIA DE ALAJUELA, Costa Rica,</t>
  </si>
  <si>
    <t>['CR0044']</t>
  </si>
  <si>
    <t>8899-9775, 5712-2326.</t>
  </si>
  <si>
    <t>donalddr79@gmail.com</t>
  </si>
  <si>
    <t>150m al sur del colegio técnico, San José de San Pablo, Turrubares.</t>
  </si>
  <si>
    <t>DISTRITO 5-CUREÑA CANTON 10-SARAPIQUI DE LA PROVINCIA DE HEREDIA, Costa Rica</t>
  </si>
  <si>
    <t>['CR0045']</t>
  </si>
  <si>
    <t>83063090 , 7021-3625</t>
  </si>
  <si>
    <t>eligas8@gmail.com</t>
  </si>
  <si>
    <t>Alajuela, San Carlos, Cuidad Quesada, calle Gamboa, 150m este del taller Chicho.</t>
  </si>
  <si>
    <t>EL DISTRITO 3-EL AMPARO CANTON 14-LOS CHILES DE LA PROVINCIA DE ALAJUELA, Costa Rica</t>
  </si>
  <si>
    <t>['CR0046']</t>
  </si>
  <si>
    <t>506-8718-4363</t>
  </si>
  <si>
    <t>fr308099@gmail.com</t>
  </si>
  <si>
    <t>De la escuela Los Ángeles de Colinas de Puntarenas 700m al Sur Oeste</t>
  </si>
  <si>
    <t>El distrito 6- Colinas Cantón 3-Buenos Aires de la provincia de Puntarenas Costa Rica</t>
  </si>
  <si>
    <t>['CR0047']</t>
  </si>
  <si>
    <t>6345-6387</t>
  </si>
  <si>
    <t>marijoseapestegui@gmail.com</t>
  </si>
  <si>
    <t>Palmira, Carrillo, Guanacaste. Del Lagar Dolt Center 500m NO. Entrada de piedra a mano izquierda finca Linares</t>
  </si>
  <si>
    <t>el distrito 2-palmira canton 5-carrillo de la provincia de guanacaste, costa rica</t>
  </si>
  <si>
    <t>['CR0048']</t>
  </si>
  <si>
    <t>8775-4304</t>
  </si>
  <si>
    <t>corella30g@gmail.com</t>
  </si>
  <si>
    <t>Asentamiento el Paraíso, 300 m Suroeste bazar Sandra</t>
  </si>
  <si>
    <t>EL DISTRITO 14-SARAPIQUI CANTON 1-ALAJUELA DE LA PROVINCIA DE ALAJUELA, Costa Rica</t>
  </si>
  <si>
    <t>['CR0049']</t>
  </si>
  <si>
    <t>8394-1098</t>
  </si>
  <si>
    <t>ismaelchaves59@hotmail.com</t>
  </si>
  <si>
    <t>00m sur y  100m oeste del Scotiabank, Liberia, Guanacaste</t>
  </si>
  <si>
    <t>el distrito 6-dos rios canton 13-upala de la provincia de alajuela, Costa rica</t>
  </si>
  <si>
    <t>['CR0050']</t>
  </si>
  <si>
    <t>6033-5997</t>
  </si>
  <si>
    <t>Jespinoza@colonos.com</t>
  </si>
  <si>
    <t>750m NO de la iglesia Catolica de Tukankir 1, Guatuso Alajuela</t>
  </si>
  <si>
    <t>el distrito 4-Katira Canton 15-Guatuso de la provincia de Alajuela</t>
  </si>
  <si>
    <t>['CR0051']</t>
  </si>
  <si>
    <t>506 8626 5530, 506-8910-8202, 239-851-2700</t>
  </si>
  <si>
    <t>amaninchedda96@gmail.com, ily0523@hotmail.com, jerry.myers@gmail.com</t>
  </si>
  <si>
    <t>Barrio Vasquez, San Rafael de Santa Ana. Del Centro de Desarrollo Humano 50m NO. Apartado postal: 75-6150 Santa Ana, San Jose, Costa Rica</t>
  </si>
  <si>
    <t>el distrito 2-Desmonte canton 4-San Mateo de la provincia de Alajuela, Costa Rica</t>
  </si>
  <si>
    <t>['CR0052']</t>
  </si>
  <si>
    <t>8820-9988, 8920-9639</t>
  </si>
  <si>
    <t>Fernando.esquivel.arce@gmail.com, pardosc123@gmail.com</t>
  </si>
  <si>
    <t>150m noreste del puente la cazuela, San Pablo. Ciudad Quesada.</t>
  </si>
  <si>
    <t>Bajo de Chilamate, del rancho Magallanes 800m este, 200m sur y 400m este</t>
  </si>
  <si>
    <t>['CR0053']</t>
  </si>
  <si>
    <t>['CR0054']</t>
  </si>
  <si>
    <t>8642-5654</t>
  </si>
  <si>
    <t>laublanco29383@gmail.com</t>
  </si>
  <si>
    <t>Pejibaye, Perez Zeledon</t>
  </si>
  <si>
    <t>el distrito 7-pejibaye canton 19-perez zeledon de la provincia de san jose, costa rica</t>
  </si>
  <si>
    <t>['CR0055']</t>
  </si>
  <si>
    <t>8469-6085</t>
  </si>
  <si>
    <t>asalazar@salazarabogados.net</t>
  </si>
  <si>
    <t>San José Province, San Pablo, Costa Rica</t>
  </si>
  <si>
    <t>el distrito 3- San Juan de Mata, cantón 16-Turrubares de la provincia de San José, Costa Rica</t>
  </si>
  <si>
    <t>['CR0056']</t>
  </si>
  <si>
    <t>8770-9822, (506) 8615-4445</t>
  </si>
  <si>
    <t>marco.f.fiorio@gmail.com</t>
  </si>
  <si>
    <t>1 Km Oeste de la escuela de Hamacas, Pittier Coto Brus</t>
  </si>
  <si>
    <t>Pittier de Coto Brus, Puntarenas, Costa Rica</t>
  </si>
  <si>
    <t>['CR0057']</t>
  </si>
  <si>
    <t>8584-2076</t>
  </si>
  <si>
    <t>info@cgextintores.com</t>
  </si>
  <si>
    <t>Salitral de Santa Ana cincuenta metros oeste de la delegación de Fuerza Pública.</t>
  </si>
  <si>
    <t>el distrito segundo Salitral, cantón noveno, Santa Ana de la provincia de San José, Costa Rica</t>
  </si>
  <si>
    <t>['CR0058']</t>
  </si>
  <si>
    <t>506-8580-1567, 506-8525-3436</t>
  </si>
  <si>
    <t>vane18ka471@gmail.com</t>
  </si>
  <si>
    <t>Upala Centro, 150m Norte del MAG</t>
  </si>
  <si>
    <t>el distrito 2-Cano Negro, canton 14-Los Chiles de la provincia de Alajuela, Costa Rica</t>
  </si>
  <si>
    <t>['CR0059']</t>
  </si>
  <si>
    <t>8577-7454</t>
  </si>
  <si>
    <t>sibethlopez2001@gmail.com</t>
  </si>
  <si>
    <t>De la escuela San Luis 600m Norte, parcela 33. San Luis de Dos Rios</t>
  </si>
  <si>
    <t>el distrito 6-dos rios canton 13-upala de la provincia de alajuela, Costa Rica</t>
  </si>
  <si>
    <t>['CR0060']</t>
  </si>
  <si>
    <t>87512200, 8363-3137</t>
  </si>
  <si>
    <t>900m de la escuela los Ceibos, la Unión de Guatuso</t>
  </si>
  <si>
    <t>el distrito 2-Buena Vista, cantón 15-Guatuso de la provincia de Alajuela, Costa Rica</t>
  </si>
  <si>
    <t>['CR0062']</t>
  </si>
  <si>
    <t>7132-5754, 87123143</t>
  </si>
  <si>
    <t>ser1229@yahoo.es, olgermonge04@gmail.com</t>
  </si>
  <si>
    <t>San José de Acosta Chirraca, contiguo a la terminal de buses Monge, casa color amarilla</t>
  </si>
  <si>
    <t>distrito 3-Palmichal, cantón 12-Acosta de la provincia de San José, Costa Rica</t>
  </si>
  <si>
    <t>['CR0063']</t>
  </si>
  <si>
    <t>(506) 8877-7710, (506) 7075-0880</t>
  </si>
  <si>
    <t>begocarrental@gmail.com</t>
  </si>
  <si>
    <t>Media Vuelta, 400m Norte de la Iglesia Catolica. Sarapiqui, Heredia</t>
  </si>
  <si>
    <t>el distrito 1-Puerto Viejo, Canton 10-Sarapiqui de la provincia de Heredia, Costa Rica</t>
  </si>
  <si>
    <t>['CR0064']</t>
  </si>
  <si>
    <t>89805576</t>
  </si>
  <si>
    <t>cazuca.czc@gmail.com</t>
  </si>
  <si>
    <t>300 metros oeste de la Gasolinera La Lucha, La Tigra San Carlos</t>
  </si>
  <si>
    <t>EN EL DISTRITO 8-ANGELES CANTON 2-SAN RAMON DE LA PROVINCIA DE ALAJUELA</t>
  </si>
  <si>
    <t>['CR0065']</t>
  </si>
  <si>
    <t>506 8868-9602, 8868-9602</t>
  </si>
  <si>
    <t>buenavistaagricola@gmail.com</t>
  </si>
  <si>
    <t>100N de la esucla de San Lorenzo de Tarrazu, San Jose, Costa Rica</t>
  </si>
  <si>
    <t>['CR0066']</t>
  </si>
  <si>
    <t>8542-3910, 8498-8324</t>
  </si>
  <si>
    <t>sibajaelizondovictor@gmail.com</t>
  </si>
  <si>
    <t>1 km al este de la escuela de Esquipulas</t>
  </si>
  <si>
    <t>el distrito 11-Cutris Canton 10-San Carlos de la provincia de Alajuela, Costa Rica</t>
  </si>
  <si>
    <t>['CR0067']</t>
  </si>
  <si>
    <t>506-8983-8148, 506-8505-5669, 506-8318-5891</t>
  </si>
  <si>
    <t>eve_728@hotmail.com</t>
  </si>
  <si>
    <t>Diagonal a ferreteria Canlete en Canelete de Upala</t>
  </si>
  <si>
    <t>el distrito 8-Canalete canton 13-Uplala de la provincia de Alajuela, Costa Rica</t>
  </si>
  <si>
    <t>['CR0068']</t>
  </si>
  <si>
    <t>506-8875-4687</t>
  </si>
  <si>
    <t>wtecnifrutas@gmail.com</t>
  </si>
  <si>
    <t>Santa Isabel Rio Cuarto de Alajuela</t>
  </si>
  <si>
    <t>10.058027, -84.456474</t>
  </si>
  <si>
    <t>['CR0069']</t>
  </si>
  <si>
    <t>60760838, +506-61778830, +506- 84447590</t>
  </si>
  <si>
    <t>Abangares Campo de Oro, 3km al sur de la escuela 50702</t>
  </si>
  <si>
    <t>Abangares Campo de Oro, 3km al sur de la escuela</t>
  </si>
  <si>
    <t>['CR0070']</t>
  </si>
  <si>
    <t>24277051, 86559870</t>
  </si>
  <si>
    <t>cristian.miranda.alpizar@mep.go.cr</t>
  </si>
  <si>
    <t>Alajuela Province, Orotina, Costa Rica</t>
  </si>
  <si>
    <t>['CR0072']</t>
  </si>
  <si>
    <t>50662444795, 506-8694-6846</t>
  </si>
  <si>
    <t>manfrito8@gmail.com</t>
  </si>
  <si>
    <t>50m este de Polloiandia, El Pavon, Los Chiles Alajuela 21401</t>
  </si>
  <si>
    <t>el distrito 3-El Amparo Canton 14-Los Chiles de la provincia de Alajuela</t>
  </si>
  <si>
    <t>['CR0073']</t>
  </si>
  <si>
    <t>506 60030444, 506 88239449</t>
  </si>
  <si>
    <t>lagaritah@gmail.com, christian.garita@gmail.com</t>
  </si>
  <si>
    <t>Heredia Central Ulloa condominio Terrafé lote 83</t>
  </si>
  <si>
    <t>4-SAN JORGE CANTON 14-LOS CHILES DE LA PROVINCIA DE ALAJUELA</t>
  </si>
  <si>
    <t>['CR0074']</t>
  </si>
  <si>
    <t>50672971864</t>
  </si>
  <si>
    <t>kapp241087@gmail.com</t>
  </si>
  <si>
    <t>Aguas Claras, Alajuela Province, Costa Rica</t>
  </si>
  <si>
    <t>['CR0075']</t>
  </si>
  <si>
    <t>50687125265, 506-8568-1948</t>
  </si>
  <si>
    <t>ldiegocastillo@hotmail.com</t>
  </si>
  <si>
    <t>125 metros sur y 50 este del cruce a Las Quebredas, Rincon de Zaragoza, Palmares Alajuela 20702</t>
  </si>
  <si>
    <t>1.5km al norte y 2km al este de la Escuela de Alto Lopez, Barrio San Jose Sur, Atenas, Alajuela</t>
  </si>
  <si>
    <t>['CR0076']</t>
  </si>
  <si>
    <t>50660822879</t>
  </si>
  <si>
    <t>fvindas1974@gmail.com</t>
  </si>
  <si>
    <t>Limón Po­cocí La Rita comunidad la Suerte, 70203</t>
  </si>
  <si>
    <t>La suerte de la Rita de Pococi. un kilómetro de la escuela</t>
  </si>
  <si>
    <t>['CR0077']</t>
  </si>
  <si>
    <t>50686608587</t>
  </si>
  <si>
    <t>gabrielquiros059@gmail.com</t>
  </si>
  <si>
    <t>El Bosque de Guacimo, Limón</t>
  </si>
  <si>
    <t>['CR0078']</t>
  </si>
  <si>
    <t>['CR0079']</t>
  </si>
  <si>
    <t>['CR0080']</t>
  </si>
  <si>
    <t>50683178860, 5067005-9832</t>
  </si>
  <si>
    <t>corporacionlumal@hotmail.com</t>
  </si>
  <si>
    <t>San José Province, Vuelta de Jorco, Costa Rica</t>
  </si>
  <si>
    <t>['CR0081']</t>
  </si>
  <si>
    <t>50683114275</t>
  </si>
  <si>
    <t>javier.arias.chaves@hotmail.com, gustavoariaschaves@gmail.com</t>
  </si>
  <si>
    <t>Alajuela Province, Sarchi, Costa Rica</t>
  </si>
  <si>
    <t>['CR0082']</t>
  </si>
  <si>
    <t>50689424551</t>
  </si>
  <si>
    <t>carmelitasn21@gmail.com</t>
  </si>
  <si>
    <t>Puntarenas Province, San Vito, Costa Rica</t>
  </si>
  <si>
    <t>['CR0084']</t>
  </si>
  <si>
    <t>5068952-7886</t>
  </si>
  <si>
    <t>agnerchinchilla64@gmail.com</t>
  </si>
  <si>
    <t>Sabalito, Puntarenas Province, Costa Rica</t>
  </si>
  <si>
    <t>['CR0086']</t>
  </si>
  <si>
    <t>50685334949, 50624484800, 50683822204</t>
  </si>
  <si>
    <t>beneguaria@ice.co.cr, brasacha@gmail.com</t>
  </si>
  <si>
    <t>San Rafael de Poas, Alajuela Province, San Rafael, Costa Rica</t>
  </si>
  <si>
    <t>['CR0087']</t>
  </si>
  <si>
    <t>50689554585</t>
  </si>
  <si>
    <t>leonardocrdr986@gmail.com</t>
  </si>
  <si>
    <t>Tuis, Cartago Province, Turrialba, Costa Rica</t>
  </si>
  <si>
    <t>['CR0088']</t>
  </si>
  <si>
    <t>50689876752, 50688005783</t>
  </si>
  <si>
    <t>vialca81@gmail.com, nanocv77@gmail.com</t>
  </si>
  <si>
    <t>La Potenciana, San José Province, Costa Rica</t>
  </si>
  <si>
    <t>['CR0089']</t>
  </si>
  <si>
    <t>['CR0090']</t>
  </si>
  <si>
    <t>['CR0091']</t>
  </si>
  <si>
    <t>506-8335-4070, 506-7285-3817</t>
  </si>
  <si>
    <t>miravalles1085@gmail.com</t>
  </si>
  <si>
    <t>350m sur de la iglesia catollca de Guacallto, Canalete de Upala. 21301</t>
  </si>
  <si>
    <t>['CR0092']</t>
  </si>
  <si>
    <t>['CR0093']</t>
  </si>
  <si>
    <t>['CR0094']</t>
  </si>
  <si>
    <t>['CR0095']</t>
  </si>
  <si>
    <t>['CR0096']</t>
  </si>
  <si>
    <t>506 87912122</t>
  </si>
  <si>
    <t>acastromeza943@gmail.com</t>
  </si>
  <si>
    <t>Provincia de Puntarenas, Buenos Aires, Costa Rica</t>
  </si>
  <si>
    <t>['CR0097']</t>
  </si>
  <si>
    <t>506 72048081</t>
  </si>
  <si>
    <t>jacparja@gmail.com</t>
  </si>
  <si>
    <t>Bijagua</t>
  </si>
  <si>
    <t>['CR0098']</t>
  </si>
  <si>
    <t>eraulangulo@gmail.com;fedemais2000@gmail.com</t>
  </si>
  <si>
    <t>['CR0099', 'CR0110']</t>
  </si>
  <si>
    <t>506-6298-7677</t>
  </si>
  <si>
    <t>ward_samuel@yahoo.com</t>
  </si>
  <si>
    <t>Frente a la Iglesia Metodista de Pacuarito de Siquirres, Limón</t>
  </si>
  <si>
    <t>['CR0100']</t>
  </si>
  <si>
    <t>52 55 70698839</t>
  </si>
  <si>
    <t>barqueroj@gmail.com, ravenard@yahoo.com</t>
  </si>
  <si>
    <t>De la Cruz Roja de Santa Ana, 400m Oeste, 300m Norte y 200 m oeste. Condominio La Hacienda #22</t>
  </si>
  <si>
    <t>['CR0101']</t>
  </si>
  <si>
    <t>506 8392-9488, 506 8867-9772</t>
  </si>
  <si>
    <t>brprecision@hotmail.com</t>
  </si>
  <si>
    <t>Heredia, Ulloa: Calle la Carpintera, de lubricentro Freddy 400mts sur-oeste, tapia color gris a mano izquierda</t>
  </si>
  <si>
    <t>['CR0102']</t>
  </si>
  <si>
    <t>506 8599-3617</t>
  </si>
  <si>
    <t>guanabanasdeosa@gmail.com</t>
  </si>
  <si>
    <t>Puntarenas Province, Ciudad Cortés, Costa Rica</t>
  </si>
  <si>
    <t>['CR0103']</t>
  </si>
  <si>
    <t>506 8357-0986</t>
  </si>
  <si>
    <t>emaruiztorres@gmail.com</t>
  </si>
  <si>
    <t>Heredia Province, La Virgen, Costa Rica</t>
  </si>
  <si>
    <t>['CR0104']</t>
  </si>
  <si>
    <t>506 8323-6963</t>
  </si>
  <si>
    <t>johaner.rf@gmail.com</t>
  </si>
  <si>
    <t>Valle de la estrella</t>
  </si>
  <si>
    <t>['CR0105']</t>
  </si>
  <si>
    <t>eduardotrejosobando@gmail.com</t>
  </si>
  <si>
    <t>La Rita de Guapiles</t>
  </si>
  <si>
    <t>['CR0106']</t>
  </si>
  <si>
    <t>50686947869</t>
  </si>
  <si>
    <t>roalmoa@gmail.com</t>
  </si>
  <si>
    <t>['CR0107']</t>
  </si>
  <si>
    <t>83120389 and 84152315</t>
  </si>
  <si>
    <t>serviciosvillalobos94@gmail,com</t>
  </si>
  <si>
    <t>['CR0108']</t>
  </si>
  <si>
    <t>506-85998467,50663441753</t>
  </si>
  <si>
    <t>cgarcia.rodriguez.75@gmail.com;marlenyrodcam@gmail.com</t>
  </si>
  <si>
    <t>['CR0109']</t>
  </si>
  <si>
    <t>provial.ro@gmail.com</t>
  </si>
  <si>
    <t>['CR0111']</t>
  </si>
  <si>
    <t>87048068</t>
  </si>
  <si>
    <t>manfred.goyenaga@gmail.com</t>
  </si>
  <si>
    <t>Moravia, Barrio La Guaria, de la Princesa Marina 100 oeste y 50 norte</t>
  </si>
  <si>
    <t>De la escuela Las Brisas 4kms Norte. San Rafael de Pocosol, San Carlos Alajuela</t>
  </si>
  <si>
    <t>['CR0112']</t>
  </si>
  <si>
    <t>+502 57031213</t>
  </si>
  <si>
    <t>s_hpatricia@hotmail.com</t>
  </si>
  <si>
    <t>AVENIDA LAS AMERICAS 7-62, ZONA 3, EDIFICIO TORRE PRADE-RA XELA, OCTAVO NIVEL, OFICINA 801, QUETZALTENANGO, GUATEMALA</t>
  </si>
  <si>
    <t>FINCA SAN JOSÉ, MUNICIPIO DE FLORES COSTA CUCA, DEPARTAMENTO DE QUETZALTENANGO</t>
  </si>
  <si>
    <t>['GT0001', 'GT0030']</t>
  </si>
  <si>
    <t>['GT0002']</t>
  </si>
  <si>
    <t>['GT0003']</t>
  </si>
  <si>
    <t>['GT0004']</t>
  </si>
  <si>
    <t>['GT0005', 'GT0022']</t>
  </si>
  <si>
    <t>+50254114650</t>
  </si>
  <si>
    <t>lmoran@inversionesluys.com</t>
  </si>
  <si>
    <t>A VENIDA LAS AMERICAS 7-62, ZONA 3, EDIFICIO TORRE PRADE­RA XELA, OCTAVO NIVEL, OFICINA 813, MUNICIPIO DE QUETZALTENANGO, DEPARTAMENTO DE  QUETZAL TENANGO</t>
  </si>
  <si>
    <t>FINCA ENTRE RIOS, MUNICIPIO DE EL PALMAR, DEPARTAMENTO DE QUETZALTENANGO</t>
  </si>
  <si>
    <t>['GT0006', 'GT0038']</t>
  </si>
  <si>
    <t>+502 30098257</t>
  </si>
  <si>
    <t>mrmombiela@gmail.com</t>
  </si>
  <si>
    <t>2ª calle 4A-40 zona 9, La Floresta, Quetzaltenango</t>
  </si>
  <si>
    <t>Municipio de Génova, departamento de Quetzaltenango</t>
  </si>
  <si>
    <t>['GT0007', 'GT0040']</t>
  </si>
  <si>
    <t>['GT0008']</t>
  </si>
  <si>
    <t>(502) 55178198</t>
  </si>
  <si>
    <t>pedroantoniomombiela@yahoo.com.mx</t>
  </si>
  <si>
    <t>AGRO E INDUSTRIAS LAS MARIAS, COLOMBA COSTA CUCA QUETZALTENANGO,GT</t>
  </si>
  <si>
    <t>['GT0009']</t>
  </si>
  <si>
    <t>['GT0010']</t>
  </si>
  <si>
    <t>+(502) 50010308</t>
  </si>
  <si>
    <t>rudy-cem@hotmail.com</t>
  </si>
  <si>
    <t>5ª CALLE B 2-01, ZONA 3, COLONIA LOS ANGELES, MUNICIPIO DE CHIQUIMULA, DEPARTAMENTO DE CHIQUIMULA</t>
  </si>
  <si>
    <t>MUNICIPIO DE LA UNIÓN, DEPARTAMENTO DE ZACAPA</t>
  </si>
  <si>
    <t>['GT0011', 'GT0029']</t>
  </si>
  <si>
    <t>(502) 46849832</t>
  </si>
  <si>
    <t>alvaroguzmanrodas@gmail.com</t>
  </si>
  <si>
    <t>3ª AVENIDA 8-73, ZONA 1, MUNICIPIO DE ESQUIPULAS, DEPAR-TAMENTO DE CHIQUIMULA</t>
  </si>
  <si>
    <t>CRUZ ALTA, ALDEA CRUZ ALTA, MUNICIPIO DE ESQUIPULAS, DEPARTA-MENTO DE CHIQUIMULA</t>
  </si>
  <si>
    <t>['GT0012']</t>
  </si>
  <si>
    <t>(502) 57827512</t>
  </si>
  <si>
    <t>darinelld@hotmail.com</t>
  </si>
  <si>
    <t>2ª CALLE C 0-57, ZONA 2, BARRIO DE LA ESPERANZA, MUNICIPIO DE JALAPA, DEPARTAMENTO DE JALAPA, GUATEMALA</t>
  </si>
  <si>
    <t>ALDEA SAN IGNACIO, MUNIPICIO DE JALAPA, DEPARTAMENTO DE JALAPA</t>
  </si>
  <si>
    <t>['GT0013']</t>
  </si>
  <si>
    <t>+502 41231219, (502) 79430065</t>
  </si>
  <si>
    <t>gerenciadenegocios@gmail.com</t>
  </si>
  <si>
    <t>3ª CALLE 1-85, ZONA 3, MUNICIPIO DE ESQUIPULAS, DEPARTA-MENTO DE CHIQUIMULA</t>
  </si>
  <si>
    <t>Finca La Papayera, aldea Cidabenque, Melchor de Mencos, El Petén</t>
  </si>
  <si>
    <t>['GT0014', 'GT0032']</t>
  </si>
  <si>
    <t>(502) 55163538</t>
  </si>
  <si>
    <t>carloslopezletona@gmail.com</t>
  </si>
  <si>
    <t>Lotificación Guayacán, 7ª calle final, Casa # 2, Coatepeque, Quetzaltenango</t>
  </si>
  <si>
    <t>Municipio de Flores Costa Cuca, departamento Quetzaltenango</t>
  </si>
  <si>
    <t>['GT0015', 'GT0033']</t>
  </si>
  <si>
    <t>(502) 40603843</t>
  </si>
  <si>
    <t>rchacony@cartagofresh.com</t>
  </si>
  <si>
    <t>FINCA 16095 FOLIO 112 LIBRO 84 DE SANTA ROSA</t>
  </si>
  <si>
    <t>Aldea las violetas, municipio de taxisco, dept de santa rosa, Guatemala</t>
  </si>
  <si>
    <t>['GT0016']</t>
  </si>
  <si>
    <t>(502) 56940037</t>
  </si>
  <si>
    <t>estradahoracio@yahoo.es</t>
  </si>
  <si>
    <t>ASOCIACION DE DESARROLLO VERDE DE GUATEMALA - ASOVERDE, CASA NÚMERO 4, COLONIA PRADOS DE CANNAN, MUNICIPIO DE CHIQUIMULA, DEPARTAMENTO DE CHIQUIMULA</t>
  </si>
  <si>
    <t>ALDEA EL DURAZNO, MUNICIPIO DE CHIQUIMULA, DEPARTAMENTO DE CHIQUIMULA</t>
  </si>
  <si>
    <t>['GT0017', 'GT0044']</t>
  </si>
  <si>
    <t>(502) 54049842</t>
  </si>
  <si>
    <t>bittylopez@hotmail.com</t>
  </si>
  <si>
    <t>FINCA PANAMÁ, MUNICIPIO DE FLORES COSTA CUCA, DEPARTAMENTO DE QUETZALTENANGO</t>
  </si>
  <si>
    <t>['GT0018']</t>
  </si>
  <si>
    <t>['GT0019']</t>
  </si>
  <si>
    <t>['GT0020']</t>
  </si>
  <si>
    <t>(502) 57744044</t>
  </si>
  <si>
    <t>ca.shell@yahoo.com</t>
  </si>
  <si>
    <t>KM 13 CARRETERA A EL SALVADOR, CONDOMINIO LAS LUCES LIRIOS 8, MUNICIPIO DE SANTA CATARINA PINULA, DEPARTAMENTO DE GUATEMALA</t>
  </si>
  <si>
    <t>LOTE 11 DE SANTO TOMAS DE CASTILLA, MUNICIPIO DE PUERTO BA-RRIOS, DEPARTAMENTO DE IZABAL</t>
  </si>
  <si>
    <t>['GT0021']</t>
  </si>
  <si>
    <t>(502) 56900614</t>
  </si>
  <si>
    <t>aecv2003@hotmail.com</t>
  </si>
  <si>
    <t>14 AVENIDA A 0-77, ZONA 1, MUNICIPIO DE QUETZALTENANGO, DEPARTAMENTO DE QUETZALTENANGO</t>
  </si>
  <si>
    <t>FINCA LA SOLA, LAS PASCUAS, MUNICIPIO DE SAN CRISTOBAL CUCHO, DEPARTAMENTO DE SAN MARCOS</t>
  </si>
  <si>
    <t>['GT0023']</t>
  </si>
  <si>
    <t>(502) 56972396</t>
  </si>
  <si>
    <t>julmora213@gmail.com</t>
  </si>
  <si>
    <t>14 A VENIDA LAS AMERICAS 7-62, ZONA 3, EDIFICIO TORRE PRADE­RA XELA, OCTAVO NTVEL, OFTCTNA 812, MUNTCTPTO DE QUETZALTENANGO, DEPARTAMENTO DE QUETZAL TENA NGO</t>
  </si>
  <si>
    <t>FTNCA 4 PTLARES DE LAS PAULOWNTAS, MUNTCTPTO DE EL PALMAR, DEPARTAMENTO DE QUETZALTENANGO</t>
  </si>
  <si>
    <t>['GT0024a', 'GT0024b', 'GT0042']</t>
  </si>
  <si>
    <t>(502) 54135219</t>
  </si>
  <si>
    <t>mayalsmiscelanea@hotmail.com</t>
  </si>
  <si>
    <t>Barrio El Centro zona 1, municipio de San Luis Jilotepeque, departamento de Jalapa</t>
  </si>
  <si>
    <t>Aldea El Zapote, municipio de San Luis, departamento de Petén</t>
  </si>
  <si>
    <t>['GT0025', 'GT0039']</t>
  </si>
  <si>
    <t>['GT0026']</t>
  </si>
  <si>
    <t>(502) 52063353</t>
  </si>
  <si>
    <t>rcallaway@armaviacion.com</t>
  </si>
  <si>
    <t>AVENIDA HINCAPIE, ZONA 13, HANGAR K2, MUNICIPIO DE GUA-TEMALA, DEPARTAMENTO DE GUATEMALA</t>
  </si>
  <si>
    <t>MUNICIPIO DE BARBERENA, DEPARTAMENTO DE SANTA ROSA</t>
  </si>
  <si>
    <t>['GT0027', 'GT0043']</t>
  </si>
  <si>
    <t>(502) 30220730</t>
  </si>
  <si>
    <t>hamblin.duarte@gmail.com</t>
  </si>
  <si>
    <t>1ª AVENIDA 8-22, ZONA 1, MUNICIPIO DE ESQUIPULAS, DEPAR-TAMENTO DE CHIQUIMULA</t>
  </si>
  <si>
    <t>ALDEA TIMUSHAN, MUNICIPIO DE ESQUIPULAS, DEPARTAMENTO DE CHIQUIMULA</t>
  </si>
  <si>
    <t>['GT0028']</t>
  </si>
  <si>
    <t>+502 40117762</t>
  </si>
  <si>
    <t>hermangster@gmail.com, dherman@grupoadh.com</t>
  </si>
  <si>
    <t>Aldea Laguna Bermeja, Granja San Luis, Condominio Laguna del Bosque Casa '1169, zona 7, Santa Cata­rina Pinula, Guatemala</t>
  </si>
  <si>
    <t>Aldea El Parafso, municipio de Sayaxche, Departamento de Peten</t>
  </si>
  <si>
    <t>['GT0031a', 'GT0031b', 'GT0031c']</t>
  </si>
  <si>
    <t>+502 58063533</t>
  </si>
  <si>
    <t>chadievalleverde@yahoo.com</t>
  </si>
  <si>
    <t>Barrio Chidesaaj, municipio de Cobán, departamento de Alta Verapaz</t>
  </si>
  <si>
    <t>Aldea Palestina, municipio Las Cruces, departamento de El Petén</t>
  </si>
  <si>
    <t>['GT0034']</t>
  </si>
  <si>
    <t>57151628</t>
  </si>
  <si>
    <t>cheiomilo@gmail.com</t>
  </si>
  <si>
    <t>Finca San diego, La Fragua, Zacapa, Guatamala</t>
  </si>
  <si>
    <t>FINCA DOLORES , MUNICIPIO DE LA UNION, DEPARTAMENTO DE ZACAPA</t>
  </si>
  <si>
    <t>['GT0035']</t>
  </si>
  <si>
    <t>+502 56408432</t>
  </si>
  <si>
    <t>edilsargarcia78@gmail.com</t>
  </si>
  <si>
    <t>Aldea Sigüila, San Juán Ostuncalco, Quetzaltenango</t>
  </si>
  <si>
    <t>Playa Grande cabecera municipal del Municipio Ixcán, Departamento de El Quiché</t>
  </si>
  <si>
    <t>['GT0036']</t>
  </si>
  <si>
    <t>+502 52044476</t>
  </si>
  <si>
    <t>alconerodeleonjm@gmail.com</t>
  </si>
  <si>
    <t>11 avenida 3-09 zona 9, Barrio Garibaldi, Quetzaltenango</t>
  </si>
  <si>
    <t>Municipio de San José El Rodeo, departamento de San Marcos</t>
  </si>
  <si>
    <t>['GT0037']</t>
  </si>
  <si>
    <t>502 59910111</t>
  </si>
  <si>
    <t>maguero@grupotecun.com</t>
  </si>
  <si>
    <t>23 av enida 6 72, zona 15, Vista Hermosa I</t>
  </si>
  <si>
    <t>['GT0041', 'GT0045']</t>
  </si>
  <si>
    <t>['MX0001']</t>
  </si>
  <si>
    <t>['MX0002']</t>
  </si>
  <si>
    <t>4777271251</t>
  </si>
  <si>
    <t>pavizh@gmail.com</t>
  </si>
  <si>
    <t>Calle Novello #107 Fraccionamiento Residencial Piamonte. Co Ionia Llacienda Santa Fe. Leon, Guanajuato. Mexico, 37299</t>
  </si>
  <si>
    <t>El Potrerito, Ca bras de Guadelupe, Municipio de Ocampo, Guanajuato. CP 37640</t>
  </si>
  <si>
    <t>['MX0003']</t>
  </si>
  <si>
    <t>['MX0004']</t>
  </si>
  <si>
    <t>287.110.7413</t>
  </si>
  <si>
    <t>aarguelles03b@gmail.com</t>
  </si>
  <si>
    <t>Calle Rio Jaltepec no . 7 4, fraccionamiento Lomas del Rio Medio 3, Zamora, Veracruz. 91809. Mex ico</t>
  </si>
  <si>
    <t>Calle Rio Jaltepec no . 74, fraccionamiento Lomas del R io Med io 3, Zamora, Veracruz. 91809, Mexico</t>
  </si>
  <si>
    <t>['MX0005']</t>
  </si>
  <si>
    <t>['MX0006', 'MX0007']</t>
  </si>
  <si>
    <t>['MX0008']</t>
  </si>
  <si>
    <t>ramirez032175@hotmail.com</t>
  </si>
  <si>
    <t>C Juan Escutia 42 col Francisco I Madero, Minatitlan, Veracruz 96770, Mexico</t>
  </si>
  <si>
    <t>['MX0009']</t>
  </si>
  <si>
    <t>['MX0010']</t>
  </si>
  <si>
    <t>['MX0011']</t>
  </si>
  <si>
    <t>429-103-2060</t>
  </si>
  <si>
    <t>cardosoproduceyagave@gmail.com</t>
  </si>
  <si>
    <t>Vicente Guerrero s/n. Rancho Guadalupe, Huanimaro, Guanajuato CP 36998, Mexico</t>
  </si>
  <si>
    <t>Ojo de Agua, Municipio de Abasolo, Guanajuato 36987, Mexico. La Loma, Municipio de Huanfmaro CP 36998, Mexico</t>
  </si>
  <si>
    <t>['MX0012']</t>
  </si>
  <si>
    <t>352-107-7863</t>
  </si>
  <si>
    <t>jcagronegocios022@hotmail.com</t>
  </si>
  <si>
    <t>Blvd. Adolfo Lopez Mateos, Centro, La Piedad, Michoacan. CP 59300. Mexico</t>
  </si>
  <si>
    <t>Presa Vieja y el Guamuchil, Taguiscuareo, La Piedad, Michoacan. CP 59300, Mexico</t>
  </si>
  <si>
    <t>['MX0013']</t>
  </si>
  <si>
    <t>4493482975</t>
  </si>
  <si>
    <t>villedajuanluis@gmail.com</t>
  </si>
  <si>
    <t>Salvador Duran Castanedo N° 409, Col. VNSA, Aguascalientes, Aqs. Mexico. CP 20126</t>
  </si>
  <si>
    <t>Sector de producción 2, Ejido el Tule, Asientos, Aguascalientes 20704, México</t>
  </si>
  <si>
    <t>['MX0014']</t>
  </si>
  <si>
    <t>['MX0015']</t>
  </si>
  <si>
    <t>['MX0016']</t>
  </si>
  <si>
    <t>['MX0017']</t>
  </si>
  <si>
    <t>412-121-3850</t>
  </si>
  <si>
    <t>u.gro.abts@gmail.com</t>
  </si>
  <si>
    <t>Benito Juarez #23. Comunidad Neutla, Como nfort, Guanajuato, CP 38220, Mexico</t>
  </si>
  <si>
    <t>El Capulin, Neutla, Comonfort, Guanajuato. CP 38220, Mexico</t>
  </si>
  <si>
    <t>['MX0018']</t>
  </si>
  <si>
    <t>4773863295</t>
  </si>
  <si>
    <t>carisrs@hotmail.com</t>
  </si>
  <si>
    <t>Fraccionamiento Villas del Vergel, Comunidad de Jesus del Monte, San Francisco del Rincon, Guanajuato 36460, Mexico</t>
  </si>
  <si>
    <t>San Diego N° 115. Col. Puerta San Rafael. Leon. Guanajuato. Mexico</t>
  </si>
  <si>
    <t>['MX0019']</t>
  </si>
  <si>
    <t>['MX0020']</t>
  </si>
  <si>
    <t>2831131385</t>
  </si>
  <si>
    <t>olgalidia_sm@live.com.mx</t>
  </si>
  <si>
    <t>Av. Ferrocarril S/N, Localidad Los Tigres, C.P. 95680, Juan Rodriguez Clara, Veracruz, Mexico</t>
  </si>
  <si>
    <t>Predio rustico "Algodonal y Angostura, Municipio de San Juan Evangelista, Distrito de Acayucan, Veracruz, Mexico</t>
  </si>
  <si>
    <t>['MX0021']</t>
  </si>
  <si>
    <t>9991054657</t>
  </si>
  <si>
    <t>martinezsg@hotmail.com</t>
  </si>
  <si>
    <t>Colonia agricola. "General Miguel Aleman". Municipio de las Choapas. Estado de Veracruz. Mexico</t>
  </si>
  <si>
    <t>['MX0022']</t>
  </si>
  <si>
    <t>9241443056</t>
  </si>
  <si>
    <t>romfrojas2012@gmail.com</t>
  </si>
  <si>
    <t>Calle Miguel Hidalgo S/N, Localidad La Soledad, San Juan Evangelista, Veracruz, Me­xico</t>
  </si>
  <si>
    <t>Parcela 131 Z-1 P-4. Ejido Zapotitancillo de Juarez. Santiago Yaveo. Oaxaca. Mexico</t>
  </si>
  <si>
    <t>['MX0023']</t>
  </si>
  <si>
    <t>+529921073276, 9921310372</t>
  </si>
  <si>
    <t>jbaruch15@hotmail.com</t>
  </si>
  <si>
    <t>Calle Primera Poniente Sur No. 83, Barrio Ramajal, C.P. 29410, Teopisca, Chiapas, Mexico</t>
  </si>
  <si>
    <t>Barrio Ramjal de la Villa de Teopisca, Municipio, Teopis ca, Chiapas, Mexico</t>
  </si>
  <si>
    <t>['MX0024']</t>
  </si>
  <si>
    <t>2831042417</t>
  </si>
  <si>
    <t>Calle Pipila S/N, Localidad Los Tigres, C.P. 95680, Juan Rodriguez Clara, Veracruz, Mexico</t>
  </si>
  <si>
    <t>Rancho San Antonio, Municiopio Juan Rodriguez Clara, Veracruz, Mexico</t>
  </si>
  <si>
    <t>['MX0025']</t>
  </si>
  <si>
    <t>922 227 2099</t>
  </si>
  <si>
    <t>hvargasforestal@hotmail.com</t>
  </si>
  <si>
    <t>['MX0026', 'MX0042']</t>
  </si>
  <si>
    <t>jcarbajal.g@hotmail.com</t>
  </si>
  <si>
    <t>['MX0027', 'MX0043']</t>
  </si>
  <si>
    <t>carvajalcirilo37@gmail.com</t>
  </si>
  <si>
    <t>['MX0028']</t>
  </si>
  <si>
    <t>993 117 2791__</t>
  </si>
  <si>
    <t>proye.spazios@gmail.com</t>
  </si>
  <si>
    <t>['MX0029']</t>
  </si>
  <si>
    <t>heradiohernandes@gmail.com; rubendhj@hotmail.com</t>
  </si>
  <si>
    <t xml:space="preserve">Av. Francisco I madero N° 39, Col. Centro, Municipio de Ostuacán, Estado de </t>
  </si>
  <si>
    <t>['MX0030']</t>
  </si>
  <si>
    <t>922207 7454</t>
  </si>
  <si>
    <t>brd1392@outlook.com</t>
  </si>
  <si>
    <t>Chiapas. CP 29550.</t>
  </si>
  <si>
    <t>['MX0031']</t>
  </si>
  <si>
    <t>922 286 5063</t>
  </si>
  <si>
    <t>iosea rmandoca rvajalocam po@gma i l.com</t>
  </si>
  <si>
    <t>['MX0032']</t>
  </si>
  <si>
    <t>ofeliagamboa12345@gmail.com</t>
  </si>
  <si>
    <t>['MX0033']</t>
  </si>
  <si>
    <t>molina_2155@hotmail.com</t>
  </si>
  <si>
    <t>['MX0034', 'MX0048']</t>
  </si>
  <si>
    <t>556 897 8244</t>
  </si>
  <si>
    <t>taizonhernandez181@gmail.com</t>
  </si>
  <si>
    <t>['MX0035']</t>
  </si>
  <si>
    <t>‎soriapereztito@gmail.com</t>
  </si>
  <si>
    <t>['MX0036', 'MX0051']</t>
  </si>
  <si>
    <t>932 106 9604</t>
  </si>
  <si>
    <t>ugperez@hotmail.com;memosum56@outlook.com</t>
  </si>
  <si>
    <t>['MX0037']</t>
  </si>
  <si>
    <t>917 109 7180</t>
  </si>
  <si>
    <t>banchearreola@hotmail.com</t>
  </si>
  <si>
    <t>['MX0038']</t>
  </si>
  <si>
    <t>Joseayalavazquez911@gmail.com</t>
  </si>
  <si>
    <t>['MX0039']</t>
  </si>
  <si>
    <t>811 051 5877</t>
  </si>
  <si>
    <t>cruzambrosio370@gmail.com </t>
  </si>
  <si>
    <t>Ejido Cándido Aguilar S/N. Minatitlán, Veracruz.  CP 96925.</t>
  </si>
  <si>
    <t>Ejido Cándido Aguilar, Municipio de Minatitlán, Estado de Veracruz. CP 96926.</t>
  </si>
  <si>
    <t>['MX0040', 'MX0084']</t>
  </si>
  <si>
    <t>['MX0041']</t>
  </si>
  <si>
    <t>['MX0044']</t>
  </si>
  <si>
    <t>['MX0045']</t>
  </si>
  <si>
    <t>['MX0046']</t>
  </si>
  <si>
    <t>jacintofelipemoises16@gmail.com</t>
  </si>
  <si>
    <t>['MX0047']</t>
  </si>
  <si>
    <t>['MX0049']</t>
  </si>
  <si>
    <t>dalarconb@hotmail.com</t>
  </si>
  <si>
    <t>['MX0050']</t>
  </si>
  <si>
    <t>Victoricoortegacohetero@gmail.com</t>
  </si>
  <si>
    <t>['MX0052']</t>
  </si>
  <si>
    <t>NA</t>
  </si>
  <si>
    <t>Calle Miguel Hidalgo N° 49, Ejido Liberales, Uxpanapa, Veracruz. CP 96998</t>
  </si>
  <si>
    <t>Ejido Los Liberales, Municipio de Uxpanapa, Estado de Veracruz. CP 96998</t>
  </si>
  <si>
    <t>['MX0053']</t>
  </si>
  <si>
    <t>522881358918</t>
  </si>
  <si>
    <t>Calle 20 de Noviembre N° 36, Ejido Liberales, Uxpanapa, Veracruz. CP 96998</t>
  </si>
  <si>
    <t>['MX0054']</t>
  </si>
  <si>
    <t>delacruz5castro@gmail.com</t>
  </si>
  <si>
    <t>C. Principal. Lote 18. Ejido Miguel Alemán, Uxpanapa, Veracruz. CP 96997</t>
  </si>
  <si>
    <t>Ejido Gral. Miguel Alemán. Municipio de Uxpanapa, Estado de Veracruz. CP 96997</t>
  </si>
  <si>
    <t>['MX0055', 'MX0060', 'MX0064', 'MX0069', 'MX0073', 'MX0102', 'MX0103']</t>
  </si>
  <si>
    <t>529221006546</t>
  </si>
  <si>
    <t>Calle 2 de Octubre N° 51, Ejido Liberales, Uxpanapa, Veracruz. CP 96998</t>
  </si>
  <si>
    <t>Ejido Los Liberales, Municipio de Uxpanapa, Estado de Veracruz.</t>
  </si>
  <si>
    <t>['MX0056']</t>
  </si>
  <si>
    <t>Calle Miguel Hidalgo N° 29, Ejido Los Liberales, Uxpanapa, Veracruz. CP 96998</t>
  </si>
  <si>
    <t>['MX0057']</t>
  </si>
  <si>
    <t>C. Principal. Lote 25. Ejido Miguel Alemán, Uxpanapa, Veracruz. CP 96997</t>
  </si>
  <si>
    <t>['MX0058', 'MX0101', 'MX0101']</t>
  </si>
  <si>
    <t>529231019162</t>
  </si>
  <si>
    <t>Calle 2 de Octubre N° 57, Ejido Los Liberales, Uxpanapa, Veracruz. CP 96998</t>
  </si>
  <si>
    <t>['MX0059']</t>
  </si>
  <si>
    <t>529222062079</t>
  </si>
  <si>
    <t>eddiel279@hotmail.com</t>
  </si>
  <si>
    <t>Bulevar Benito Juárez lote 5 mazana 17. Congregación la Horqueta, poblado 12. Uxpanapa, Veracruz. C.P. 96998.</t>
  </si>
  <si>
    <t>Ejido N.C.P.E. La Horqueta, Municipio de Uxpanapa, Estado de Veracruz. CP 96998</t>
  </si>
  <si>
    <t>['MX0061']</t>
  </si>
  <si>
    <t>529721214079</t>
  </si>
  <si>
    <t>greenway.stonemasonry@gmail.com</t>
  </si>
  <si>
    <t>C. Venustiano Carranza LT 7 MZ 22. Ejido Carolino Anaya. Uxpanapa, Veracruz. CP 96998</t>
  </si>
  <si>
    <t>Ejido Carolino Anaya, Municipio de Uxpanapa, Estado de Veracruz de la Llave. CP 96997</t>
  </si>
  <si>
    <t>['MX0062']</t>
  </si>
  <si>
    <t>529231393940</t>
  </si>
  <si>
    <t>Calle Fores Magón S/N, Ejido Liberales, Uxpanapa, Veracruz. CP 96998</t>
  </si>
  <si>
    <t>['MX0063']</t>
  </si>
  <si>
    <t>Calle Miguel Hidalgo N° 48, Ejido Liberales, Uxpanapa, Veracruz. CP 96998</t>
  </si>
  <si>
    <t>['MX0065']</t>
  </si>
  <si>
    <t>['MX0066']</t>
  </si>
  <si>
    <t>C. Argentina N° 42, Ej. Plan de Arroyo, Uxpanapa, Veracruz. CP 96997</t>
  </si>
  <si>
    <t>Ejido Plan de Arroyos, Municipio de Uxpanapa, Estado de Veracruz De La Llave. CP 96997</t>
  </si>
  <si>
    <t>['MX0067']</t>
  </si>
  <si>
    <t>Calle 2 de Octubre N° 43, Ejido Los Liberales, Uxpanapa, Veracruz. CP 96998</t>
  </si>
  <si>
    <t>['MX0068']</t>
  </si>
  <si>
    <t>Calle 2 de Octubre N° 59, Ejido Los Liberales, Uxpanapa, Veracruz. CP 96998</t>
  </si>
  <si>
    <t>['MX0070']</t>
  </si>
  <si>
    <t>529222113224</t>
  </si>
  <si>
    <t>Localidad San Felipe S/N, C.p. 96901, Municipio Uxpanapa, Veracruz, México.</t>
  </si>
  <si>
    <t>Ejido Huitzitzilco Nuevo, Municipio Uxpanapa, Veracruz, México. C.P. 96998</t>
  </si>
  <si>
    <t>['MX0071']</t>
  </si>
  <si>
    <t>Calle Acosta Lagunes N° 1, Ejido Valerio Trujano, Uxpanapa, Veracruz. CP 96998</t>
  </si>
  <si>
    <t>Ejido General Valerio Trujano, Municipio de Uxpanapa, Estado de Veracruz. CP 96998</t>
  </si>
  <si>
    <t>['MX0072', 'MX0100', 'MX0108']</t>
  </si>
  <si>
    <t>Calle Miguel Hidalgo N° 23, Ejido Liberales, Uxpanapa, Veracruz. CP 96998</t>
  </si>
  <si>
    <t>['MX0074']</t>
  </si>
  <si>
    <t>Calle 20 de Noviembre N° 21, Ejido Liberales, Uxpanapa, Veracruz. CP 96998</t>
  </si>
  <si>
    <t>['MX0075']</t>
  </si>
  <si>
    <t>['MX0076']</t>
  </si>
  <si>
    <t>522831245608</t>
  </si>
  <si>
    <t>chayo052574@gmail.com</t>
  </si>
  <si>
    <t>Localidad Santa María La Nopalera, S/N, C.P. 68955, San Juan La Lana, Oaxaca, México.</t>
  </si>
  <si>
    <t>Localidad Santa María la Nopalera, Municipio Santiago Yaveo, Oaxaca, México, C.P. 95600</t>
  </si>
  <si>
    <t>['MX0077', 'MX0103']</t>
  </si>
  <si>
    <t>522831003239</t>
  </si>
  <si>
    <t>bulbarela12345@gmail.com</t>
  </si>
  <si>
    <t>Avenida Francisco Gutiérrez Barrios S/N, Localidad Los Tigres, CP. 95676</t>
  </si>
  <si>
    <t>Localidad La Soledad, Juan Rodríguez Clara, Veracruz, México. CP 95676.</t>
  </si>
  <si>
    <t>['MX0078']</t>
  </si>
  <si>
    <t>30sanchez.12345@gmail.com</t>
  </si>
  <si>
    <t>Calle sin numero, Localidad San Martín Soyaltepec, C.P. 95600, Playa Vicente Veracruz, México.</t>
  </si>
  <si>
    <t>['MX0079', 'MX0104']</t>
  </si>
  <si>
    <t>524433374096</t>
  </si>
  <si>
    <t>mariaalvarezrivera321@gmail.com</t>
  </si>
  <si>
    <t>Año de Juárez, Tuxtepec, Oaxaca. CP 68404.</t>
  </si>
  <si>
    <t>Predio Rústico Santa Sofía, Tuxtepec, Oaxaca.</t>
  </si>
  <si>
    <t>['MX0080']</t>
  </si>
  <si>
    <t>522881013093</t>
  </si>
  <si>
    <t>Calle Bahia No. 135, Ampliación las Aguilas, C.P. 01759, Delegación Alvaro Obregón, Ciudad de México, México.</t>
  </si>
  <si>
    <t>Ejido El Macuile, Municipio de Isla, Veracruz, México, C.P. 95641</t>
  </si>
  <si>
    <t>['MX0081']</t>
  </si>
  <si>
    <t>+52 2941247419</t>
  </si>
  <si>
    <t>Calle libertad S/N, Colonia Benito Juárez, C.P. 95670, Juan Rodríguez Clara, Veracruz, México.</t>
  </si>
  <si>
    <t>Ejido Juan Rodríguez Clara, Municipio Juan Rodríguez Clara, Veracruz, México, C.P. 95670</t>
  </si>
  <si>
    <t>['MX0082']</t>
  </si>
  <si>
    <t>8162998970</t>
  </si>
  <si>
    <t>alberto-aac@hotmail.com</t>
  </si>
  <si>
    <t>Colonia Coahuila S/N. Playa Vicente, Veracruz. CP 95624.</t>
  </si>
  <si>
    <t>Colonia Agrícola y Ganadera Coahuila, del municipio de Playa Vicente, Veracruz.</t>
  </si>
  <si>
    <t>['MX0083']</t>
  </si>
  <si>
    <t>524401684602</t>
  </si>
  <si>
    <t>trujillojuana798@gmail.com</t>
  </si>
  <si>
    <t>Calle Miguel Hidalgo S/N, Ejido Cándido Aguilar, C.P. 96700, Minatitlán, Veracruz, México.</t>
  </si>
  <si>
    <t>Ejido Candido Aguilar, Municipio de Minatitlan, Veracruz, México, C.P. 96700</t>
  </si>
  <si>
    <t>['MX0085', 'MX0096']</t>
  </si>
  <si>
    <t xml:space="preserve"> +52 923 101 3383</t>
  </si>
  <si>
    <t>Calle Principal 43, Pueblo Viejo. Las Choapas, Veracruz. CP  96994</t>
  </si>
  <si>
    <t xml:space="preserve">Ejido Pueblo Viejo. Las Choapas, Veracruz de la Llave. </t>
  </si>
  <si>
    <t>['MX0086']</t>
  </si>
  <si>
    <t>Ej. Benito Juárez S/N, Las Choapas, Veracruz. CP 96994</t>
  </si>
  <si>
    <t>Ej. Benito Juárez S/N, Las Choapas, Veracruz.</t>
  </si>
  <si>
    <t>['MX0087']</t>
  </si>
  <si>
    <t>923 117 6486</t>
  </si>
  <si>
    <t>['MX0088']</t>
  </si>
  <si>
    <t>Calle Benito Juárez N° 130, Ejido Nuevo Ixtacomitán. Las Choapas, Veracruz. CP  96994</t>
  </si>
  <si>
    <t>Ejido Nuevo Ixtacomitán. Las Choapas, Veracruz. CP 96994</t>
  </si>
  <si>
    <t>['MX0089']</t>
  </si>
  <si>
    <t xml:space="preserve"> +52 923 120 1377</t>
  </si>
  <si>
    <t>Rancho San Juan Camalotal S/N, Vicente Guerrero. Las Choapas, Veracruz. CP 94994</t>
  </si>
  <si>
    <t>Predio Rústico San Juan Camalotal del Municipio de Las Choapas, Veracruz.</t>
  </si>
  <si>
    <t>['MX0090', 'MX0114']</t>
  </si>
  <si>
    <t xml:space="preserve"> +52 923 116 7011</t>
  </si>
  <si>
    <t>Calle Principal N° 06, Ejido Nuevo Ixtacomitán. Las Choapas, Veracruz. CP  96994</t>
  </si>
  <si>
    <t>['MX0091']</t>
  </si>
  <si>
    <t>Pueblo Viejo S/N. Las Choapas, Veracruz. CP 96994</t>
  </si>
  <si>
    <t>['MX0092']</t>
  </si>
  <si>
    <t xml:space="preserve"> +52 923 231 2068</t>
  </si>
  <si>
    <t>Calle Principal 44, Pueblo Viejo. Las Choapas, Veracruz. CP  96994</t>
  </si>
  <si>
    <t>Ejido Río Playas. Las Choapas, Veracruz.</t>
  </si>
  <si>
    <t>['MX0093', 'MX0105']</t>
  </si>
  <si>
    <t>529231208846</t>
  </si>
  <si>
    <t>Ejido Pueblo Viejo. Las Choapas, Veracruz de la Llave. CP 96994</t>
  </si>
  <si>
    <t>['MX0094']</t>
  </si>
  <si>
    <t xml:space="preserve"> +52 923 105 5654</t>
  </si>
  <si>
    <t>Ejido N.C.P.A. Vicente Guerrero. Las Choapas, Veracruz.</t>
  </si>
  <si>
    <t>['MX0095']</t>
  </si>
  <si>
    <t>Calle Francisco Villa N° 70, Ejido Nuevo Ixtacomitán. Las Choapas, Veracruz. CP  96994</t>
  </si>
  <si>
    <t>['MX0097']</t>
  </si>
  <si>
    <t>529231013383</t>
  </si>
  <si>
    <t>Ejido Río Playas. Las Choapas, Veracruz. CP 96994</t>
  </si>
  <si>
    <t>['MX0098']</t>
  </si>
  <si>
    <t>+ 52 921 142 2826</t>
  </si>
  <si>
    <t xml:space="preserve">crlcln21@gmail.com </t>
  </si>
  <si>
    <t>C. Francisco Tellez. Col. Guadalupe Victoria. Coatzacoalcos, Veracruz. CP 96520.</t>
  </si>
  <si>
    <t>Terreno rustico marcado con el Número 74 del Fraccionamiento denominado “Gavilán Sur" o de "Rabasa", ubicado en el Municipio de Coatzacoalcos, Veracruz, México. CP 96375.</t>
  </si>
  <si>
    <t>['MX0099', 'MX0115']</t>
  </si>
  <si>
    <t>+ 52 922 135 1902</t>
  </si>
  <si>
    <t>C. Niños Heroes S/N. Loc. Hermanos Cedillo. Poblado 2. Uxpanapa, Veracruz. CP96997</t>
  </si>
  <si>
    <t>Ejido Hermanos Cedillo. Municipio de Uxpanapa, Estado de Veracruz. CP 96998</t>
  </si>
  <si>
    <t>['MX0106', 'MX0107']</t>
  </si>
  <si>
    <t>+ 52 972 103 0601</t>
  </si>
  <si>
    <t>rcapestani@gmail.com</t>
  </si>
  <si>
    <t>Carr. a San Juan Guichicovi Km 4 1/2. Loc. Estación Mogoñé. San Juan Guichicovi, Oaxaca. CP 70330.</t>
  </si>
  <si>
    <t>Terreno rustico denominado “Lomas del Machín", de la población Estación Mogoñé, Municipio de San Juan Guichicovi, Oaxaca, México. CP 70330.</t>
  </si>
  <si>
    <t>['MX0102', 'MX0107']</t>
  </si>
  <si>
    <t>+52 9241425308</t>
  </si>
  <si>
    <t>jorgegarciabautista7272@gmail.com</t>
  </si>
  <si>
    <t>Calle 16 de septiembre S/N, Localidad 16 de septiembre, Jesús Carranza, Veracruz, México. C.P. 96950.</t>
  </si>
  <si>
    <t>Terreno rustico marcado con el 79 fracción II, ubicado en el predio denominado “Colombia Land”, municipio de Jesús Carranza, Veracruz, México, C.P. 96950.</t>
  </si>
  <si>
    <t>['MX0104', 'MX0108']</t>
  </si>
  <si>
    <t>+52 9241311527</t>
  </si>
  <si>
    <t>mg0476624@gmail.com</t>
  </si>
  <si>
    <t>Localidad Colonia 16 de septiembre S/N, Localidad 16 de septiembre, Jesús Carranza, Veracruz, México. C.P. 96950.</t>
  </si>
  <si>
    <t>Predio rustico marcado como lote número 22, denominado Colombia Land, perteneciente a la Congregación de Suchilapan, Municipio de Jesús Carranza, Veracruz, México, C.P. 96950.</t>
  </si>
  <si>
    <t>['MX0105', 'MX0109']</t>
  </si>
  <si>
    <t>+52 9241551127</t>
  </si>
  <si>
    <t>miguelinaa878@gmail.com</t>
  </si>
  <si>
    <t>Calle Benito Juárez S/N, Localidad 16 de septiembre, Jesús Carranza, Veracruz, México. C.P. 96970.</t>
  </si>
  <si>
    <t>Predio rustico marcado con el número 21, de la fracción segunda del predio Colombia Land, perteneciente a la Congregación de Suchilapan, Municipio de Jesús Carranza, Veracruz, México, C.P. 96970.</t>
  </si>
  <si>
    <t>['MX0106', 'MX0110']</t>
  </si>
  <si>
    <t>+52 924 136 5712</t>
  </si>
  <si>
    <t>ignaciogarciabautista7272@gmail.com</t>
  </si>
  <si>
    <t>Calle 16 de septiembre S/N, Localidad 16 de septiembre, C.p. 96950, Jesús Carranza, Veracruz, México.</t>
  </si>
  <si>
    <t>Fracción terreno rustico, ubicado en el punto denominado “Colombia Land”, en la congregación de Suchilapan, municipio de Jesús Carranza, Veracruz, México, C.P. 96950.</t>
  </si>
  <si>
    <t>['MX0111']</t>
  </si>
  <si>
    <t>+ 52 283 121 6946</t>
  </si>
  <si>
    <t>4n@gmail.com</t>
  </si>
  <si>
    <t>Calle Ursulo Galvan S/N, Localidad el Tomate rio manso, C.p. 95600, Playa Vicente, Veracruz, México.</t>
  </si>
  <si>
    <t>Ejido San Gabriel, Municipio de Playa Vicente, Veracruz, México, C.P. 95600</t>
  </si>
  <si>
    <t>['MX0112']</t>
  </si>
  <si>
    <t>+52 566 534 9211</t>
  </si>
  <si>
    <t>cruzmariajuarezpena74@gmail.com</t>
  </si>
  <si>
    <t>Avenida 5 de mayo S/N, Localidad San Felipe Zihualtepec, C.p. 70212, San Juan Cotzocón, Oaxaca, México, C.P. 70212.</t>
  </si>
  <si>
    <t>Predios rústicos, denominados fracción “A” y “B”, ubicados en el Municipio de Santiago Yaveo, Distrito Choapam, Estado de Oaxaca, México, C.P. 70212.</t>
  </si>
  <si>
    <t>['MX0113']</t>
  </si>
  <si>
    <t>+52 2831052485</t>
  </si>
  <si>
    <t>a_estrada31@hotmail.com</t>
  </si>
  <si>
    <t>Localidad Rancho, la Providencia S/N, C.P. 95600, Municipio de Playa Vicente, Veracruz, México.</t>
  </si>
  <si>
    <t>Rancho la Providencia, C.P. 95619, Municipio de Playa Vicente, Veracruz, México.</t>
  </si>
  <si>
    <t>['MX0114']</t>
  </si>
  <si>
    <t>+52 283 102 3781</t>
  </si>
  <si>
    <t>vmjunco@hotmail.com</t>
  </si>
  <si>
    <t>Calle Cuauhtémoc No. 125, Colonia Centro, Isla, Veracruz, México, C.P. 95641.</t>
  </si>
  <si>
    <t>Fracción de Predio rustico denominado “El Ñape”, y Ejido N.C.P.E. Palma de Oro, ambos, perteneciente al Municipio de Isla, Veracruz, México, C.P. 95641.</t>
  </si>
  <si>
    <t>['MX0115']</t>
  </si>
  <si>
    <t>+52 283 132 9197</t>
  </si>
  <si>
    <t>carbajaltele7@gmail.com</t>
  </si>
  <si>
    <t>Calle Miguel Hidalgo S/N, Localidad La Angostura, CP. 95684, Juan Rodríguez Clara, Veracruz; México.</t>
  </si>
  <si>
    <t>Ejido Angostura, Juan Rodríguez Clara, Veracruz, México, CP 95684</t>
  </si>
  <si>
    <t>['MX0116']</t>
  </si>
  <si>
    <t>Loc. Vicente Guerrero S/N, Las Choapas, Veracruz. CP 96980</t>
  </si>
  <si>
    <t>Loc. Vicente Guerrero S/N , Las Choapas, Veracruz. CP 96980</t>
  </si>
  <si>
    <t>['MX0117']</t>
  </si>
  <si>
    <t>+ 52 283 118 6420</t>
  </si>
  <si>
    <t>perezrf222@gmail.com</t>
  </si>
  <si>
    <t>Localidad Arroyo Colorado Cruz Verde S/N, Municipio de Santiago Sochiapan, Estado de Veracruz, México, C.P. 95600.</t>
  </si>
  <si>
    <t>Ejido Arroyo Colorado Cruz Verde, Municipio de Playa Vicente, Estado de Veracruz, México, C.P. 95600.</t>
  </si>
  <si>
    <t>['MX0118']</t>
  </si>
  <si>
    <t>+52 923 109 0035</t>
  </si>
  <si>
    <t>Carr. Benito Juárez, Ej. Río Playas. Las Choapas, Veracruz. CP 96994</t>
  </si>
  <si>
    <t>['MX0119']</t>
  </si>
  <si>
    <t>+52 923 130 7644</t>
  </si>
  <si>
    <t>Calle Principal S/N, Pueblo Viejo. Las Choapas, Veracruz. CP  96994</t>
  </si>
  <si>
    <t>['MX0120']</t>
  </si>
  <si>
    <t>+52 923 117 6486</t>
  </si>
  <si>
    <t>Ej. Benito Juárez, Las Choapas, Veracruz. CP  96980.</t>
  </si>
  <si>
    <t xml:space="preserve">Ejido Benito Juárez, Las Choapas, Veracruz. CP 96980 </t>
  </si>
  <si>
    <t>['MX0121']</t>
  </si>
  <si>
    <t>Loc. Pueblo Viejo S/N. Las Choapas, Veracruz. CP  96980.</t>
  </si>
  <si>
    <t>Localidad Pueblo Viejo, Municipio Las Choapas, Veracruz, México, C.P. 96980</t>
  </si>
  <si>
    <t>['MX0122']</t>
  </si>
  <si>
    <t>usa_allocation_pct</t>
  </si>
  <si>
    <t>usa_trees_contracted</t>
  </si>
  <si>
    <t>usa_trees_planted</t>
  </si>
  <si>
    <t>canada_allocation_pct</t>
  </si>
  <si>
    <t>canada_2017_trees</t>
  </si>
  <si>
    <t>canada_2017_allocation_pct</t>
  </si>
  <si>
    <t>canada_trees_contracted</t>
  </si>
  <si>
    <t>total_can_allocation</t>
  </si>
  <si>
    <t>etp_type</t>
  </si>
  <si>
    <t>contracted_cop</t>
  </si>
  <si>
    <t>planted_cop</t>
  </si>
  <si>
    <t>contracted_etp</t>
  </si>
  <si>
    <t>planted_etp</t>
  </si>
  <si>
    <t>surviving_etp</t>
  </si>
  <si>
    <t>surviving_cop</t>
  </si>
  <si>
    <t>2025-05-12 12:10:54.583611-06</t>
  </si>
  <si>
    <t>COP</t>
  </si>
  <si>
    <t>ETP/COP</t>
  </si>
  <si>
    <t>ETP</t>
  </si>
  <si>
    <t>rel_path</t>
  </si>
  <si>
    <t>tree_age</t>
  </si>
  <si>
    <t>inventory_year</t>
  </si>
  <si>
    <t>survival</t>
  </si>
  <si>
    <t>tht_mean</t>
  </si>
  <si>
    <t>tht_std</t>
  </si>
  <si>
    <t>mht_mean</t>
  </si>
  <si>
    <t>mht_std</t>
  </si>
  <si>
    <t>mht_pct_of_target</t>
  </si>
  <si>
    <t>dbh_mean</t>
  </si>
  <si>
    <t>dbh_std</t>
  </si>
  <si>
    <t>noncom_dbh_count</t>
  </si>
  <si>
    <t>dbh_pct_of_target</t>
  </si>
  <si>
    <t>doyle_bf_mean</t>
  </si>
  <si>
    <t>doyle_bf_std</t>
  </si>
  <si>
    <t>doyle_bf_total</t>
  </si>
  <si>
    <t>projected_dbh</t>
  </si>
  <si>
    <t>projected_doyle_bf</t>
  </si>
  <si>
    <t>pkid</t>
  </si>
  <si>
    <t>progress</t>
  </si>
  <si>
    <t>total_trees</t>
  </si>
  <si>
    <t>mortality</t>
  </si>
  <si>
    <t>type_of_metric</t>
  </si>
  <si>
    <t>rn</t>
  </si>
  <si>
    <t>resolution_method</t>
  </si>
  <si>
    <t>resolved_at</t>
  </si>
  <si>
    <t>6 6/12</t>
  </si>
  <si>
    <t>CR0030 2025</t>
  </si>
  <si>
    <t>OK</t>
  </si>
  <si>
    <t>inventory</t>
  </si>
  <si>
    <t>IMC</t>
  </si>
  <si>
    <t>GT0001 2024</t>
  </si>
  <si>
    <t>SMA</t>
  </si>
  <si>
    <t>GT0014 2024</t>
  </si>
  <si>
    <t>GT0018 2024</t>
  </si>
  <si>
    <t>GT0041 2024</t>
  </si>
  <si>
    <t>GT0042 2024</t>
  </si>
  <si>
    <t>GT0043 2024</t>
  </si>
  <si>
    <t>MX0026 2024</t>
  </si>
  <si>
    <t>MX0029 2024</t>
  </si>
  <si>
    <t>MX0031 2024</t>
  </si>
  <si>
    <t>MX0032 2024</t>
  </si>
  <si>
    <t>MX0035 2024</t>
  </si>
  <si>
    <t>US0056 2024</t>
  </si>
  <si>
    <t>3 7/12</t>
  </si>
  <si>
    <t>GT0029 2025</t>
  </si>
  <si>
    <t>3 6/12</t>
  </si>
  <si>
    <t>GT0030 2025</t>
  </si>
  <si>
    <t>GT0033 2025</t>
  </si>
  <si>
    <t>CR0078 2025</t>
  </si>
  <si>
    <t>CR0077 2025</t>
  </si>
  <si>
    <t>2 6/12</t>
  </si>
  <si>
    <t>CR0076 2025</t>
  </si>
  <si>
    <t>CR0075 2025</t>
  </si>
  <si>
    <t>CR0059 2024</t>
  </si>
  <si>
    <t>CR0060 2024</t>
  </si>
  <si>
    <t>CR0061 2024</t>
  </si>
  <si>
    <t>CR0062 2024</t>
  </si>
  <si>
    <t>CR0063 2024</t>
  </si>
  <si>
    <t>CR0065 2024</t>
  </si>
  <si>
    <t>CR0066 2024</t>
  </si>
  <si>
    <t>GT0036 2025</t>
  </si>
  <si>
    <t>CR0068 2024</t>
  </si>
  <si>
    <t>CR0086 2024</t>
  </si>
  <si>
    <t>CR0087 2024</t>
  </si>
  <si>
    <t>CR0089 2024</t>
  </si>
  <si>
    <t>CR0098 2024</t>
  </si>
  <si>
    <t>CR0099 2024</t>
  </si>
  <si>
    <t>CR0073 2025</t>
  </si>
  <si>
    <t>CR0074 2025</t>
  </si>
  <si>
    <t>CR0069 2024</t>
  </si>
  <si>
    <t>1 6/12</t>
  </si>
  <si>
    <t>GT0044 2025</t>
  </si>
  <si>
    <t>GT0045 2025</t>
  </si>
  <si>
    <t>US0057 2024</t>
  </si>
  <si>
    <t>4 9/12</t>
  </si>
  <si>
    <t>US0077 2025</t>
  </si>
  <si>
    <t>3 9/12</t>
  </si>
  <si>
    <t>US0118 2025</t>
  </si>
  <si>
    <t>US0120 2025</t>
  </si>
  <si>
    <t>3 8/12</t>
  </si>
  <si>
    <t>US0121 2025</t>
  </si>
  <si>
    <t>US0123 2025</t>
  </si>
  <si>
    <t>US0124 2025</t>
  </si>
  <si>
    <t>US0126 2025</t>
  </si>
  <si>
    <t>US0071 2025</t>
  </si>
  <si>
    <t>3 10/12</t>
  </si>
  <si>
    <t>US0127 2025</t>
  </si>
  <si>
    <t>1 8/12</t>
  </si>
  <si>
    <t>US0147 2025</t>
  </si>
  <si>
    <t>1 10/12</t>
  </si>
  <si>
    <t>US0148 2025</t>
  </si>
  <si>
    <t>US0149 2025</t>
  </si>
  <si>
    <t>1 9/12</t>
  </si>
  <si>
    <t>US0151 2025</t>
  </si>
  <si>
    <t>0 9/12</t>
  </si>
  <si>
    <t>US0158 2025</t>
  </si>
  <si>
    <t>0 10/12</t>
  </si>
  <si>
    <t>US0159 2025</t>
  </si>
  <si>
    <t>US0160 2025</t>
  </si>
  <si>
    <t>US0146 2025</t>
  </si>
  <si>
    <t>CR0058 2024</t>
  </si>
  <si>
    <t>4 10/12</t>
  </si>
  <si>
    <t>US0062 2025</t>
  </si>
  <si>
    <t>US0132 2024</t>
  </si>
  <si>
    <t>US0059 2024</t>
  </si>
  <si>
    <t>US0063 2024</t>
  </si>
  <si>
    <t>US0065 2024</t>
  </si>
  <si>
    <t>US0067 2024</t>
  </si>
  <si>
    <t>US0068 2024</t>
  </si>
  <si>
    <t>US0070 2024</t>
  </si>
  <si>
    <t>US0073 2024</t>
  </si>
  <si>
    <t>US0134 2024</t>
  </si>
  <si>
    <t>US0075 2024</t>
  </si>
  <si>
    <t>US0081 2024</t>
  </si>
  <si>
    <t>US0082 2024</t>
  </si>
  <si>
    <t>US0083 2024</t>
  </si>
  <si>
    <t>US0086 2024</t>
  </si>
  <si>
    <t>US0087 2024</t>
  </si>
  <si>
    <t>US0128 2024</t>
  </si>
  <si>
    <t>US0131 2024</t>
  </si>
  <si>
    <t>US0078 2024</t>
  </si>
  <si>
    <t>CR0055 2024</t>
  </si>
  <si>
    <t>CR0053 2024</t>
  </si>
  <si>
    <t>CR0052 2024</t>
  </si>
  <si>
    <t>1 4/12</t>
  </si>
  <si>
    <t>MX0049 2025</t>
  </si>
  <si>
    <t>1 3/12</t>
  </si>
  <si>
    <t>MX0051 2025</t>
  </si>
  <si>
    <t>MX0052 2025</t>
  </si>
  <si>
    <t>8 10/12</t>
  </si>
  <si>
    <t>US0005 2025</t>
  </si>
  <si>
    <t>US0006 2025</t>
  </si>
  <si>
    <t>US0040 2024</t>
  </si>
  <si>
    <t>US0008 2025</t>
  </si>
  <si>
    <t>MX0048 2025</t>
  </si>
  <si>
    <t>US0047 2024</t>
  </si>
  <si>
    <t>6 9/12</t>
  </si>
  <si>
    <t>US0022 2025</t>
  </si>
  <si>
    <t>6 10/12</t>
  </si>
  <si>
    <t>US0023 2025</t>
  </si>
  <si>
    <t>US0024 2025</t>
  </si>
  <si>
    <t>US0028 2025</t>
  </si>
  <si>
    <t>US0030 2025</t>
  </si>
  <si>
    <t>US0031 2025</t>
  </si>
  <si>
    <t>US0032 2025</t>
  </si>
  <si>
    <t>US0014 2025</t>
  </si>
  <si>
    <t>5 10/12</t>
  </si>
  <si>
    <t>US0039 2025</t>
  </si>
  <si>
    <t>MX0042 2025</t>
  </si>
  <si>
    <t>MX0039 2025</t>
  </si>
  <si>
    <t>CR0092 2025</t>
  </si>
  <si>
    <t>1 7/12</t>
  </si>
  <si>
    <t>CR0100 2025</t>
  </si>
  <si>
    <t>CR0102 2025</t>
  </si>
  <si>
    <t>0 6/12</t>
  </si>
  <si>
    <t>CR0107 2025</t>
  </si>
  <si>
    <t>GT0040 2025</t>
  </si>
  <si>
    <t>3 4/12</t>
  </si>
  <si>
    <t>MX0022 2025</t>
  </si>
  <si>
    <t>MX0043 2025</t>
  </si>
  <si>
    <t>MX0040 2025</t>
  </si>
  <si>
    <t>MX0044 2025</t>
  </si>
  <si>
    <t>MX0047 2025</t>
  </si>
  <si>
    <t>CR0064 2024</t>
  </si>
  <si>
    <t>GT0034 2025</t>
  </si>
  <si>
    <t>GT0035 2025</t>
  </si>
  <si>
    <t>GT0037 2025</t>
  </si>
  <si>
    <t>GT0038 2025</t>
  </si>
  <si>
    <t>MX0038 2025</t>
  </si>
  <si>
    <t>MX0046 2025</t>
  </si>
  <si>
    <t>US0162 2025</t>
  </si>
  <si>
    <t>US0139 2024</t>
  </si>
  <si>
    <t>US0141 2024</t>
  </si>
  <si>
    <t>US0106 2025</t>
  </si>
  <si>
    <t>CR0035 2024</t>
  </si>
  <si>
    <t>US0109 2025</t>
  </si>
  <si>
    <t>CR0039 2024</t>
  </si>
  <si>
    <t>CR0042 2024</t>
  </si>
  <si>
    <t>US0113 2025</t>
  </si>
  <si>
    <t>CR0044 2024</t>
  </si>
  <si>
    <t>US0103 2025</t>
  </si>
  <si>
    <t>US0114 2025</t>
  </si>
  <si>
    <t>US0115 2025</t>
  </si>
  <si>
    <t>CR0047 2024</t>
  </si>
  <si>
    <t>US0116 2025</t>
  </si>
  <si>
    <t>CR0048 2024</t>
  </si>
  <si>
    <t>US0117 2025</t>
  </si>
  <si>
    <t>CR0049 2024</t>
  </si>
  <si>
    <t>CR0051 2024</t>
  </si>
  <si>
    <t>CR0046 2024</t>
  </si>
  <si>
    <t>US0055 2025</t>
  </si>
  <si>
    <t>US0102 2025</t>
  </si>
  <si>
    <t>US0100 2025</t>
  </si>
  <si>
    <t>US0142 2024</t>
  </si>
  <si>
    <t>US0091 2025</t>
  </si>
  <si>
    <t>US0143 2024</t>
  </si>
  <si>
    <t>CR0037 2024</t>
  </si>
  <si>
    <t>US0092 2025</t>
  </si>
  <si>
    <t>US0094 2025</t>
  </si>
  <si>
    <t>US0095 2025</t>
  </si>
  <si>
    <t>US0101 2025</t>
  </si>
  <si>
    <t>MX0027 2024</t>
  </si>
  <si>
    <t>MX0028 2024</t>
  </si>
  <si>
    <t>MX0030 2024</t>
  </si>
  <si>
    <t>MX0033 2024</t>
  </si>
  <si>
    <t>US0097 2025</t>
  </si>
  <si>
    <t>MX0036 2024</t>
  </si>
  <si>
    <t>MX0037 2024</t>
  </si>
  <si>
    <t>US0099 2025</t>
  </si>
  <si>
    <t>US0096 2025</t>
  </si>
  <si>
    <t>US0164 2025</t>
  </si>
  <si>
    <t>out of program</t>
  </si>
  <si>
    <t>CR0013 2021</t>
  </si>
  <si>
    <t>CR0028 2021</t>
  </si>
  <si>
    <t>CR0029 2021</t>
  </si>
  <si>
    <t>CR0057 2021</t>
  </si>
  <si>
    <t>-1 6/12</t>
  </si>
  <si>
    <t>CR0070 2021</t>
  </si>
  <si>
    <t>CR0081 2022</t>
  </si>
  <si>
    <t>CR0082 2022</t>
  </si>
  <si>
    <t>CR0084 2021</t>
  </si>
  <si>
    <t>CR0088 2021</t>
  </si>
  <si>
    <t>GT0006 2022</t>
  </si>
  <si>
    <t>GT0007 2022</t>
  </si>
  <si>
    <t>GT0009 2022</t>
  </si>
  <si>
    <t>GT0011 2022</t>
  </si>
  <si>
    <t>GT0012 2021</t>
  </si>
  <si>
    <t>GT0013 2021</t>
  </si>
  <si>
    <t>GT0016 2021</t>
  </si>
  <si>
    <t>GT0017 2021</t>
  </si>
  <si>
    <t>GT0021 2021</t>
  </si>
  <si>
    <t>GT0023 2021</t>
  </si>
  <si>
    <t>GT0024b 2025</t>
  </si>
  <si>
    <t>GT0025 2022</t>
  </si>
  <si>
    <t>GT0027 2022</t>
  </si>
  <si>
    <t>GT0028 2022</t>
  </si>
  <si>
    <t>GT0031a 2025</t>
  </si>
  <si>
    <t>2 3/12</t>
  </si>
  <si>
    <t>GT0031b 2024</t>
  </si>
  <si>
    <t>GT0032 2021</t>
  </si>
  <si>
    <t>GT0039 2022</t>
  </si>
  <si>
    <t>0 2/12</t>
  </si>
  <si>
    <t>MX0009 2022</t>
  </si>
  <si>
    <t>MX0011 2021</t>
  </si>
  <si>
    <t>MX0013 2021</t>
  </si>
  <si>
    <t>MX0014 2021</t>
  </si>
  <si>
    <t>MX0018 2021</t>
  </si>
  <si>
    <t>MX0019 2021</t>
  </si>
  <si>
    <t>MX0023 2022</t>
  </si>
  <si>
    <t>MX0024 2022</t>
  </si>
  <si>
    <t>MX0003 2021</t>
  </si>
  <si>
    <t>MX0012 2021</t>
  </si>
  <si>
    <t>MX0021 2022</t>
  </si>
  <si>
    <t>MX0025 2022</t>
  </si>
  <si>
    <t>maindatabase last record</t>
  </si>
  <si>
    <t>US0011 2022</t>
  </si>
  <si>
    <t>5 8/12</t>
  </si>
  <si>
    <t>US0004 2022</t>
  </si>
  <si>
    <t>US0009 2022</t>
  </si>
  <si>
    <t>2 8/12</t>
  </si>
  <si>
    <t>US0025 2021</t>
  </si>
  <si>
    <t>US0029 2021</t>
  </si>
  <si>
    <t>US0034 2022</t>
  </si>
  <si>
    <t>Not planted contract</t>
  </si>
  <si>
    <t>US0046 2022</t>
  </si>
  <si>
    <t>US0035 2022</t>
  </si>
  <si>
    <t>US0042 2022</t>
  </si>
  <si>
    <t>US0051 2022</t>
  </si>
  <si>
    <t>US0104 2025</t>
  </si>
  <si>
    <t>-1 8/12</t>
  </si>
  <si>
    <t>US0090 2021</t>
  </si>
  <si>
    <t>US0137 2022</t>
  </si>
  <si>
    <t>US0136 2022</t>
  </si>
  <si>
    <t>US0138 2022</t>
  </si>
  <si>
    <t>US0144 2022</t>
  </si>
  <si>
    <t>US0130 2022</t>
  </si>
  <si>
    <t>3</t>
  </si>
  <si>
    <t>US0135 2022</t>
  </si>
  <si>
    <t>US0129 2022</t>
  </si>
  <si>
    <t>US0110 2022</t>
  </si>
  <si>
    <t>CR0104 2025</t>
  </si>
  <si>
    <t>US0115 2024</t>
  </si>
  <si>
    <t>US0145 2025</t>
  </si>
  <si>
    <t>US0150 2025</t>
  </si>
  <si>
    <t>US0154 2025</t>
  </si>
  <si>
    <t>US0155 2025</t>
  </si>
  <si>
    <t>US0156 2025</t>
  </si>
  <si>
    <t>US0114 2024</t>
  </si>
  <si>
    <t>US0094 2024</t>
  </si>
  <si>
    <t>CR0073 2024</t>
  </si>
  <si>
    <t>CR0074 2024</t>
  </si>
  <si>
    <t>CR0075 2024</t>
  </si>
  <si>
    <t>CR0076 2024</t>
  </si>
  <si>
    <t>CR0077 2024</t>
  </si>
  <si>
    <t>CR0078 2024</t>
  </si>
  <si>
    <t>CR0092 2024</t>
  </si>
  <si>
    <t>CR0100 2024</t>
  </si>
  <si>
    <t>CR0101 2024</t>
  </si>
  <si>
    <t>CR0102 2024</t>
  </si>
  <si>
    <t>CR0104 2024</t>
  </si>
  <si>
    <t>US0161 2025</t>
  </si>
  <si>
    <t>US0163 2025</t>
  </si>
  <si>
    <t>US0165 2025</t>
  </si>
  <si>
    <t>CR0040 2024</t>
  </si>
  <si>
    <t>US0157 2025</t>
  </si>
  <si>
    <t>CR0105 2024</t>
  </si>
  <si>
    <t>US0032 2024</t>
  </si>
  <si>
    <t>US0039 2024</t>
  </si>
  <si>
    <t>US0062 2024</t>
  </si>
  <si>
    <t>US0071 2024</t>
  </si>
  <si>
    <t>US0077 2024</t>
  </si>
  <si>
    <t>US0030 2024</t>
  </si>
  <si>
    <t>US0022 2024</t>
  </si>
  <si>
    <t>GT0029 2024</t>
  </si>
  <si>
    <t>GT0030 2024</t>
  </si>
  <si>
    <t>GT0033 2024</t>
  </si>
  <si>
    <t>GT0036 2024</t>
  </si>
  <si>
    <t>GT0044 2024</t>
  </si>
  <si>
    <t>GT0045 2024</t>
  </si>
  <si>
    <t>MX0022 2024</t>
  </si>
  <si>
    <t>US0006 2024</t>
  </si>
  <si>
    <t>0 8/12</t>
  </si>
  <si>
    <t>US0116 2021</t>
  </si>
  <si>
    <t>-1 2/12</t>
  </si>
  <si>
    <t>US0141 2022</t>
  </si>
  <si>
    <t>pct_replaced</t>
  </si>
  <si>
    <t>replace_16</t>
  </si>
  <si>
    <t>replace_17</t>
  </si>
  <si>
    <t>replace_18</t>
  </si>
  <si>
    <t>replace_19</t>
  </si>
  <si>
    <t>replace_20</t>
  </si>
  <si>
    <t>replace_21</t>
  </si>
  <si>
    <t>replace_22</t>
  </si>
  <si>
    <t>replace_23</t>
  </si>
  <si>
    <t>replace_24</t>
  </si>
  <si>
    <t>replace_25</t>
  </si>
  <si>
    <t>total_replacements</t>
  </si>
  <si>
    <t>Subtotal:</t>
  </si>
  <si>
    <t>survival_value</t>
  </si>
  <si>
    <t>source_label</t>
  </si>
  <si>
    <t>source_year</t>
  </si>
  <si>
    <t>created_at</t>
  </si>
  <si>
    <t>notes</t>
  </si>
  <si>
    <t>trees_value</t>
  </si>
  <si>
    <t>LUKA_2024</t>
  </si>
  <si>
    <t>Full Luka survival + absolute trees</t>
  </si>
  <si>
    <t>helper field (erase it from here)</t>
  </si>
  <si>
    <t>gescina101_contract</t>
  </si>
  <si>
    <t>true</t>
  </si>
  <si>
    <t>false</t>
  </si>
  <si>
    <t>f(x) allocation</t>
  </si>
  <si>
    <t>f(x) new_contract</t>
  </si>
  <si>
    <t>f(x) contract_activation</t>
  </si>
  <si>
    <t>group</t>
  </si>
  <si>
    <t>function</t>
  </si>
  <si>
    <t>ruleset</t>
  </si>
  <si>
    <t>f(x1)</t>
  </si>
  <si>
    <t>f(x2)</t>
  </si>
  <si>
    <t>function_id</t>
  </si>
  <si>
    <t>new_contract</t>
  </si>
  <si>
    <t>contract_activation</t>
  </si>
  <si>
    <t>f(x3)</t>
  </si>
  <si>
    <t>changelog_input</t>
  </si>
  <si>
    <t>f(x1a)</t>
  </si>
  <si>
    <t>f(x1b)</t>
  </si>
  <si>
    <t>assign_contract_code</t>
  </si>
  <si>
    <t>main</t>
  </si>
  <si>
    <t>dependent</t>
  </si>
  <si>
    <t>type</t>
  </si>
  <si>
    <t>f(x1c)</t>
  </si>
  <si>
    <t>build_land_location_pro</t>
  </si>
  <si>
    <t>user input required</t>
  </si>
  <si>
    <t>system-assygned fields (contract_code + farmer_number)</t>
  </si>
  <si>
    <t>system-calculated fields (derived fields)</t>
  </si>
  <si>
    <t>system-validated process</t>
  </si>
  <si>
    <t>pending logic</t>
  </si>
  <si>
    <t>Contract Allocation</t>
  </si>
  <si>
    <t>Changelog</t>
  </si>
  <si>
    <t>f(x5)</t>
  </si>
  <si>
    <t>assign_harvest_year</t>
  </si>
  <si>
    <t>f(x4)</t>
  </si>
  <si>
    <t>assign_etp_year</t>
  </si>
  <si>
    <t>IF planting_obligation IS NOT NULL THEN lookup etp_year FROM planting_obligation_table WHERE region = contract.region AND planting_obligation = contract.planting_obligation; RETURN etp_year; ELSE RETURN NULL OR ERROR.</t>
  </si>
  <si>
    <t>assign_farmer_number</t>
  </si>
  <si>
    <t>FUNCTION evaluate_contract_activation(contract): IF status='Active' THEN IF planted NOT NULL AND planting_date NOT NULL THEN RETURN 'VALID_ACTIVE' ELSE RETURN 'ERROR_ACTIVE_MISSING_FIELDS' END IF; ELSE IF status STARTS WITH 'Pending' THEN IF planted IS NULL AND planting_date IS NULL THEN RETURN 'VALID_PENDING' ELSE RETURN 'ERROR_PENDING_FIELDS_FILLED' END IF; ELSE IF status='Rescinded' THEN IF planted IS NULL AND planting_date IS NULL THEN RETURN 'VALID_RESCINDED' ELSE RETURN 'ERROR_RESCINDED_INCONSISTENT' END IF; ELSE IF planted IS NULL AND planting_date IS NULL THEN RETURN 'VALID_OTHER' ELSE RETURN 'WARNING_OTHER_UNEXPECTED_DATA' END IF.</t>
  </si>
  <si>
    <t>target_table</t>
  </si>
  <si>
    <t>cti</t>
  </si>
  <si>
    <t>IF required input fields exist (region, land_location, planting_year, trees_contract, species, status) THEN IF farmer_number is provided in Excel THEN use that farmer_number ELSE call assign_farmer_number(region) END IF; call assign_contract_code(region); call build_land_location_pro(land_location); INSERT or update FPI using farmer_number; INSERT CTI with contract_code, farmer_number and all contract inputs; sync Contract Allocation; log new contract in ChangeLog; ELSE skip row END IF.</t>
  </si>
  <si>
    <t>FUNCTION assign_farmer_number(region, farmer_number_input): IF farmer_number_input IS PROVIDED THEN RETURN farmer_number_input ELSE IF region='US' THEN numeric_prefix=10; IF region='CR' THEN numeric_prefix=20; IF region='GT' THEN numeric_prefix=30; IF region='MX' THEN numeric_prefix=40; fetch max farmer_number in range; IF none exists THEN serial=0 ELSE serial=rightmost_3_digits(max)+1 END IF; RETURN numeric_prefix*1000 + serial END IF.</t>
  </si>
  <si>
    <t>FUNCTION assign_contract_code(region): IF region='US' THEN prefix='US'; IF region='CR' THEN prefix='CR'; IF region='GT' THEN prefix='GT'; IF region='MX' THEN prefix='MX'; fetch max existing contract_code LIKE prefix + '%'; IF none exists THEN serial=1 ELSE serial=rightmost_4_digits(max)+1 END IF; RETURN prefix &amp; TEXT(serial,'0000').</t>
  </si>
  <si>
    <t>FUNCTION build_land_location_pro(land_location): IF land_location contains 'lat, lon' THEN parse (lat, lon); RETURN 'POINT(' &amp; lon &amp; ' ' &amp; lat &amp; ')'; ELSE RETURN NULL OR ERROR.</t>
  </si>
  <si>
    <t>cti/fpi</t>
  </si>
  <si>
    <t>FUNCTION changelog_input(row): IF row.status != 'Ready' THEN RETURN SKIPPED; resolve target_table; IF target_table='fpi' AND reason_id=5 THEN propagate updates across all contracts sharing farmer_number ELSE update only this CTI record END IF; IF CTI fields affecting allocation were modified THEN sync_contract_allocation; mark row as DONE.</t>
  </si>
  <si>
    <t>IF status DOES NOT START WITH 'Pending' AND planted IS NOT NULL AND planting_date IS NOT NULL THEN harvest_year = planting_year + 10; RETURN harvest_year; ELSE RETURN NULL.</t>
  </si>
  <si>
    <t>upsert_farmer_record</t>
  </si>
  <si>
    <t>fpi</t>
  </si>
  <si>
    <t>IF farmer_number exists in FPI THEN UPDATE representative, phone, email, address, shipping_address ELSE INSERT new record END IF.</t>
  </si>
  <si>
    <t>derive_contract_name</t>
  </si>
  <si>
    <t>contract_name = representative.</t>
  </si>
  <si>
    <t>f(x6)</t>
  </si>
  <si>
    <t>f(x7)</t>
  </si>
  <si>
    <t>archive fields, deprecated with new logic</t>
  </si>
  <si>
    <t>user input required + system validation field</t>
  </si>
  <si>
    <t>f(x8)</t>
  </si>
  <si>
    <t>split_allocation_trees</t>
  </si>
  <si>
    <t>ca</t>
  </si>
  <si>
    <t>CREATE OR REPLACE FUNCTION masterdatabase.split_allocation_trees()
RETURNS TABLE (
    contract_code TEXT,
    etp_year INT,
    etp_type TEXT,
    planted_cop NUMERIC,
    planted_etp NUMERIC
)
LANGUAGE plpgsql
AS $$
BEGIN
    RETURN QUERY
    SELECT
        cti.contract_code,
        cti.etp_year,
        CASE
            WHEN cti.etp_year = 2017 THEN 'COP_ONLY'
            WHEN cti.etp_year IN (2016, 2018) THEN 'COP_ETP'
            ELSE 'UNKNOWN'
        END AS etp_type,
        CASE
            WHEN cti.etp_year = 2017 THEN cti.planted
            WHEN cti.etp_year IN (2016, 2018)
                 AND cti.trees_contract &gt; 0
            THEN cti.planted * (ca.contracted_cop / cti.trees_contract)
            ELSE NULL
        END AS planted_cop,
        CASE
            WHEN cti.etp_year IN (2016, 2018)
                 AND cti.trees_contract &gt; 0
            THEN cti.planted * (ca.contracted_etp / cti.trees_contract)
            ELSE NULL
        END AS planted_etp
    FROM masterdatabase.contract_tree_information cti
    INNER JOIN masterdatabase.contract_allocation ca
        ON cti.contract_code = ca.contract_code;
END;
$$;</t>
  </si>
  <si>
    <t>species_strain</t>
  </si>
  <si>
    <t>replaced_count</t>
  </si>
  <si>
    <t>year</t>
  </si>
  <si>
    <t>Total general</t>
  </si>
  <si>
    <t>contract_Code</t>
  </si>
  <si>
    <t>Total of Replacement Orders</t>
  </si>
  <si>
    <t>Total Trees Replaced</t>
  </si>
  <si>
    <t>Contract Replaced (%)</t>
  </si>
  <si>
    <t>2018, 2019</t>
  </si>
  <si>
    <t>2019, 2020</t>
  </si>
  <si>
    <t>2020, 2022</t>
  </si>
  <si>
    <t>2021, 2022</t>
  </si>
  <si>
    <t>2020, 2021, 2022</t>
  </si>
  <si>
    <t>2020, 2021</t>
  </si>
  <si>
    <t>2016, 2017</t>
  </si>
  <si>
    <t>2017, 2018</t>
  </si>
  <si>
    <t>2017, 2021</t>
  </si>
  <si>
    <t>2019, 2021</t>
  </si>
  <si>
    <t>2018, 2019, 2021</t>
  </si>
  <si>
    <t>2019, 2022</t>
  </si>
  <si>
    <t>2019, 2020, 2021</t>
  </si>
  <si>
    <t>2016, 2017, 2018, 2019, 2020, 2021, 2022</t>
  </si>
  <si>
    <t>Years of replacements</t>
  </si>
  <si>
    <t>user validation + system-calculated fields (hybrid)</t>
  </si>
  <si>
    <t>years_replaced</t>
  </si>
  <si>
    <t>total_replacements_orders</t>
  </si>
  <si>
    <t>total_trees_replaced</t>
  </si>
  <si>
    <t>contract_replacement_pct</t>
  </si>
  <si>
    <t>Replacements</t>
  </si>
  <si>
    <t>f(x9)</t>
  </si>
  <si>
    <t>total of inventories</t>
  </si>
  <si>
    <t>aggregate_years_replaced</t>
  </si>
  <si>
    <t>count_replacement_orders</t>
  </si>
  <si>
    <t>sum_replaced_trees</t>
  </si>
  <si>
    <t>compute_contract_replacement_pct</t>
  </si>
  <si>
    <t>f(x10)</t>
  </si>
  <si>
    <t>f(x11)</t>
  </si>
  <si>
    <t>f(x12)</t>
  </si>
  <si>
    <t>crc</t>
  </si>
  <si>
    <t>IF contract_code exists in contract_replacements_ts
THEN collect DISTINCT year values for that contract_code,
ORDER BY year ASC,
RETURN years_replaced as comma-separated list.
ELSE RETURN NULL.</t>
  </si>
  <si>
    <t>IF contract_code exists in contract_replacements_ts
THEN total_trees_replaced = SUM(replaced_count)
RETURN total_trees_replaced.
ELSE RETURN 0.</t>
  </si>
  <si>
    <t>IF contract_code exists in contract_replacements_ts
THEN contract_replacement_pct = SUM(pct_replaced)
RETURN contract_replacement_pct.
ELSE RETURN 0.</t>
  </si>
  <si>
    <t>IF contract_code exists in contract_replacements_ts
THEN total_replacements_orders = COUNT(DISTINCT year)
RETURN total_replacements_orders.
ELSE RETURN 0</t>
  </si>
  <si>
    <t>Inventory 1 Year</t>
  </si>
  <si>
    <t>Contract Code</t>
  </si>
  <si>
    <t>Survival 1</t>
  </si>
  <si>
    <t>DBH Mean 1</t>
  </si>
  <si>
    <t>Merch HT Mean 1</t>
  </si>
  <si>
    <t>Doyle BF 1</t>
  </si>
  <si>
    <t>Inventory 2 Year</t>
  </si>
  <si>
    <t>DBH Mean 2</t>
  </si>
  <si>
    <t>Merch HT Mean 2</t>
  </si>
  <si>
    <t>Doyle BF 2</t>
  </si>
  <si>
    <t>Survival 2</t>
  </si>
  <si>
    <t>Inventory 3 Year</t>
  </si>
  <si>
    <t>Survival 3</t>
  </si>
  <si>
    <t>DBH Mean 3</t>
  </si>
  <si>
    <t>Merch HT Mean 3</t>
  </si>
  <si>
    <t>Doyle BF 3</t>
  </si>
  <si>
    <t>Pending 2028</t>
  </si>
  <si>
    <t>Pending 2029</t>
  </si>
  <si>
    <t>Pending 2030</t>
  </si>
  <si>
    <t>Pending 2031</t>
  </si>
  <si>
    <t>Pending 2027</t>
  </si>
  <si>
    <t>Pending 2032</t>
  </si>
  <si>
    <t>Pending 2033</t>
  </si>
  <si>
    <t>Pending 2035</t>
  </si>
  <si>
    <t>Pending 2034</t>
  </si>
  <si>
    <t>Pending 2026</t>
  </si>
  <si>
    <t>Pending 2036</t>
  </si>
  <si>
    <t>MX0123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</si>
</sst>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2" fillId="2" borderId="2" xfId="0" applyFont="1" applyFill="1" applyBorder="1" applyAlignment="1">
      <alignment horizontal="center" vertical="top"/>
    </xf>
    <xf numFmtId="0" fontId="3" fillId="7" borderId="3" xfId="0" applyFont="1" applyFill="1" applyBorder="1"/>
    <xf numFmtId="0" fontId="0" fillId="9" borderId="0" xfId="0" applyFill="1"/>
    <xf numFmtId="0" fontId="2" fillId="0" borderId="2" xfId="0" applyFont="1" applyBorder="1" applyAlignment="1">
      <alignment horizontal="center" vertical="top"/>
    </xf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3" fillId="7" borderId="0" xfId="0" applyFont="1" applyFill="1"/>
    <xf numFmtId="0" fontId="0" fillId="10" borderId="0" xfId="0" applyFill="1"/>
    <xf numFmtId="0" fontId="2" fillId="10" borderId="2" xfId="0" applyFont="1" applyFill="1" applyBorder="1" applyAlignment="1">
      <alignment horizontal="center" vertical="top"/>
    </xf>
    <xf numFmtId="166" fontId="0" fillId="6" borderId="0" xfId="1" applyNumberFormat="1" applyFont="1" applyFill="1"/>
  </cellXfs>
  <cellStyles count="2">
    <cellStyle name="Normal" xfId="0" builtinId="0"/>
    <cellStyle name="Porcentaje" xfId="1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</dxf>
    <dxf>
      <numFmt numFmtId="166" formatCode="0.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0.0%"/>
      <fill>
        <patternFill patternType="solid">
          <fgColor indexed="64"/>
          <bgColor rgb="FFFFC000"/>
        </patternFill>
      </fill>
    </dxf>
    <dxf>
      <font>
        <b/>
        <color theme="0"/>
      </font>
      <fill>
        <patternFill patternType="solid">
          <fgColor indexed="64"/>
          <bgColor theme="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fill>
        <patternFill>
          <fgColor indexed="64"/>
          <bgColor theme="2" tint="-0.499984740745262"/>
        </patternFill>
      </fill>
    </dxf>
    <dxf>
      <fill>
        <patternFill>
          <fgColor indexed="64"/>
          <bgColor theme="2" tint="-0.499984740745262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Ricardo López Moyao" refreshedDate="46003.701475000002" backgroundQuery="1" createdVersion="8" refreshedVersion="8" minRefreshableVersion="3" recordCount="0" supportSubquery="1" supportAdvancedDrill="1" xr:uid="{3D4EDB3F-9106-4492-860F-3B50362CA974}">
  <cacheSource type="external" connectionId="1"/>
  <cacheFields count="5">
    <cacheField name="[Tabla7].[contract_code].[contract_code]" caption="contract_code" numFmtId="0" level="1">
      <sharedItems count="261">
        <s v="CR0007"/>
        <s v="CR0013"/>
        <s v="CR0023"/>
        <s v="CR0028"/>
        <s v="CR0029"/>
        <s v="CR0030"/>
        <s v="CR0032"/>
        <s v="CR0033"/>
        <s v="CR0035"/>
        <s v="CR0037"/>
        <s v="CR0039"/>
        <s v="CR0041"/>
        <s v="CR0042"/>
        <s v="CR0043"/>
        <s v="CR0044"/>
        <s v="CR0045"/>
        <s v="CR0046"/>
        <s v="CR0047"/>
        <s v="CR0048"/>
        <s v="CR0049"/>
        <s v="CR0050"/>
        <s v="CR0051"/>
        <s v="CR0052"/>
        <s v="CR0053"/>
        <s v="CR0056"/>
        <s v="CR0057"/>
        <s v="CR0058"/>
        <s v="CR0060"/>
        <s v="CR0061"/>
        <s v="CR0062"/>
        <s v="CR0063"/>
        <s v="CR0065"/>
        <s v="CR0066"/>
        <s v="CR0068"/>
        <s v="CR0069"/>
        <s v="CR0070"/>
        <s v="CR0072"/>
        <s v="CR0074"/>
        <s v="CR0075"/>
        <s v="CR0076"/>
        <s v="CR0077"/>
        <s v="CR0078"/>
        <s v="CR0081"/>
        <s v="CR0082"/>
        <s v="CR0084"/>
        <s v="CR0086"/>
        <s v="CR0087"/>
        <s v="CR0088"/>
        <s v="CR0089"/>
        <s v="CR0092"/>
        <s v="CR0097"/>
        <s v="CR0100"/>
        <s v="CR0101"/>
        <s v="CR0102"/>
        <s v="CR0103"/>
        <s v="CR0104"/>
        <s v="GT0001"/>
        <s v="GT0007"/>
        <s v="GT0009"/>
        <s v="GT0012"/>
        <s v="GT0013"/>
        <s v="GT0014"/>
        <s v="GT0016"/>
        <s v="GT0017"/>
        <s v="GT0018"/>
        <s v="GT0021"/>
        <s v="GT0023"/>
        <s v="GT0024a"/>
        <s v="GT0025"/>
        <s v="GT0027"/>
        <s v="GT0028"/>
        <s v="GT0029"/>
        <s v="GT0030"/>
        <s v="GT0031a"/>
        <s v="GT0032"/>
        <s v="GT0033"/>
        <s v="GT0034"/>
        <s v="GT0035"/>
        <s v="GT0036"/>
        <s v="GT0037"/>
        <s v="GT0038"/>
        <s v="GT0041"/>
        <s v="GT0043"/>
        <s v="MX0004"/>
        <s v="MX0009"/>
        <s v="MX0012"/>
        <s v="MX0014"/>
        <s v="MX0019"/>
        <s v="MX0021"/>
        <s v="MX0022"/>
        <s v="MX0023"/>
        <s v="MX0026"/>
        <s v="MX0027"/>
        <s v="MX0028"/>
        <s v="MX0030"/>
        <s v="MX0031"/>
        <s v="MX0032"/>
        <s v="MX0033"/>
        <s v="MX0034"/>
        <s v="MX0035"/>
        <s v="MX0036"/>
        <s v="MX0038"/>
        <s v="MX0040"/>
        <s v="MX0044"/>
        <s v="MX0046"/>
        <s v="MX0051"/>
        <s v="MX0052"/>
        <s v="MX0053"/>
        <s v="MX0054"/>
        <s v="MX0055"/>
        <s v="MX0056"/>
        <s v="MX0057"/>
        <s v="MX0058"/>
        <s v="MX0059"/>
        <s v="MX0061"/>
        <s v="MX0063"/>
        <s v="MX0067"/>
        <s v="MX0068"/>
        <s v="MX0070"/>
        <s v="MX0072"/>
        <s v="MX0073"/>
        <s v="MX0074"/>
        <s v="MX0076"/>
        <s v="MX0078"/>
        <s v="MX0086"/>
        <s v="MX0091"/>
        <s v="MX0095"/>
        <s v="US0001"/>
        <s v="US0003"/>
        <s v="US0004"/>
        <s v="US0005"/>
        <s v="US0006"/>
        <s v="US0007"/>
        <s v="US0008"/>
        <s v="US0009"/>
        <s v="US0010"/>
        <s v="US0011"/>
        <s v="US0014"/>
        <s v="US0016"/>
        <s v="US0017"/>
        <s v="US0018"/>
        <s v="US0022"/>
        <s v="US0023"/>
        <s v="US0025"/>
        <s v="US0027"/>
        <s v="US0029"/>
        <s v="US0030"/>
        <s v="US0031"/>
        <s v="US0033"/>
        <s v="US0034"/>
        <s v="US0035"/>
        <s v="US0037"/>
        <s v="US0038"/>
        <s v="US0039"/>
        <s v="US0041"/>
        <s v="US0043"/>
        <s v="US0044"/>
        <s v="US0045"/>
        <s v="US0046"/>
        <s v="US0047"/>
        <s v="US0048"/>
        <s v="US0049"/>
        <s v="US0050"/>
        <s v="US0051"/>
        <s v="US0052"/>
        <s v="US0053"/>
        <s v="US0054"/>
        <s v="US0055"/>
        <s v="US0056"/>
        <s v="US0057"/>
        <s v="US0058"/>
        <s v="US0059"/>
        <s v="US0060"/>
        <s v="US0061"/>
        <s v="US0062"/>
        <s v="US0063"/>
        <s v="US0064"/>
        <s v="US0065"/>
        <s v="US0066"/>
        <s v="US0067"/>
        <s v="US0068"/>
        <s v="US0069"/>
        <s v="US0070"/>
        <s v="US0071"/>
        <s v="US0072"/>
        <s v="US0073"/>
        <s v="US0074"/>
        <s v="US0075"/>
        <s v="US0076"/>
        <s v="US0077"/>
        <s v="US0078"/>
        <s v="US0079"/>
        <s v="US0080"/>
        <s v="US0081"/>
        <s v="US0082"/>
        <s v="US0083"/>
        <s v="US0084"/>
        <s v="US0085"/>
        <s v="US0086"/>
        <s v="US0087"/>
        <s v="US0088"/>
        <s v="US0089"/>
        <s v="US0090"/>
        <s v="US0091"/>
        <s v="US0092"/>
        <s v="US0094"/>
        <s v="US0095"/>
        <s v="US0096"/>
        <s v="US0097"/>
        <s v="US0098"/>
        <s v="US0099"/>
        <s v="US0100"/>
        <s v="US0101"/>
        <s v="US0102"/>
        <s v="US0103"/>
        <s v="US0104"/>
        <s v="US0105"/>
        <s v="US0106"/>
        <s v="US0107"/>
        <s v="US0108"/>
        <s v="US0109"/>
        <s v="US0110"/>
        <s v="US0111"/>
        <s v="US0112"/>
        <s v="US0113"/>
        <s v="US0114"/>
        <s v="US0115"/>
        <s v="US0116"/>
        <s v="US0117"/>
        <s v="US0118"/>
        <s v="US0119"/>
        <s v="US0120"/>
        <s v="US0121"/>
        <s v="US0123"/>
        <s v="US0124"/>
        <s v="US0126"/>
        <s v="US0127"/>
        <s v="US0128"/>
        <s v="US0130"/>
        <s v="US0131"/>
        <s v="US0132"/>
        <s v="US0133"/>
        <s v="US0135"/>
        <s v="US0136"/>
        <s v="US0138"/>
        <s v="US0139"/>
        <s v="US0140"/>
        <s v="US0143"/>
        <s v="US0144"/>
        <s v="US0145"/>
        <s v="US0146"/>
        <s v="US0147"/>
        <s v="US0148"/>
        <s v="US0150"/>
        <s v="US0151"/>
        <s v="US0153"/>
        <s v="US0154"/>
        <s v="US0157"/>
        <s v="US0159"/>
        <s v="US0164"/>
        <s v="US0165"/>
      </sharedItems>
      <extLst>
        <ext xmlns:x15="http://schemas.microsoft.com/office/spreadsheetml/2010/11/main" uri="{4F2E5C28-24EA-4eb8-9CBF-B6C8F9C3D259}">
          <x15:cachedUniqueNames>
            <x15:cachedUniqueName index="0" name="[Tabla7].[contract_code].&amp;[CR0007]"/>
            <x15:cachedUniqueName index="1" name="[Tabla7].[contract_code].&amp;[CR0013]"/>
            <x15:cachedUniqueName index="2" name="[Tabla7].[contract_code].&amp;[CR0023]"/>
            <x15:cachedUniqueName index="3" name="[Tabla7].[contract_code].&amp;[CR0028]"/>
            <x15:cachedUniqueName index="4" name="[Tabla7].[contract_code].&amp;[CR0029]"/>
            <x15:cachedUniqueName index="5" name="[Tabla7].[contract_code].&amp;[CR0030]"/>
            <x15:cachedUniqueName index="6" name="[Tabla7].[contract_code].&amp;[CR0032]"/>
            <x15:cachedUniqueName index="7" name="[Tabla7].[contract_code].&amp;[CR0033]"/>
            <x15:cachedUniqueName index="8" name="[Tabla7].[contract_code].&amp;[CR0035]"/>
            <x15:cachedUniqueName index="9" name="[Tabla7].[contract_code].&amp;[CR0037]"/>
            <x15:cachedUniqueName index="10" name="[Tabla7].[contract_code].&amp;[CR0039]"/>
            <x15:cachedUniqueName index="11" name="[Tabla7].[contract_code].&amp;[CR0041]"/>
            <x15:cachedUniqueName index="12" name="[Tabla7].[contract_code].&amp;[CR0042]"/>
            <x15:cachedUniqueName index="13" name="[Tabla7].[contract_code].&amp;[CR0043]"/>
            <x15:cachedUniqueName index="14" name="[Tabla7].[contract_code].&amp;[CR0044]"/>
            <x15:cachedUniqueName index="15" name="[Tabla7].[contract_code].&amp;[CR0045]"/>
            <x15:cachedUniqueName index="16" name="[Tabla7].[contract_code].&amp;[CR0046]"/>
            <x15:cachedUniqueName index="17" name="[Tabla7].[contract_code].&amp;[CR0047]"/>
            <x15:cachedUniqueName index="18" name="[Tabla7].[contract_code].&amp;[CR0048]"/>
            <x15:cachedUniqueName index="19" name="[Tabla7].[contract_code].&amp;[CR0049]"/>
            <x15:cachedUniqueName index="20" name="[Tabla7].[contract_code].&amp;[CR0050]"/>
            <x15:cachedUniqueName index="21" name="[Tabla7].[contract_code].&amp;[CR0051]"/>
            <x15:cachedUniqueName index="22" name="[Tabla7].[contract_code].&amp;[CR0052]"/>
            <x15:cachedUniqueName index="23" name="[Tabla7].[contract_code].&amp;[CR0053]"/>
            <x15:cachedUniqueName index="24" name="[Tabla7].[contract_code].&amp;[CR0056]"/>
            <x15:cachedUniqueName index="25" name="[Tabla7].[contract_code].&amp;[CR0057]"/>
            <x15:cachedUniqueName index="26" name="[Tabla7].[contract_code].&amp;[CR0058]"/>
            <x15:cachedUniqueName index="27" name="[Tabla7].[contract_code].&amp;[CR0060]"/>
            <x15:cachedUniqueName index="28" name="[Tabla7].[contract_code].&amp;[CR0061]"/>
            <x15:cachedUniqueName index="29" name="[Tabla7].[contract_code].&amp;[CR0062]"/>
            <x15:cachedUniqueName index="30" name="[Tabla7].[contract_code].&amp;[CR0063]"/>
            <x15:cachedUniqueName index="31" name="[Tabla7].[contract_code].&amp;[CR0065]"/>
            <x15:cachedUniqueName index="32" name="[Tabla7].[contract_code].&amp;[CR0066]"/>
            <x15:cachedUniqueName index="33" name="[Tabla7].[contract_code].&amp;[CR0068]"/>
            <x15:cachedUniqueName index="34" name="[Tabla7].[contract_code].&amp;[CR0069]"/>
            <x15:cachedUniqueName index="35" name="[Tabla7].[contract_code].&amp;[CR0070]"/>
            <x15:cachedUniqueName index="36" name="[Tabla7].[contract_code].&amp;[CR0072]"/>
            <x15:cachedUniqueName index="37" name="[Tabla7].[contract_code].&amp;[CR0074]"/>
            <x15:cachedUniqueName index="38" name="[Tabla7].[contract_code].&amp;[CR0075]"/>
            <x15:cachedUniqueName index="39" name="[Tabla7].[contract_code].&amp;[CR0076]"/>
            <x15:cachedUniqueName index="40" name="[Tabla7].[contract_code].&amp;[CR0077]"/>
            <x15:cachedUniqueName index="41" name="[Tabla7].[contract_code].&amp;[CR0078]"/>
            <x15:cachedUniqueName index="42" name="[Tabla7].[contract_code].&amp;[CR0081]"/>
            <x15:cachedUniqueName index="43" name="[Tabla7].[contract_code].&amp;[CR0082]"/>
            <x15:cachedUniqueName index="44" name="[Tabla7].[contract_code].&amp;[CR0084]"/>
            <x15:cachedUniqueName index="45" name="[Tabla7].[contract_code].&amp;[CR0086]"/>
            <x15:cachedUniqueName index="46" name="[Tabla7].[contract_code].&amp;[CR0087]"/>
            <x15:cachedUniqueName index="47" name="[Tabla7].[contract_code].&amp;[CR0088]"/>
            <x15:cachedUniqueName index="48" name="[Tabla7].[contract_code].&amp;[CR0089]"/>
            <x15:cachedUniqueName index="49" name="[Tabla7].[contract_code].&amp;[CR0092]"/>
            <x15:cachedUniqueName index="50" name="[Tabla7].[contract_code].&amp;[CR0097]"/>
            <x15:cachedUniqueName index="51" name="[Tabla7].[contract_code].&amp;[CR0100]"/>
            <x15:cachedUniqueName index="52" name="[Tabla7].[contract_code].&amp;[CR0101]"/>
            <x15:cachedUniqueName index="53" name="[Tabla7].[contract_code].&amp;[CR0102]"/>
            <x15:cachedUniqueName index="54" name="[Tabla7].[contract_code].&amp;[CR0103]"/>
            <x15:cachedUniqueName index="55" name="[Tabla7].[contract_code].&amp;[CR0104]"/>
            <x15:cachedUniqueName index="56" name="[Tabla7].[contract_code].&amp;[GT0001]"/>
            <x15:cachedUniqueName index="57" name="[Tabla7].[contract_code].&amp;[GT0007]"/>
            <x15:cachedUniqueName index="58" name="[Tabla7].[contract_code].&amp;[GT0009]"/>
            <x15:cachedUniqueName index="59" name="[Tabla7].[contract_code].&amp;[GT0012]"/>
            <x15:cachedUniqueName index="60" name="[Tabla7].[contract_code].&amp;[GT0013]"/>
            <x15:cachedUniqueName index="61" name="[Tabla7].[contract_code].&amp;[GT0014]"/>
            <x15:cachedUniqueName index="62" name="[Tabla7].[contract_code].&amp;[GT0016]"/>
            <x15:cachedUniqueName index="63" name="[Tabla7].[contract_code].&amp;[GT0017]"/>
            <x15:cachedUniqueName index="64" name="[Tabla7].[contract_code].&amp;[GT0018]"/>
            <x15:cachedUniqueName index="65" name="[Tabla7].[contract_code].&amp;[GT0021]"/>
            <x15:cachedUniqueName index="66" name="[Tabla7].[contract_code].&amp;[GT0023]"/>
            <x15:cachedUniqueName index="67" name="[Tabla7].[contract_code].&amp;[GT0024a]"/>
            <x15:cachedUniqueName index="68" name="[Tabla7].[contract_code].&amp;[GT0025]"/>
            <x15:cachedUniqueName index="69" name="[Tabla7].[contract_code].&amp;[GT0027]"/>
            <x15:cachedUniqueName index="70" name="[Tabla7].[contract_code].&amp;[GT0028]"/>
            <x15:cachedUniqueName index="71" name="[Tabla7].[contract_code].&amp;[GT0029]"/>
            <x15:cachedUniqueName index="72" name="[Tabla7].[contract_code].&amp;[GT0030]"/>
            <x15:cachedUniqueName index="73" name="[Tabla7].[contract_code].&amp;[GT0031a]"/>
            <x15:cachedUniqueName index="74" name="[Tabla7].[contract_code].&amp;[GT0032]"/>
            <x15:cachedUniqueName index="75" name="[Tabla7].[contract_code].&amp;[GT0033]"/>
            <x15:cachedUniqueName index="76" name="[Tabla7].[contract_code].&amp;[GT0034]"/>
            <x15:cachedUniqueName index="77" name="[Tabla7].[contract_code].&amp;[GT0035]"/>
            <x15:cachedUniqueName index="78" name="[Tabla7].[contract_code].&amp;[GT0036]"/>
            <x15:cachedUniqueName index="79" name="[Tabla7].[contract_code].&amp;[GT0037]"/>
            <x15:cachedUniqueName index="80" name="[Tabla7].[contract_code].&amp;[GT0038]"/>
            <x15:cachedUniqueName index="81" name="[Tabla7].[contract_code].&amp;[GT0041]"/>
            <x15:cachedUniqueName index="82" name="[Tabla7].[contract_code].&amp;[GT0043]"/>
            <x15:cachedUniqueName index="83" name="[Tabla7].[contract_code].&amp;[MX0004]"/>
            <x15:cachedUniqueName index="84" name="[Tabla7].[contract_code].&amp;[MX0009]"/>
            <x15:cachedUniqueName index="85" name="[Tabla7].[contract_code].&amp;[MX0012]"/>
            <x15:cachedUniqueName index="86" name="[Tabla7].[contract_code].&amp;[MX0014]"/>
            <x15:cachedUniqueName index="87" name="[Tabla7].[contract_code].&amp;[MX0019]"/>
            <x15:cachedUniqueName index="88" name="[Tabla7].[contract_code].&amp;[MX0021]"/>
            <x15:cachedUniqueName index="89" name="[Tabla7].[contract_code].&amp;[MX0022]"/>
            <x15:cachedUniqueName index="90" name="[Tabla7].[contract_code].&amp;[MX0023]"/>
            <x15:cachedUniqueName index="91" name="[Tabla7].[contract_code].&amp;[MX0026]"/>
            <x15:cachedUniqueName index="92" name="[Tabla7].[contract_code].&amp;[MX0027]"/>
            <x15:cachedUniqueName index="93" name="[Tabla7].[contract_code].&amp;[MX0028]"/>
            <x15:cachedUniqueName index="94" name="[Tabla7].[contract_code].&amp;[MX0030]"/>
            <x15:cachedUniqueName index="95" name="[Tabla7].[contract_code].&amp;[MX0031]"/>
            <x15:cachedUniqueName index="96" name="[Tabla7].[contract_code].&amp;[MX0032]"/>
            <x15:cachedUniqueName index="97" name="[Tabla7].[contract_code].&amp;[MX0033]"/>
            <x15:cachedUniqueName index="98" name="[Tabla7].[contract_code].&amp;[MX0034]"/>
            <x15:cachedUniqueName index="99" name="[Tabla7].[contract_code].&amp;[MX0035]"/>
            <x15:cachedUniqueName index="100" name="[Tabla7].[contract_code].&amp;[MX0036]"/>
            <x15:cachedUniqueName index="101" name="[Tabla7].[contract_code].&amp;[MX0038]"/>
            <x15:cachedUniqueName index="102" name="[Tabla7].[contract_code].&amp;[MX0040]"/>
            <x15:cachedUniqueName index="103" name="[Tabla7].[contract_code].&amp;[MX0044]"/>
            <x15:cachedUniqueName index="104" name="[Tabla7].[contract_code].&amp;[MX0046]"/>
            <x15:cachedUniqueName index="105" name="[Tabla7].[contract_code].&amp;[MX0051]"/>
            <x15:cachedUniqueName index="106" name="[Tabla7].[contract_code].&amp;[MX0052]"/>
            <x15:cachedUniqueName index="107" name="[Tabla7].[contract_code].&amp;[MX0053]"/>
            <x15:cachedUniqueName index="108" name="[Tabla7].[contract_code].&amp;[MX0054]"/>
            <x15:cachedUniqueName index="109" name="[Tabla7].[contract_code].&amp;[MX0055]"/>
            <x15:cachedUniqueName index="110" name="[Tabla7].[contract_code].&amp;[MX0056]"/>
            <x15:cachedUniqueName index="111" name="[Tabla7].[contract_code].&amp;[MX0057]"/>
            <x15:cachedUniqueName index="112" name="[Tabla7].[contract_code].&amp;[MX0058]"/>
            <x15:cachedUniqueName index="113" name="[Tabla7].[contract_code].&amp;[MX0059]"/>
            <x15:cachedUniqueName index="114" name="[Tabla7].[contract_code].&amp;[MX0061]"/>
            <x15:cachedUniqueName index="115" name="[Tabla7].[contract_code].&amp;[MX0063]"/>
            <x15:cachedUniqueName index="116" name="[Tabla7].[contract_code].&amp;[MX0067]"/>
            <x15:cachedUniqueName index="117" name="[Tabla7].[contract_code].&amp;[MX0068]"/>
            <x15:cachedUniqueName index="118" name="[Tabla7].[contract_code].&amp;[MX0070]"/>
            <x15:cachedUniqueName index="119" name="[Tabla7].[contract_code].&amp;[MX0072]"/>
            <x15:cachedUniqueName index="120" name="[Tabla7].[contract_code].&amp;[MX0073]"/>
            <x15:cachedUniqueName index="121" name="[Tabla7].[contract_code].&amp;[MX0074]"/>
            <x15:cachedUniqueName index="122" name="[Tabla7].[contract_code].&amp;[MX0076]"/>
            <x15:cachedUniqueName index="123" name="[Tabla7].[contract_code].&amp;[MX0078]"/>
            <x15:cachedUniqueName index="124" name="[Tabla7].[contract_code].&amp;[MX0086]"/>
            <x15:cachedUniqueName index="125" name="[Tabla7].[contract_code].&amp;[MX0091]"/>
            <x15:cachedUniqueName index="126" name="[Tabla7].[contract_code].&amp;[MX0095]"/>
            <x15:cachedUniqueName index="127" name="[Tabla7].[contract_code].&amp;[US0001]"/>
            <x15:cachedUniqueName index="128" name="[Tabla7].[contract_code].&amp;[US0003]"/>
            <x15:cachedUniqueName index="129" name="[Tabla7].[contract_code].&amp;[US0004]"/>
            <x15:cachedUniqueName index="130" name="[Tabla7].[contract_code].&amp;[US0005]"/>
            <x15:cachedUniqueName index="131" name="[Tabla7].[contract_code].&amp;[US0006]"/>
            <x15:cachedUniqueName index="132" name="[Tabla7].[contract_code].&amp;[US0007]"/>
            <x15:cachedUniqueName index="133" name="[Tabla7].[contract_code].&amp;[US0008]"/>
            <x15:cachedUniqueName index="134" name="[Tabla7].[contract_code].&amp;[US0009]"/>
            <x15:cachedUniqueName index="135" name="[Tabla7].[contract_code].&amp;[US0010]"/>
            <x15:cachedUniqueName index="136" name="[Tabla7].[contract_code].&amp;[US0011]"/>
            <x15:cachedUniqueName index="137" name="[Tabla7].[contract_code].&amp;[US0014]"/>
            <x15:cachedUniqueName index="138" name="[Tabla7].[contract_code].&amp;[US0016]"/>
            <x15:cachedUniqueName index="139" name="[Tabla7].[contract_code].&amp;[US0017]"/>
            <x15:cachedUniqueName index="140" name="[Tabla7].[contract_code].&amp;[US0018]"/>
            <x15:cachedUniqueName index="141" name="[Tabla7].[contract_code].&amp;[US0022]"/>
            <x15:cachedUniqueName index="142" name="[Tabla7].[contract_code].&amp;[US0023]"/>
            <x15:cachedUniqueName index="143" name="[Tabla7].[contract_code].&amp;[US0025]"/>
            <x15:cachedUniqueName index="144" name="[Tabla7].[contract_code].&amp;[US0027]"/>
            <x15:cachedUniqueName index="145" name="[Tabla7].[contract_code].&amp;[US0029]"/>
            <x15:cachedUniqueName index="146" name="[Tabla7].[contract_code].&amp;[US0030]"/>
            <x15:cachedUniqueName index="147" name="[Tabla7].[contract_code].&amp;[US0031]"/>
            <x15:cachedUniqueName index="148" name="[Tabla7].[contract_code].&amp;[US0033]"/>
            <x15:cachedUniqueName index="149" name="[Tabla7].[contract_code].&amp;[US0034]"/>
            <x15:cachedUniqueName index="150" name="[Tabla7].[contract_code].&amp;[US0035]"/>
            <x15:cachedUniqueName index="151" name="[Tabla7].[contract_code].&amp;[US0037]"/>
            <x15:cachedUniqueName index="152" name="[Tabla7].[contract_code].&amp;[US0038]"/>
            <x15:cachedUniqueName index="153" name="[Tabla7].[contract_code].&amp;[US0039]"/>
            <x15:cachedUniqueName index="154" name="[Tabla7].[contract_code].&amp;[US0041]"/>
            <x15:cachedUniqueName index="155" name="[Tabla7].[contract_code].&amp;[US0043]"/>
            <x15:cachedUniqueName index="156" name="[Tabla7].[contract_code].&amp;[US0044]"/>
            <x15:cachedUniqueName index="157" name="[Tabla7].[contract_code].&amp;[US0045]"/>
            <x15:cachedUniqueName index="158" name="[Tabla7].[contract_code].&amp;[US0046]"/>
            <x15:cachedUniqueName index="159" name="[Tabla7].[contract_code].&amp;[US0047]"/>
            <x15:cachedUniqueName index="160" name="[Tabla7].[contract_code].&amp;[US0048]"/>
            <x15:cachedUniqueName index="161" name="[Tabla7].[contract_code].&amp;[US0049]"/>
            <x15:cachedUniqueName index="162" name="[Tabla7].[contract_code].&amp;[US0050]"/>
            <x15:cachedUniqueName index="163" name="[Tabla7].[contract_code].&amp;[US0051]"/>
            <x15:cachedUniqueName index="164" name="[Tabla7].[contract_code].&amp;[US0052]"/>
            <x15:cachedUniqueName index="165" name="[Tabla7].[contract_code].&amp;[US0053]"/>
            <x15:cachedUniqueName index="166" name="[Tabla7].[contract_code].&amp;[US0054]"/>
            <x15:cachedUniqueName index="167" name="[Tabla7].[contract_code].&amp;[US0055]"/>
            <x15:cachedUniqueName index="168" name="[Tabla7].[contract_code].&amp;[US0056]"/>
            <x15:cachedUniqueName index="169" name="[Tabla7].[contract_code].&amp;[US0057]"/>
            <x15:cachedUniqueName index="170" name="[Tabla7].[contract_code].&amp;[US0058]"/>
            <x15:cachedUniqueName index="171" name="[Tabla7].[contract_code].&amp;[US0059]"/>
            <x15:cachedUniqueName index="172" name="[Tabla7].[contract_code].&amp;[US0060]"/>
            <x15:cachedUniqueName index="173" name="[Tabla7].[contract_code].&amp;[US0061]"/>
            <x15:cachedUniqueName index="174" name="[Tabla7].[contract_code].&amp;[US0062]"/>
            <x15:cachedUniqueName index="175" name="[Tabla7].[contract_code].&amp;[US0063]"/>
            <x15:cachedUniqueName index="176" name="[Tabla7].[contract_code].&amp;[US0064]"/>
            <x15:cachedUniqueName index="177" name="[Tabla7].[contract_code].&amp;[US0065]"/>
            <x15:cachedUniqueName index="178" name="[Tabla7].[contract_code].&amp;[US0066]"/>
            <x15:cachedUniqueName index="179" name="[Tabla7].[contract_code].&amp;[US0067]"/>
            <x15:cachedUniqueName index="180" name="[Tabla7].[contract_code].&amp;[US0068]"/>
            <x15:cachedUniqueName index="181" name="[Tabla7].[contract_code].&amp;[US0069]"/>
            <x15:cachedUniqueName index="182" name="[Tabla7].[contract_code].&amp;[US0070]"/>
            <x15:cachedUniqueName index="183" name="[Tabla7].[contract_code].&amp;[US0071]"/>
            <x15:cachedUniqueName index="184" name="[Tabla7].[contract_code].&amp;[US0072]"/>
            <x15:cachedUniqueName index="185" name="[Tabla7].[contract_code].&amp;[US0073]"/>
            <x15:cachedUniqueName index="186" name="[Tabla7].[contract_code].&amp;[US0074]"/>
            <x15:cachedUniqueName index="187" name="[Tabla7].[contract_code].&amp;[US0075]"/>
            <x15:cachedUniqueName index="188" name="[Tabla7].[contract_code].&amp;[US0076]"/>
            <x15:cachedUniqueName index="189" name="[Tabla7].[contract_code].&amp;[US0077]"/>
            <x15:cachedUniqueName index="190" name="[Tabla7].[contract_code].&amp;[US0078]"/>
            <x15:cachedUniqueName index="191" name="[Tabla7].[contract_code].&amp;[US0079]"/>
            <x15:cachedUniqueName index="192" name="[Tabla7].[contract_code].&amp;[US0080]"/>
            <x15:cachedUniqueName index="193" name="[Tabla7].[contract_code].&amp;[US0081]"/>
            <x15:cachedUniqueName index="194" name="[Tabla7].[contract_code].&amp;[US0082]"/>
            <x15:cachedUniqueName index="195" name="[Tabla7].[contract_code].&amp;[US0083]"/>
            <x15:cachedUniqueName index="196" name="[Tabla7].[contract_code].&amp;[US0084]"/>
            <x15:cachedUniqueName index="197" name="[Tabla7].[contract_code].&amp;[US0085]"/>
            <x15:cachedUniqueName index="198" name="[Tabla7].[contract_code].&amp;[US0086]"/>
            <x15:cachedUniqueName index="199" name="[Tabla7].[contract_code].&amp;[US0087]"/>
            <x15:cachedUniqueName index="200" name="[Tabla7].[contract_code].&amp;[US0088]"/>
            <x15:cachedUniqueName index="201" name="[Tabla7].[contract_code].&amp;[US0089]"/>
            <x15:cachedUniqueName index="202" name="[Tabla7].[contract_code].&amp;[US0090]"/>
            <x15:cachedUniqueName index="203" name="[Tabla7].[contract_code].&amp;[US0091]"/>
            <x15:cachedUniqueName index="204" name="[Tabla7].[contract_code].&amp;[US0092]"/>
            <x15:cachedUniqueName index="205" name="[Tabla7].[contract_code].&amp;[US0094]"/>
            <x15:cachedUniqueName index="206" name="[Tabla7].[contract_code].&amp;[US0095]"/>
            <x15:cachedUniqueName index="207" name="[Tabla7].[contract_code].&amp;[US0096]"/>
            <x15:cachedUniqueName index="208" name="[Tabla7].[contract_code].&amp;[US0097]"/>
            <x15:cachedUniqueName index="209" name="[Tabla7].[contract_code].&amp;[US0098]"/>
            <x15:cachedUniqueName index="210" name="[Tabla7].[contract_code].&amp;[US0099]"/>
            <x15:cachedUniqueName index="211" name="[Tabla7].[contract_code].&amp;[US0100]"/>
            <x15:cachedUniqueName index="212" name="[Tabla7].[contract_code].&amp;[US0101]"/>
            <x15:cachedUniqueName index="213" name="[Tabla7].[contract_code].&amp;[US0102]"/>
            <x15:cachedUniqueName index="214" name="[Tabla7].[contract_code].&amp;[US0103]"/>
            <x15:cachedUniqueName index="215" name="[Tabla7].[contract_code].&amp;[US0104]"/>
            <x15:cachedUniqueName index="216" name="[Tabla7].[contract_code].&amp;[US0105]"/>
            <x15:cachedUniqueName index="217" name="[Tabla7].[contract_code].&amp;[US0106]"/>
            <x15:cachedUniqueName index="218" name="[Tabla7].[contract_code].&amp;[US0107]"/>
            <x15:cachedUniqueName index="219" name="[Tabla7].[contract_code].&amp;[US0108]"/>
            <x15:cachedUniqueName index="220" name="[Tabla7].[contract_code].&amp;[US0109]"/>
            <x15:cachedUniqueName index="221" name="[Tabla7].[contract_code].&amp;[US0110]"/>
            <x15:cachedUniqueName index="222" name="[Tabla7].[contract_code].&amp;[US0111]"/>
            <x15:cachedUniqueName index="223" name="[Tabla7].[contract_code].&amp;[US0112]"/>
            <x15:cachedUniqueName index="224" name="[Tabla7].[contract_code].&amp;[US0113]"/>
            <x15:cachedUniqueName index="225" name="[Tabla7].[contract_code].&amp;[US0114]"/>
            <x15:cachedUniqueName index="226" name="[Tabla7].[contract_code].&amp;[US0115]"/>
            <x15:cachedUniqueName index="227" name="[Tabla7].[contract_code].&amp;[US0116]"/>
            <x15:cachedUniqueName index="228" name="[Tabla7].[contract_code].&amp;[US0117]"/>
            <x15:cachedUniqueName index="229" name="[Tabla7].[contract_code].&amp;[US0118]"/>
            <x15:cachedUniqueName index="230" name="[Tabla7].[contract_code].&amp;[US0119]"/>
            <x15:cachedUniqueName index="231" name="[Tabla7].[contract_code].&amp;[US0120]"/>
            <x15:cachedUniqueName index="232" name="[Tabla7].[contract_code].&amp;[US0121]"/>
            <x15:cachedUniqueName index="233" name="[Tabla7].[contract_code].&amp;[US0123]"/>
            <x15:cachedUniqueName index="234" name="[Tabla7].[contract_code].&amp;[US0124]"/>
            <x15:cachedUniqueName index="235" name="[Tabla7].[contract_code].&amp;[US0126]"/>
            <x15:cachedUniqueName index="236" name="[Tabla7].[contract_code].&amp;[US0127]"/>
            <x15:cachedUniqueName index="237" name="[Tabla7].[contract_code].&amp;[US0128]"/>
            <x15:cachedUniqueName index="238" name="[Tabla7].[contract_code].&amp;[US0130]"/>
            <x15:cachedUniqueName index="239" name="[Tabla7].[contract_code].&amp;[US0131]"/>
            <x15:cachedUniqueName index="240" name="[Tabla7].[contract_code].&amp;[US0132]"/>
            <x15:cachedUniqueName index="241" name="[Tabla7].[contract_code].&amp;[US0133]"/>
            <x15:cachedUniqueName index="242" name="[Tabla7].[contract_code].&amp;[US0135]"/>
            <x15:cachedUniqueName index="243" name="[Tabla7].[contract_code].&amp;[US0136]"/>
            <x15:cachedUniqueName index="244" name="[Tabla7].[contract_code].&amp;[US0138]"/>
            <x15:cachedUniqueName index="245" name="[Tabla7].[contract_code].&amp;[US0139]"/>
            <x15:cachedUniqueName index="246" name="[Tabla7].[contract_code].&amp;[US0140]"/>
            <x15:cachedUniqueName index="247" name="[Tabla7].[contract_code].&amp;[US0143]"/>
            <x15:cachedUniqueName index="248" name="[Tabla7].[contract_code].&amp;[US0144]"/>
            <x15:cachedUniqueName index="249" name="[Tabla7].[contract_code].&amp;[US0145]"/>
            <x15:cachedUniqueName index="250" name="[Tabla7].[contract_code].&amp;[US0146]"/>
            <x15:cachedUniqueName index="251" name="[Tabla7].[contract_code].&amp;[US0147]"/>
            <x15:cachedUniqueName index="252" name="[Tabla7].[contract_code].&amp;[US0148]"/>
            <x15:cachedUniqueName index="253" name="[Tabla7].[contract_code].&amp;[US0150]"/>
            <x15:cachedUniqueName index="254" name="[Tabla7].[contract_code].&amp;[US0151]"/>
            <x15:cachedUniqueName index="255" name="[Tabla7].[contract_code].&amp;[US0153]"/>
            <x15:cachedUniqueName index="256" name="[Tabla7].[contract_code].&amp;[US0154]"/>
            <x15:cachedUniqueName index="257" name="[Tabla7].[contract_code].&amp;[US0157]"/>
            <x15:cachedUniqueName index="258" name="[Tabla7].[contract_code].&amp;[US0159]"/>
            <x15:cachedUniqueName index="259" name="[Tabla7].[contract_code].&amp;[US0164]"/>
            <x15:cachedUniqueName index="260" name="[Tabla7].[contract_code].&amp;[US0165]"/>
          </x15:cachedUniqueNames>
        </ext>
      </extLst>
    </cacheField>
    <cacheField name="[Measures].[Recuento de contract_code]" caption="Recuento de contract_code" numFmtId="0" hierarchy="5" level="32767"/>
    <cacheField name="[Measures].[Suma de replaced_count]" caption="Suma de replaced_count" numFmtId="0" hierarchy="6" level="32767"/>
    <cacheField name="[Measures].[Suma de pct_replaced]" caption="Suma de pct_replaced" numFmtId="0" hierarchy="7" level="32767"/>
    <cacheField name="[Measures].[years]" caption="years" numFmtId="0" hierarchy="11" level="32767"/>
  </cacheFields>
  <cacheHierarchies count="14">
    <cacheHierarchy uniqueName="[Tabla7].[contract_code]" caption="contract_code" attribute="1" defaultMemberUniqueName="[Tabla7].[contract_code].[All]" allUniqueName="[Tabla7].[contract_code].[All]" dimensionUniqueName="[Tabla7]" displayFolder="" count="2" memberValueDatatype="130" unbalanced="0">
      <fieldsUsage count="2">
        <fieldUsage x="-1"/>
        <fieldUsage x="0"/>
      </fieldsUsage>
    </cacheHierarchy>
    <cacheHierarchy uniqueName="[Tabla7].[year]" caption="year" attribute="1" defaultMemberUniqueName="[Tabla7].[year].[All]" allUniqueName="[Tabla7].[year].[All]" dimensionUniqueName="[Tabla7]" displayFolder="" count="0" memberValueDatatype="20" unbalanced="0"/>
    <cacheHierarchy uniqueName="[Tabla7].[replaced_count]" caption="replaced_count" attribute="1" defaultMemberUniqueName="[Tabla7].[replaced_count].[All]" allUniqueName="[Tabla7].[replaced_count].[All]" dimensionUniqueName="[Tabla7]" displayFolder="" count="0" memberValueDatatype="20" unbalanced="0"/>
    <cacheHierarchy uniqueName="[Tabla7].[pct_replaced]" caption="pct_replaced" attribute="1" defaultMemberUniqueName="[Tabla7].[pct_replaced].[All]" allUniqueName="[Tabla7].[pct_replaced].[All]" dimensionUniqueName="[Tabla7]" displayFolder="" count="0" memberValueDatatype="5" unbalanced="0"/>
    <cacheHierarchy uniqueName="[Tabla7].[species_strain]" caption="species_strain" attribute="1" defaultMemberUniqueName="[Tabla7].[species_strain].[All]" allUniqueName="[Tabla7].[species_strain].[All]" dimensionUniqueName="[Tabla7]" displayFolder="" count="0" memberValueDatatype="130" unbalanced="0"/>
    <cacheHierarchy uniqueName="[Measures].[Recuento de contract_code]" caption="Recuento de contract_code" measure="1" displayFolder="" measureGroup="Tabla7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replaced_count]" caption="Suma de replaced_count" measure="1" displayFolder="" measureGroup="Tabla7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ct_replaced]" caption="Suma de pct_replaced" measure="1" displayFolder="" measureGroup="Tabla7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year]" caption="Suma de year" measure="1" displayFolder="" measureGroup="Tabla7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year]" caption="Recuento distinto de year" measure="1" displayFolder="" measureGroup="Tabla7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ín. de year]" caption="Mín. de year" measure="1" displayFolder="" measureGroup="Tabla7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years]" caption="years" measure="1" displayFolder="" measureGroup="Tabla7" count="0" oneField="1">
      <fieldsUsage count="1">
        <fieldUsage x="4"/>
      </fieldsUsage>
    </cacheHierarchy>
    <cacheHierarchy uniqueName="[Measures].[__XL_Count Tabla7]" caption="__XL_Count Tabla7" measure="1" displayFolder="" measureGroup="Tabla7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7" uniqueName="[Tabla7]" caption="Tabla7"/>
  </dimensions>
  <measureGroups count="1">
    <measureGroup name="Tabla7" caption="Tabla7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DE721-5C65-4A9D-BF1C-286D7AA22C8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ntract_Code">
  <location ref="Q427:U689" firstHeaderRow="0" firstDataRow="1" firstDataCol="1"/>
  <pivotFields count="5">
    <pivotField axis="axisRow" allDrilled="1" subtotalTop="0" showAll="0" dataSourceSort="1" defaultSubtotal="0" defaultAttributeDrillState="1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Years of replacements" fld="4" subtotal="count" baseField="0" baseItem="0"/>
    <dataField name="Total of Replacement Orders" fld="1" subtotal="count" baseField="0" baseItem="0"/>
    <dataField name="Total Trees Replaced" fld="2" baseField="0" baseItem="0"/>
    <dataField name="Contract Replaced (%)" fld="3" baseField="0" baseItem="0" numFmtId="166"/>
  </dataFields>
  <formats count="1"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 caption="Total of Replacement Orders"/>
    <pivotHierarchy dragToData="1" caption="Total Trees Replaced"/>
    <pivotHierarchy dragToData="1" caption="Contract Replaced (%)"/>
    <pivotHierarchy dragToData="1"/>
    <pivotHierarchy dragToData="1" caption="Recuento distinto de year"/>
    <pivotHierarchy dragToData="1" caption="Mín. de year"/>
    <pivotHierarchy dragToRow="0" dragToCol="0" dragToPage="0" dragToData="1" caption="Years of replacements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database_export.xlsx!Tabla7">
        <x15:activeTabTopLevelEntity name="[Tabla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02EC15-87DB-4882-9507-8CBC58F85E82}" name="Tabla3" displayName="Tabla3" ref="A1:F16" totalsRowShown="0">
  <autoFilter ref="A1:F16" xr:uid="{4502EC15-87DB-4882-9507-8CBC58F85E82}"/>
  <sortState xmlns:xlrd2="http://schemas.microsoft.com/office/spreadsheetml/2017/richdata2" ref="A2:F16">
    <sortCondition ref="E1:E16"/>
  </sortState>
  <tableColumns count="6">
    <tableColumn id="1" xr3:uid="{18ED7397-29E1-4EA0-88D6-5AA9F296FE3D}" name="group"/>
    <tableColumn id="2" xr3:uid="{D68A9FE9-1D88-412C-A839-A8B6188BFD94}" name="function_id"/>
    <tableColumn id="3" xr3:uid="{CB928069-835B-44E0-B844-3483E5E0A63E}" name="function"/>
    <tableColumn id="4" xr3:uid="{2CE8D2C1-CABA-472D-8CB7-0F8FCD8C9F1C}" name="type"/>
    <tableColumn id="6" xr3:uid="{E732B291-F0E4-452E-A45E-FAAE4987BFB0}" name="target_table"/>
    <tableColumn id="5" xr3:uid="{3D3B0899-59B4-4FF1-9022-7981CA9BCE65}" name="ruleset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D0569-0A98-47CE-A56E-87188D53E7BF}" name="Tabla1" displayName="Tabla1" ref="A11:R463" totalsRowShown="0" headerRowBorderDxfId="21" tableBorderDxfId="20">
  <autoFilter ref="A11:R463" xr:uid="{DD3D0569-0A98-47CE-A56E-87188D53E7BF}">
    <filterColumn colId="4">
      <filters>
        <filter val="2026"/>
      </filters>
    </filterColumn>
  </autoFilter>
  <tableColumns count="18">
    <tableColumn id="1" xr3:uid="{EB1EA6B9-B454-4058-9154-8842E9087A33}" name="contract_amendment" dataDxfId="19"/>
    <tableColumn id="2" xr3:uid="{29B76EDA-383D-48AD-B4C1-4E2E33391246}" name="contract_code"/>
    <tableColumn id="3" xr3:uid="{23571FD9-881D-4563-8B29-0823667A1992}" name="gescina101_contract"/>
    <tableColumn id="4" xr3:uid="{7E6B790B-C179-4B8D-A95A-C7E3DA0D620A}" name="etp_year"/>
    <tableColumn id="5" xr3:uid="{2BA81D35-9177-48AC-BBEA-A188FC3E7A30}" name="harvest_year"/>
    <tableColumn id="6" xr3:uid="{5949C4D1-CF4F-4154-B407-41E2F946A51C}" name="land_location"/>
    <tableColumn id="9" xr3:uid="{2C42C193-0405-4E7C-8909-B4198E061190}" name="planted"/>
    <tableColumn id="10" xr3:uid="{0CA43FA6-6C2D-4B4E-B715-2E9B7D06C4A7}" name="planting_obligation"/>
    <tableColumn id="11" xr3:uid="{C98A9ADB-4CD5-4BCA-908C-0917AF2E67BF}" name="planting_year"/>
    <tableColumn id="12" xr3:uid="{EAF1BA4B-1F5F-4257-AE45-A0412C38AD26}" name="region"/>
    <tableColumn id="13" xr3:uid="{3B6524F0-2E7A-4808-89DD-8FEC64F0703F}" name="species"/>
    <tableColumn id="14" xr3:uid="{970523AC-5AE6-4791-A785-5399F5B362B5}" name="strain" dataDxfId="18"/>
    <tableColumn id="15" xr3:uid="{1C9763E4-0F74-4997-AA1E-96E37E6FFD02}" name="trees_contract"/>
    <tableColumn id="17" xr3:uid="{83A24991-086A-40FE-9FC6-87223B09192F}" name="planting_date" dataDxfId="17"/>
    <tableColumn id="18" xr3:uid="{A7F938C7-A32C-450A-BE49-6D7077153EF5}" name="status"/>
    <tableColumn id="19" xr3:uid="{298BFF2A-4974-426A-AF2C-71C5EBECE5DF}" name="Filter"/>
    <tableColumn id="20" xr3:uid="{7CC0D43C-79C6-4C57-8267-26FE346D1D4B}" name="land_location_pro"/>
    <tableColumn id="22" xr3:uid="{5C3746E0-BAD8-452B-89D9-188135C674A3}" name="farmer_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82371-0636-48F3-B9BD-40D31B6F5596}" name="Tabla2" displayName="Tabla2" ref="A11:H385" totalsRowShown="0" headerRowDxfId="16" headerRowBorderDxfId="15" tableBorderDxfId="14">
  <autoFilter ref="A11:H385" xr:uid="{DF082371-0636-48F3-B9BD-40D31B6F5596}"/>
  <tableColumns count="8">
    <tableColumn id="1" xr3:uid="{A2BE3941-958A-44B2-8C5E-A28E0848F79E}" name="farmer_number"/>
    <tableColumn id="2" xr3:uid="{70A4096F-C3FA-4048-8F6A-9651D99324E7}" name="representative"/>
    <tableColumn id="3" xr3:uid="{E6DAD045-10F1-4CBA-89F4-20E202C0B96B}" name="phone"/>
    <tableColumn id="4" xr3:uid="{82D8049E-117E-4CC2-A445-097E059A28BD}" name="email"/>
    <tableColumn id="5" xr3:uid="{ED1D3EDB-DF62-43EF-99D4-16FDC714E5C2}" name="address"/>
    <tableColumn id="6" xr3:uid="{23CB8E3A-26E1-47B9-95E0-FCAADC89991F}" name="shipping_address"/>
    <tableColumn id="7" xr3:uid="{2FD2D285-CC45-4340-BC5D-9939C394B636}" name="contract_codes"/>
    <tableColumn id="8" xr3:uid="{63DCD13F-93FA-45FB-B36A-7DB8B113496C}" name="contract_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67D4E7-FD5C-4BCF-A60B-993967AA6D1A}" name="Tabla4" displayName="Tabla4" ref="A11:P463" totalsRowShown="0" headerRowDxfId="13" headerRowBorderDxfId="12" tableBorderDxfId="11">
  <autoFilter ref="A11:P463" xr:uid="{7E67D4E7-FD5C-4BCF-A60B-993967AA6D1A}">
    <filterColumn colId="9">
      <filters blank="1"/>
    </filterColumn>
  </autoFilter>
  <tableColumns count="16">
    <tableColumn id="1" xr3:uid="{F48BCA5B-7DCC-4EA7-BC06-07AEFE1D0B04}" name="contract_code"/>
    <tableColumn id="2" xr3:uid="{D8CA8B23-F8BD-45BB-835B-3827C143C3F9}" name="usa_allocation_pct"/>
    <tableColumn id="3" xr3:uid="{BB29DFF8-4B43-4473-A59D-5EB62D79B545}" name="usa_trees_contracted"/>
    <tableColumn id="4" xr3:uid="{177A6115-E0DF-4733-A538-311DABD6D3B1}" name="usa_trees_planted"/>
    <tableColumn id="5" xr3:uid="{2177C331-D81E-410B-8A06-6472871B20FE}" name="canada_allocation_pct"/>
    <tableColumn id="6" xr3:uid="{D56BADAC-B757-463A-9E9C-49AD6E30F418}" name="canada_2017_trees"/>
    <tableColumn id="7" xr3:uid="{21D01D0D-EF1E-4772-A836-6C2699A92508}" name="canada_2017_allocation_pct"/>
    <tableColumn id="8" xr3:uid="{7C07F34F-F6BA-459E-A176-D62A515195F5}" name="canada_trees_contracted"/>
    <tableColumn id="9" xr3:uid="{F9333A42-D509-412F-A33A-3D974302B558}" name="total_can_allocation"/>
    <tableColumn id="11" xr3:uid="{68FF4B53-BD20-49B8-A461-7BFAA4C81F0F}" name="etp_type"/>
    <tableColumn id="12" xr3:uid="{324A7752-2299-47A0-BB58-0A07EDD8C3B8}" name="contracted_cop"/>
    <tableColumn id="13" xr3:uid="{F54CC652-581E-4A1C-8B49-A088D1F16A2E}" name="planted_cop"/>
    <tableColumn id="14" xr3:uid="{7C4DE9A6-FAD2-45DE-AE17-620C9D5A65CA}" name="contracted_etp"/>
    <tableColumn id="15" xr3:uid="{0448A888-25D8-455B-A974-17912FF23CA3}" name="planted_etp"/>
    <tableColumn id="16" xr3:uid="{121C0DB5-42FF-434C-9454-D61CC0A51DB0}" name="surviving_etp"/>
    <tableColumn id="17" xr3:uid="{1FD42C0B-6ABB-45FA-BEB5-E3B879800D0D}" name="surviving_co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840896-27F6-4705-9062-74360B08CCC4}" name="Tabla8" displayName="Tabla8" ref="A12:E273" totalsRowShown="0">
  <autoFilter ref="A12:E273" xr:uid="{82840896-27F6-4705-9062-74360B08CCC4}"/>
  <tableColumns count="5">
    <tableColumn id="1" xr3:uid="{CB535D5F-F645-4013-8A4F-0A1D50877121}" name="contract_code"/>
    <tableColumn id="2" xr3:uid="{C66B575F-0935-4741-9BBD-FC486C1BD704}" name="years_replaced"/>
    <tableColumn id="3" xr3:uid="{875DEC5D-AE20-4354-AD50-F2815D5B5EE0}" name="total_replacements_orders"/>
    <tableColumn id="4" xr3:uid="{7FD1D2E0-626A-4EEE-B046-40173583C001}" name="total_trees_replaced" dataDxfId="10"/>
    <tableColumn id="5" xr3:uid="{48DB24D2-8B66-4A05-AD0F-5DD567AB9BDD}" name="contract_replacement_pct" dataDxfId="9" dataCellStyle="Porcentaje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523AB0-1ED7-4164-B463-F7B4C81ADF2C}" name="Tabla6" displayName="Tabla6" ref="A12:AE464" totalsRowShown="0" headerRowDxfId="8" headerRowBorderDxfId="7" tableBorderDxfId="6">
  <autoFilter ref="A12:AE464" xr:uid="{58523AB0-1ED7-4164-B463-F7B4C81ADF2C}">
    <filterColumn colId="2">
      <filters>
        <filter val="1"/>
      </filters>
    </filterColumn>
  </autoFilter>
  <sortState xmlns:xlrd2="http://schemas.microsoft.com/office/spreadsheetml/2017/richdata2" ref="A13:AE464">
    <sortCondition ref="B12:B464"/>
  </sortState>
  <tableColumns count="31">
    <tableColumn id="1" xr3:uid="{DDD980F0-A413-4E49-9621-0351C6BE75A3}" name="rel_path"/>
    <tableColumn id="2" xr3:uid="{521C790E-4F96-4E30-B700-21D35E151991}" name="contract_code"/>
    <tableColumn id="32" xr3:uid="{DDB1F8DF-2858-408A-8377-98E9E0A85C4E}" name="total of inventories"/>
    <tableColumn id="3" xr3:uid="{7E2F39CE-C132-4AC9-B5F7-55109D1767A8}" name="planting_year"/>
    <tableColumn id="4" xr3:uid="{36250CEF-05AA-434E-B382-91462EBB271C}" name="tree_age"/>
    <tableColumn id="5" xr3:uid="{0BF4E48A-B4D5-4C60-AEE9-43C8F17074F0}" name="inventory_year"/>
    <tableColumn id="6" xr3:uid="{D21123DF-FD6A-410A-89E5-F058A44A03E0}" name="inventory_date"/>
    <tableColumn id="7" xr3:uid="{C93AE812-CE9E-430B-8262-A3517B6C2882}" name="survival"/>
    <tableColumn id="8" xr3:uid="{CE389AA0-2883-4364-952E-C9070164EA6D}" name="tht_mean"/>
    <tableColumn id="9" xr3:uid="{55A5056A-6DE1-440A-AA36-72450E96B977}" name="tht_std"/>
    <tableColumn id="10" xr3:uid="{F9751851-FE71-417F-8750-412B73E5F5F4}" name="mht_mean"/>
    <tableColumn id="11" xr3:uid="{A66BA5FC-107C-4709-9AEF-8DF3EE6C0F5C}" name="mht_std"/>
    <tableColumn id="12" xr3:uid="{783C413B-59BD-4DFA-B8D3-7FE4AD98EF28}" name="mht_pct_of_target"/>
    <tableColumn id="13" xr3:uid="{4CC273D4-8B7C-4335-8F3E-063706F3C159}" name="dbh_mean"/>
    <tableColumn id="14" xr3:uid="{2490EECD-2396-4B06-9B08-A0D142D1D8EE}" name="dbh_std"/>
    <tableColumn id="15" xr3:uid="{27827B12-EBF4-4324-A822-F27C55C5ECAB}" name="noncom_dbh_count"/>
    <tableColumn id="16" xr3:uid="{68CFA87E-8098-429A-A064-20AC637BBB4E}" name="dbh_pct_of_target"/>
    <tableColumn id="17" xr3:uid="{778245CE-3F0D-4E22-9AB0-F9C2A620999C}" name="doyle_bf_mean"/>
    <tableColumn id="18" xr3:uid="{D81352FA-11F1-4A56-A323-8BA460FA016F}" name="doyle_bf_std"/>
    <tableColumn id="19" xr3:uid="{63AC74DE-B087-4E14-BA48-BFDFF3C9D57C}" name="doyle_bf_total"/>
    <tableColumn id="20" xr3:uid="{6018F40E-F013-4C8C-AE77-A86F6BC21394}" name="projected_dbh"/>
    <tableColumn id="21" xr3:uid="{55064C91-FF5A-41A9-B213-D4146F2ACABA}" name="projected_doyle_bf"/>
    <tableColumn id="22" xr3:uid="{26228ABF-648A-438C-9B41-D80CBE8E8F74}" name="pkid"/>
    <tableColumn id="23" xr3:uid="{5772C654-0DBE-4BCD-974E-275CD6396A1A}" name="progress"/>
    <tableColumn id="24" xr3:uid="{1BF4D816-4426-4A02-BA3D-B793922A2728}" name="total_trees"/>
    <tableColumn id="25" xr3:uid="{3255B6A5-68F6-46E4-B00C-715D939C0CB6}" name="mortality"/>
    <tableColumn id="26" xr3:uid="{1519DC88-5ED9-4735-A30E-7E2C1CBE6076}" name="planting_date"/>
    <tableColumn id="27" xr3:uid="{7F3C1644-F11C-4A58-A982-3E00369F82D2}" name="type_of_metric"/>
    <tableColumn id="29" xr3:uid="{3811EC69-A937-4D08-BF39-3535E77C7E06}" name="rn"/>
    <tableColumn id="30" xr3:uid="{799B4F4D-390D-4489-BA36-9DECE6327CA9}" name="resolution_method"/>
    <tableColumn id="31" xr3:uid="{484215B3-3634-41B9-B6B2-58C8A97166E8}" name="resolved_at" dataDxfId="5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BFA69E-E0A3-4FEA-9434-8BA4F5425F87}" name="Tabla5" displayName="Tabla5" ref="A12:AA471" totalsRowShown="0" headerRowDxfId="4" headerRowBorderDxfId="3" tableBorderDxfId="2">
  <autoFilter ref="A12:AA471" xr:uid="{D4BFA69E-E0A3-4FEA-9434-8BA4F5425F87}"/>
  <sortState xmlns:xlrd2="http://schemas.microsoft.com/office/spreadsheetml/2017/richdata2" ref="A13:AA471">
    <sortCondition ref="B12:B471"/>
  </sortState>
  <tableColumns count="27">
    <tableColumn id="1" xr3:uid="{5F1E6C06-6DB0-4766-A7C7-DC8F2EAA907F}" name="rel_path"/>
    <tableColumn id="2" xr3:uid="{ABEA99FD-8C3A-499B-B5D7-CA05A7369A55}" name="contract_code"/>
    <tableColumn id="3" xr3:uid="{1736D6CE-C8A5-4BC4-8141-6C55A2B651E6}" name="tree_age"/>
    <tableColumn id="4" xr3:uid="{944E2CA4-50D2-4AE3-8684-D118A8225804}" name="inventory_year"/>
    <tableColumn id="5" xr3:uid="{8CEE224F-890B-4A6B-8615-255D378395C2}" name="inventory_date"/>
    <tableColumn id="6" xr3:uid="{C379FA57-6793-4AB0-BC7D-D00966ED3799}" name="tht_mean"/>
    <tableColumn id="7" xr3:uid="{62F3A9E9-B33A-4797-A4CF-CFD18164C9D0}" name="tht_std"/>
    <tableColumn id="8" xr3:uid="{3E3F779E-1C4B-4669-A103-C45FC6A7133A}" name="mht_mean"/>
    <tableColumn id="9" xr3:uid="{91148823-D46B-44D0-913A-F669ED7A877B}" name="mht_std"/>
    <tableColumn id="10" xr3:uid="{6960E9A7-46C5-4E60-BE1D-7E2D20CBC9C6}" name="dbh_mean"/>
    <tableColumn id="11" xr3:uid="{18DD247D-83DA-4B63-A34D-D95BD0801986}" name="dbh_std"/>
    <tableColumn id="12" xr3:uid="{EE7EAD4D-DCCB-4059-AA84-DB0AC6D81362}" name="noncom_dbh_count"/>
    <tableColumn id="13" xr3:uid="{B6AB08D7-03AA-4E10-AB16-F6F672657857}" name="doyle_bf_mean"/>
    <tableColumn id="14" xr3:uid="{6FC142D1-C5EB-4303-96B3-750E00C56F95}" name="doyle_bf_std"/>
    <tableColumn id="15" xr3:uid="{F92BF727-C7DC-4834-B6C6-85E854F8D3E0}" name="doyle_bf_total"/>
    <tableColumn id="16" xr3:uid="{4D1AF0AD-7D06-44AE-8D57-F663D3883A57}" name="pkid"/>
    <tableColumn id="17" xr3:uid="{3934F18D-5BC1-4803-B3F2-CD5FB9508B60}" name="progress"/>
    <tableColumn id="18" xr3:uid="{106209C3-CA68-4303-801B-B22219F6C483}" name="total_trees"/>
    <tableColumn id="19" xr3:uid="{D26F68EA-EE9B-4E14-A96F-A4D46F05BED9}" name="type_of_metric"/>
    <tableColumn id="20" xr3:uid="{73B4AC1D-322F-4C82-987B-70EECF7BA3A1}" name="planting_date"/>
    <tableColumn id="21" xr3:uid="{7B1C2E4C-00CB-4B0C-966C-C464CA81E688}" name="planting_year"/>
    <tableColumn id="22" xr3:uid="{BF7FDF4F-5B11-4A98-B361-20B182B29224}" name="survival"/>
    <tableColumn id="23" xr3:uid="{354225AF-B299-4675-A452-C23E479DD17A}" name="mht_pct_of_target"/>
    <tableColumn id="24" xr3:uid="{F77D71D8-AC3A-4357-9A58-DBF9B2978314}" name="dbh_pct_of_target"/>
    <tableColumn id="25" xr3:uid="{FBE94DE1-0651-401F-BF48-077EFE83C980}" name="projected_dbh"/>
    <tableColumn id="26" xr3:uid="{F846AD9F-2B50-47E4-BB98-3F581F673606}" name="projected_doyle_bf"/>
    <tableColumn id="27" xr3:uid="{5DFEF364-CB3B-497B-831A-19FBA059F059}" name="mortality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5095FB-B256-4975-9114-BD8BA29B632A}" name="Tabla7" displayName="Tabla7" ref="A12:E407" totalsRowShown="0">
  <autoFilter ref="A12:E407" xr:uid="{055095FB-B256-4975-9114-BD8BA29B632A}"/>
  <tableColumns count="5">
    <tableColumn id="1" xr3:uid="{B1DD9DCC-EFB6-438A-8C7A-6CF2CF891F5E}" name="contract_code"/>
    <tableColumn id="2" xr3:uid="{2C849467-DF1F-451F-BD46-18245B18C607}" name="year"/>
    <tableColumn id="3" xr3:uid="{F6C19DDF-0A39-4884-A0C7-8FE904072596}" name="replaced_count"/>
    <tableColumn id="4" xr3:uid="{62AB477E-27B4-4601-BE04-53F891AC75E8}" name="pct_replaced" dataDxfId="0" dataCellStyle="Porcentaje"/>
    <tableColumn id="5" xr3:uid="{4267F831-6735-492C-B4CA-CDCDEDF4BD9F}" name="species_strain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442C46-C363-4143-9881-D69ABA1D77DC}" name="Tabla9" displayName="Tabla9" ref="A1:P454" totalsRowShown="0">
  <autoFilter ref="A1:P454" xr:uid="{EE442C46-C363-4143-9881-D69ABA1D77DC}"/>
  <tableColumns count="16">
    <tableColumn id="1" xr3:uid="{D7FCA5B6-C74E-4C1E-B682-864246C9E576}" name="Contract Code"/>
    <tableColumn id="2" xr3:uid="{399A6C76-3CCC-46BC-B42C-82E1896330CF}" name="Inventory 1 Year"/>
    <tableColumn id="3" xr3:uid="{03EFC46D-E65D-4E93-8DF4-D7A9370B6985}" name="Survival 1"/>
    <tableColumn id="4" xr3:uid="{46691A13-70D4-42FF-8546-5B414AF6750F}" name="DBH Mean 1"/>
    <tableColumn id="5" xr3:uid="{EE710653-D865-4E7A-8CDC-1E7C8A1080C4}" name="Merch HT Mean 1"/>
    <tableColumn id="6" xr3:uid="{00F1E39C-8184-4393-B08F-89AE5EB844FE}" name="Doyle BF 1"/>
    <tableColumn id="7" xr3:uid="{3F57140E-36B8-40FF-92E6-B6C92628BEA2}" name="Inventory 2 Year"/>
    <tableColumn id="8" xr3:uid="{96C4A113-E481-4C8F-A66F-3A01C01E286F}" name="Survival 2"/>
    <tableColumn id="9" xr3:uid="{DDE1DC61-4CA9-4F42-86CD-4BDFBCD57ACF}" name="DBH Mean 2"/>
    <tableColumn id="10" xr3:uid="{1092BB81-AA40-4E36-9575-F5A2F5597E88}" name="Merch HT Mean 2"/>
    <tableColumn id="11" xr3:uid="{11489606-39BE-4233-8042-5E64E7D5144C}" name="Doyle BF 2"/>
    <tableColumn id="12" xr3:uid="{A0463FDE-E0C2-4106-B9BF-014356FF1903}" name="Inventory 3 Year"/>
    <tableColumn id="13" xr3:uid="{8E9357FC-0F81-4E6B-8C3E-89F55315F098}" name="Survival 3"/>
    <tableColumn id="14" xr3:uid="{B1B8EC9F-179F-42F8-85B5-6ACBB77EADF3}" name="DBH Mean 3"/>
    <tableColumn id="15" xr3:uid="{55E4160A-69FE-44F2-BB8C-616B353D82D4}" name="Merch HT Mean 3"/>
    <tableColumn id="16" xr3:uid="{03EA39CB-5A46-410E-A02A-21F4C56C049A}" name="Doyle BF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2"/>
  <sheetViews>
    <sheetView workbookViewId="0"/>
  </sheetViews>
  <sheetFormatPr baseColWidth="10" defaultColWidth="9.140625"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</row>
    <row r="3" spans="1:19" x14ac:dyDescent="0.25">
      <c r="A3" t="s">
        <v>23</v>
      </c>
      <c r="B3" t="s">
        <v>24</v>
      </c>
      <c r="C3" t="s">
        <v>25</v>
      </c>
      <c r="D3" t="s">
        <v>25</v>
      </c>
    </row>
    <row r="4" spans="1:19" x14ac:dyDescent="0.25">
      <c r="A4" t="s">
        <v>26</v>
      </c>
      <c r="B4" t="s">
        <v>27</v>
      </c>
      <c r="C4" t="s">
        <v>28</v>
      </c>
      <c r="D4" t="s">
        <v>29</v>
      </c>
    </row>
    <row r="5" spans="1:19" x14ac:dyDescent="0.25">
      <c r="A5" t="s">
        <v>30</v>
      </c>
      <c r="B5" t="s">
        <v>31</v>
      </c>
      <c r="C5" t="s">
        <v>32</v>
      </c>
      <c r="D5" t="s">
        <v>33</v>
      </c>
    </row>
    <row r="6" spans="1:19" x14ac:dyDescent="0.25">
      <c r="A6" t="s">
        <v>34</v>
      </c>
      <c r="B6" t="s">
        <v>35</v>
      </c>
      <c r="C6" t="s">
        <v>36</v>
      </c>
      <c r="D6" t="s">
        <v>37</v>
      </c>
    </row>
    <row r="7" spans="1:19" x14ac:dyDescent="0.25">
      <c r="A7" t="s">
        <v>38</v>
      </c>
      <c r="B7" t="s">
        <v>39</v>
      </c>
      <c r="C7" t="s">
        <v>40</v>
      </c>
      <c r="D7" t="s">
        <v>41</v>
      </c>
    </row>
    <row r="8" spans="1:19" x14ac:dyDescent="0.25">
      <c r="A8" t="s">
        <v>42</v>
      </c>
      <c r="B8" t="s">
        <v>43</v>
      </c>
      <c r="C8" t="s">
        <v>44</v>
      </c>
      <c r="D8" t="s">
        <v>45</v>
      </c>
    </row>
    <row r="9" spans="1:19" x14ac:dyDescent="0.25">
      <c r="A9" t="s">
        <v>46</v>
      </c>
      <c r="B9" t="s">
        <v>47</v>
      </c>
      <c r="C9" t="s">
        <v>48</v>
      </c>
      <c r="D9" t="s">
        <v>48</v>
      </c>
    </row>
    <row r="10" spans="1:19" x14ac:dyDescent="0.25">
      <c r="A10" t="s">
        <v>49</v>
      </c>
      <c r="B10" t="s">
        <v>50</v>
      </c>
      <c r="C10" t="s">
        <v>51</v>
      </c>
      <c r="D10" t="s">
        <v>52</v>
      </c>
    </row>
    <row r="11" spans="1:19" x14ac:dyDescent="0.25">
      <c r="A11" t="s">
        <v>53</v>
      </c>
      <c r="B11" t="s">
        <v>54</v>
      </c>
      <c r="C11" t="s">
        <v>55</v>
      </c>
      <c r="D11" t="s">
        <v>55</v>
      </c>
    </row>
    <row r="12" spans="1:19" x14ac:dyDescent="0.25">
      <c r="A12" t="s">
        <v>56</v>
      </c>
      <c r="B12" t="s">
        <v>57</v>
      </c>
      <c r="C12" t="s">
        <v>58</v>
      </c>
      <c r="D12" t="s">
        <v>58</v>
      </c>
    </row>
    <row r="13" spans="1:19" x14ac:dyDescent="0.25">
      <c r="A13" t="s">
        <v>59</v>
      </c>
      <c r="B13" t="s">
        <v>60</v>
      </c>
      <c r="C13" t="s">
        <v>61</v>
      </c>
      <c r="D13" t="s">
        <v>62</v>
      </c>
    </row>
    <row r="14" spans="1:19" x14ac:dyDescent="0.25">
      <c r="A14" t="s">
        <v>63</v>
      </c>
      <c r="B14" t="s">
        <v>64</v>
      </c>
      <c r="C14" t="s">
        <v>65</v>
      </c>
      <c r="D14" t="s">
        <v>65</v>
      </c>
      <c r="F14">
        <v>2021</v>
      </c>
      <c r="I14">
        <v>2017</v>
      </c>
      <c r="O14" s="2">
        <v>44197</v>
      </c>
      <c r="P14">
        <v>0.87590000000000001</v>
      </c>
      <c r="S14">
        <v>39.47</v>
      </c>
    </row>
    <row r="15" spans="1:19" x14ac:dyDescent="0.25">
      <c r="A15" t="s">
        <v>66</v>
      </c>
      <c r="B15" t="s">
        <v>35</v>
      </c>
      <c r="C15" t="s">
        <v>36</v>
      </c>
      <c r="D15" t="s">
        <v>37</v>
      </c>
    </row>
    <row r="16" spans="1:19" x14ac:dyDescent="0.25">
      <c r="A16" t="s">
        <v>67</v>
      </c>
      <c r="B16" t="s">
        <v>68</v>
      </c>
      <c r="C16" t="s">
        <v>69</v>
      </c>
      <c r="D16" t="s">
        <v>69</v>
      </c>
    </row>
    <row r="17" spans="1:19" x14ac:dyDescent="0.25">
      <c r="A17" t="s">
        <v>70</v>
      </c>
      <c r="B17" t="s">
        <v>71</v>
      </c>
      <c r="C17" t="s">
        <v>72</v>
      </c>
      <c r="D17" t="s">
        <v>73</v>
      </c>
    </row>
    <row r="18" spans="1:19" x14ac:dyDescent="0.25">
      <c r="A18" t="s">
        <v>74</v>
      </c>
      <c r="B18" t="s">
        <v>75</v>
      </c>
      <c r="C18" t="s">
        <v>76</v>
      </c>
      <c r="D18" t="s">
        <v>76</v>
      </c>
    </row>
    <row r="19" spans="1:19" x14ac:dyDescent="0.25">
      <c r="A19" t="s">
        <v>77</v>
      </c>
      <c r="B19" t="s">
        <v>78</v>
      </c>
      <c r="C19" t="s">
        <v>79</v>
      </c>
      <c r="D19" t="s">
        <v>80</v>
      </c>
    </row>
    <row r="20" spans="1:19" x14ac:dyDescent="0.25">
      <c r="A20" t="s">
        <v>81</v>
      </c>
      <c r="B20" t="s">
        <v>82</v>
      </c>
      <c r="C20" t="s">
        <v>83</v>
      </c>
      <c r="D20" t="s">
        <v>84</v>
      </c>
    </row>
    <row r="21" spans="1:19" x14ac:dyDescent="0.25">
      <c r="A21" t="s">
        <v>85</v>
      </c>
      <c r="B21" t="s">
        <v>86</v>
      </c>
      <c r="C21" t="s">
        <v>87</v>
      </c>
      <c r="D21" t="s">
        <v>88</v>
      </c>
    </row>
    <row r="22" spans="1:19" x14ac:dyDescent="0.25">
      <c r="A22" t="s">
        <v>89</v>
      </c>
      <c r="B22" t="s">
        <v>90</v>
      </c>
      <c r="C22" t="s">
        <v>91</v>
      </c>
      <c r="D22" t="s">
        <v>91</v>
      </c>
    </row>
    <row r="23" spans="1:19" x14ac:dyDescent="0.25">
      <c r="A23" t="s">
        <v>92</v>
      </c>
      <c r="B23" t="s">
        <v>93</v>
      </c>
      <c r="C23" t="s">
        <v>94</v>
      </c>
      <c r="D23" t="s">
        <v>94</v>
      </c>
    </row>
    <row r="24" spans="1:19" x14ac:dyDescent="0.25">
      <c r="A24" t="s">
        <v>95</v>
      </c>
      <c r="B24" t="s">
        <v>96</v>
      </c>
      <c r="C24" t="s">
        <v>97</v>
      </c>
      <c r="D24" t="s">
        <v>97</v>
      </c>
    </row>
    <row r="25" spans="1:19" x14ac:dyDescent="0.25">
      <c r="A25" t="s">
        <v>98</v>
      </c>
      <c r="B25" t="s">
        <v>47</v>
      </c>
      <c r="C25" t="s">
        <v>48</v>
      </c>
      <c r="D25" t="s">
        <v>48</v>
      </c>
    </row>
    <row r="26" spans="1:19" x14ac:dyDescent="0.25">
      <c r="A26" t="s">
        <v>99</v>
      </c>
      <c r="B26" t="s">
        <v>50</v>
      </c>
      <c r="C26" t="s">
        <v>51</v>
      </c>
      <c r="D26" t="s">
        <v>52</v>
      </c>
    </row>
    <row r="27" spans="1:19" x14ac:dyDescent="0.25">
      <c r="A27" t="s">
        <v>100</v>
      </c>
      <c r="B27" t="s">
        <v>101</v>
      </c>
      <c r="C27" t="s">
        <v>102</v>
      </c>
      <c r="D27" t="s">
        <v>102</v>
      </c>
    </row>
    <row r="28" spans="1:19" x14ac:dyDescent="0.25">
      <c r="A28" t="s">
        <v>103</v>
      </c>
      <c r="B28" t="s">
        <v>104</v>
      </c>
      <c r="C28" t="s">
        <v>105</v>
      </c>
      <c r="D28" t="s">
        <v>106</v>
      </c>
      <c r="F28">
        <v>2021</v>
      </c>
      <c r="I28">
        <v>2018</v>
      </c>
      <c r="O28" s="2">
        <v>44197</v>
      </c>
      <c r="P28">
        <v>0.98880000000000001</v>
      </c>
      <c r="S28">
        <v>47.89</v>
      </c>
    </row>
    <row r="29" spans="1:19" x14ac:dyDescent="0.25">
      <c r="A29" t="s">
        <v>107</v>
      </c>
      <c r="B29" t="s">
        <v>108</v>
      </c>
      <c r="C29" t="s">
        <v>109</v>
      </c>
      <c r="D29" t="s">
        <v>109</v>
      </c>
      <c r="F29">
        <v>2021</v>
      </c>
      <c r="I29">
        <v>2018</v>
      </c>
      <c r="O29" s="2">
        <v>44197</v>
      </c>
      <c r="P29">
        <v>1</v>
      </c>
      <c r="S29">
        <v>64.27</v>
      </c>
    </row>
    <row r="30" spans="1:19" x14ac:dyDescent="0.25">
      <c r="A30" t="s">
        <v>110</v>
      </c>
      <c r="B30" t="s">
        <v>111</v>
      </c>
      <c r="C30" t="s">
        <v>112</v>
      </c>
      <c r="D30" t="s">
        <v>112</v>
      </c>
      <c r="F30">
        <v>2025</v>
      </c>
      <c r="I30">
        <v>2018</v>
      </c>
      <c r="O30" s="2">
        <v>45680</v>
      </c>
      <c r="P30">
        <v>0.62339999999999995</v>
      </c>
      <c r="S30">
        <v>16.03</v>
      </c>
    </row>
    <row r="31" spans="1:19" x14ac:dyDescent="0.25">
      <c r="A31" t="s">
        <v>113</v>
      </c>
      <c r="B31" t="s">
        <v>86</v>
      </c>
      <c r="C31" t="s">
        <v>87</v>
      </c>
      <c r="D31" t="s">
        <v>88</v>
      </c>
    </row>
    <row r="32" spans="1:19" x14ac:dyDescent="0.25">
      <c r="A32" t="s">
        <v>114</v>
      </c>
      <c r="B32" t="s">
        <v>115</v>
      </c>
      <c r="C32" t="s">
        <v>116</v>
      </c>
      <c r="D32" t="s">
        <v>117</v>
      </c>
    </row>
    <row r="33" spans="1:16" x14ac:dyDescent="0.25">
      <c r="A33" t="s">
        <v>118</v>
      </c>
      <c r="B33" t="s">
        <v>119</v>
      </c>
      <c r="C33" t="s">
        <v>120</v>
      </c>
      <c r="D33" t="s">
        <v>120</v>
      </c>
    </row>
    <row r="34" spans="1:16" x14ac:dyDescent="0.25">
      <c r="A34" t="s">
        <v>121</v>
      </c>
      <c r="B34" t="s">
        <v>122</v>
      </c>
      <c r="C34" t="s">
        <v>123</v>
      </c>
      <c r="D34" t="s">
        <v>123</v>
      </c>
    </row>
    <row r="35" spans="1:16" x14ac:dyDescent="0.25">
      <c r="A35" t="s">
        <v>124</v>
      </c>
      <c r="B35" t="s">
        <v>125</v>
      </c>
      <c r="C35" t="s">
        <v>126</v>
      </c>
      <c r="D35" t="s">
        <v>126</v>
      </c>
      <c r="F35">
        <v>2024</v>
      </c>
      <c r="I35">
        <v>2020</v>
      </c>
      <c r="P35">
        <v>0.89</v>
      </c>
    </row>
    <row r="36" spans="1:16" x14ac:dyDescent="0.25">
      <c r="A36" t="s">
        <v>127</v>
      </c>
      <c r="B36" t="s">
        <v>128</v>
      </c>
      <c r="C36" t="s">
        <v>129</v>
      </c>
      <c r="D36" t="s">
        <v>130</v>
      </c>
      <c r="P36">
        <v>0.83</v>
      </c>
    </row>
    <row r="37" spans="1:16" x14ac:dyDescent="0.25">
      <c r="A37" t="s">
        <v>131</v>
      </c>
      <c r="B37" t="s">
        <v>132</v>
      </c>
      <c r="C37" t="s">
        <v>133</v>
      </c>
      <c r="D37" t="s">
        <v>134</v>
      </c>
      <c r="F37">
        <v>2024</v>
      </c>
      <c r="I37">
        <v>2020</v>
      </c>
      <c r="P37">
        <v>0.95</v>
      </c>
    </row>
    <row r="38" spans="1:16" x14ac:dyDescent="0.25">
      <c r="A38" t="s">
        <v>135</v>
      </c>
      <c r="B38" t="s">
        <v>136</v>
      </c>
      <c r="C38" t="s">
        <v>137</v>
      </c>
      <c r="D38" t="s">
        <v>137</v>
      </c>
    </row>
    <row r="39" spans="1:16" x14ac:dyDescent="0.25">
      <c r="A39" t="s">
        <v>138</v>
      </c>
      <c r="B39" t="s">
        <v>139</v>
      </c>
      <c r="C39" t="s">
        <v>140</v>
      </c>
      <c r="D39" t="s">
        <v>141</v>
      </c>
      <c r="F39">
        <v>2024</v>
      </c>
      <c r="I39">
        <v>2020</v>
      </c>
      <c r="P39">
        <v>0.53</v>
      </c>
    </row>
    <row r="40" spans="1:16" x14ac:dyDescent="0.25">
      <c r="A40" t="s">
        <v>142</v>
      </c>
      <c r="B40" t="s">
        <v>143</v>
      </c>
      <c r="C40" t="s">
        <v>144</v>
      </c>
      <c r="D40" t="s">
        <v>145</v>
      </c>
      <c r="F40">
        <v>2024</v>
      </c>
      <c r="P40">
        <v>0.93</v>
      </c>
    </row>
    <row r="41" spans="1:16" x14ac:dyDescent="0.25">
      <c r="A41" t="s">
        <v>146</v>
      </c>
      <c r="B41" t="s">
        <v>147</v>
      </c>
      <c r="C41" t="s">
        <v>148</v>
      </c>
      <c r="D41" t="s">
        <v>148</v>
      </c>
    </row>
    <row r="42" spans="1:16" x14ac:dyDescent="0.25">
      <c r="A42" t="s">
        <v>149</v>
      </c>
      <c r="B42" t="s">
        <v>150</v>
      </c>
      <c r="C42" t="s">
        <v>151</v>
      </c>
      <c r="D42" t="s">
        <v>152</v>
      </c>
      <c r="F42">
        <v>2024</v>
      </c>
      <c r="I42">
        <v>2020</v>
      </c>
      <c r="P42">
        <v>0.7</v>
      </c>
    </row>
    <row r="43" spans="1:16" x14ac:dyDescent="0.25">
      <c r="A43" t="s">
        <v>153</v>
      </c>
      <c r="B43" t="s">
        <v>154</v>
      </c>
      <c r="C43" t="s">
        <v>155</v>
      </c>
      <c r="D43" t="s">
        <v>155</v>
      </c>
    </row>
    <row r="44" spans="1:16" x14ac:dyDescent="0.25">
      <c r="A44" t="s">
        <v>156</v>
      </c>
      <c r="B44" t="s">
        <v>157</v>
      </c>
      <c r="C44" t="s">
        <v>158</v>
      </c>
      <c r="D44" t="s">
        <v>158</v>
      </c>
      <c r="F44">
        <v>2024</v>
      </c>
      <c r="I44">
        <v>2020</v>
      </c>
      <c r="P44">
        <v>0.59</v>
      </c>
    </row>
    <row r="45" spans="1:16" x14ac:dyDescent="0.25">
      <c r="A45" t="s">
        <v>159</v>
      </c>
      <c r="B45" t="s">
        <v>160</v>
      </c>
      <c r="C45" t="s">
        <v>161</v>
      </c>
      <c r="D45" t="s">
        <v>161</v>
      </c>
      <c r="P45">
        <v>0.83</v>
      </c>
    </row>
    <row r="46" spans="1:16" x14ac:dyDescent="0.25">
      <c r="A46" t="s">
        <v>162</v>
      </c>
      <c r="B46" t="s">
        <v>163</v>
      </c>
      <c r="C46" t="s">
        <v>164</v>
      </c>
      <c r="D46" t="s">
        <v>165</v>
      </c>
      <c r="F46">
        <v>2024</v>
      </c>
      <c r="I46">
        <v>2020</v>
      </c>
      <c r="P46">
        <v>1</v>
      </c>
    </row>
    <row r="47" spans="1:16" x14ac:dyDescent="0.25">
      <c r="A47" t="s">
        <v>166</v>
      </c>
      <c r="B47" t="s">
        <v>167</v>
      </c>
      <c r="C47" t="s">
        <v>168</v>
      </c>
      <c r="D47" t="s">
        <v>169</v>
      </c>
      <c r="F47">
        <v>2024</v>
      </c>
      <c r="I47">
        <v>2020</v>
      </c>
      <c r="P47">
        <v>0.84899999999999998</v>
      </c>
    </row>
    <row r="48" spans="1:16" x14ac:dyDescent="0.25">
      <c r="A48" t="s">
        <v>170</v>
      </c>
      <c r="B48" t="s">
        <v>171</v>
      </c>
      <c r="C48" t="s">
        <v>172</v>
      </c>
      <c r="D48" t="s">
        <v>173</v>
      </c>
      <c r="F48">
        <v>2024</v>
      </c>
      <c r="I48">
        <v>2020</v>
      </c>
      <c r="P48">
        <v>0</v>
      </c>
    </row>
    <row r="49" spans="1:19" x14ac:dyDescent="0.25">
      <c r="A49" t="s">
        <v>174</v>
      </c>
      <c r="B49" t="s">
        <v>175</v>
      </c>
      <c r="C49" t="s">
        <v>176</v>
      </c>
      <c r="D49" t="s">
        <v>176</v>
      </c>
      <c r="F49">
        <v>2024</v>
      </c>
      <c r="I49">
        <v>2020</v>
      </c>
      <c r="P49">
        <v>0.67200000000000004</v>
      </c>
    </row>
    <row r="50" spans="1:19" x14ac:dyDescent="0.25">
      <c r="A50" t="s">
        <v>177</v>
      </c>
      <c r="B50" t="s">
        <v>178</v>
      </c>
      <c r="C50" t="s">
        <v>179</v>
      </c>
      <c r="D50" t="s">
        <v>179</v>
      </c>
    </row>
    <row r="51" spans="1:19" x14ac:dyDescent="0.25">
      <c r="A51" t="s">
        <v>180</v>
      </c>
      <c r="B51" t="s">
        <v>181</v>
      </c>
      <c r="C51" t="s">
        <v>182</v>
      </c>
      <c r="D51" t="s">
        <v>182</v>
      </c>
      <c r="F51">
        <v>2024</v>
      </c>
      <c r="I51">
        <v>2020</v>
      </c>
      <c r="P51">
        <v>0.95</v>
      </c>
    </row>
    <row r="52" spans="1:19" x14ac:dyDescent="0.25">
      <c r="A52" t="s">
        <v>183</v>
      </c>
      <c r="B52" t="s">
        <v>184</v>
      </c>
      <c r="C52" t="s">
        <v>185</v>
      </c>
      <c r="D52" t="s">
        <v>186</v>
      </c>
      <c r="F52">
        <v>2024</v>
      </c>
      <c r="I52">
        <v>2020</v>
      </c>
      <c r="P52">
        <v>0.85</v>
      </c>
    </row>
    <row r="53" spans="1:19" x14ac:dyDescent="0.25">
      <c r="A53" t="s">
        <v>187</v>
      </c>
      <c r="B53" t="s">
        <v>188</v>
      </c>
      <c r="C53" t="s">
        <v>189</v>
      </c>
      <c r="D53" t="s">
        <v>189</v>
      </c>
      <c r="F53">
        <v>2024</v>
      </c>
      <c r="I53">
        <v>2020</v>
      </c>
      <c r="P53">
        <v>0.95299999999999996</v>
      </c>
    </row>
    <row r="54" spans="1:19" x14ac:dyDescent="0.25">
      <c r="A54" t="s">
        <v>190</v>
      </c>
      <c r="B54" t="s">
        <v>191</v>
      </c>
      <c r="C54" t="s">
        <v>192</v>
      </c>
      <c r="D54" t="s">
        <v>192</v>
      </c>
    </row>
    <row r="55" spans="1:19" x14ac:dyDescent="0.25">
      <c r="A55" t="s">
        <v>193</v>
      </c>
      <c r="B55" t="s">
        <v>194</v>
      </c>
      <c r="C55" t="s">
        <v>195</v>
      </c>
      <c r="D55" t="s">
        <v>195</v>
      </c>
      <c r="F55">
        <v>2024</v>
      </c>
      <c r="I55">
        <v>2020</v>
      </c>
      <c r="P55">
        <v>0.45</v>
      </c>
    </row>
    <row r="56" spans="1:19" x14ac:dyDescent="0.25">
      <c r="A56" t="s">
        <v>196</v>
      </c>
      <c r="B56" t="s">
        <v>197</v>
      </c>
      <c r="C56" t="s">
        <v>198</v>
      </c>
      <c r="D56" t="s">
        <v>199</v>
      </c>
      <c r="P56">
        <v>0.83</v>
      </c>
    </row>
    <row r="57" spans="1:19" x14ac:dyDescent="0.25">
      <c r="A57" t="s">
        <v>200</v>
      </c>
      <c r="B57" t="s">
        <v>201</v>
      </c>
      <c r="C57" t="s">
        <v>202</v>
      </c>
      <c r="D57" t="s">
        <v>202</v>
      </c>
      <c r="F57">
        <v>2021</v>
      </c>
      <c r="I57">
        <v>2020</v>
      </c>
      <c r="O57" s="2">
        <v>44197</v>
      </c>
      <c r="P57">
        <v>0.11840000000000001</v>
      </c>
      <c r="S57">
        <v>11.52</v>
      </c>
    </row>
    <row r="58" spans="1:19" x14ac:dyDescent="0.25">
      <c r="A58" t="s">
        <v>203</v>
      </c>
      <c r="B58" t="s">
        <v>204</v>
      </c>
      <c r="C58" t="s">
        <v>205</v>
      </c>
      <c r="D58" t="s">
        <v>205</v>
      </c>
      <c r="F58">
        <v>2024</v>
      </c>
      <c r="I58">
        <v>2020</v>
      </c>
      <c r="P58">
        <v>0.41</v>
      </c>
    </row>
    <row r="59" spans="1:19" x14ac:dyDescent="0.25">
      <c r="A59" t="s">
        <v>206</v>
      </c>
      <c r="B59" t="s">
        <v>207</v>
      </c>
      <c r="C59" t="s">
        <v>208</v>
      </c>
      <c r="D59" t="s">
        <v>209</v>
      </c>
      <c r="F59">
        <v>2024</v>
      </c>
      <c r="I59">
        <v>2020</v>
      </c>
      <c r="P59">
        <v>0.61799999999999999</v>
      </c>
    </row>
    <row r="60" spans="1:19" x14ac:dyDescent="0.25">
      <c r="A60" t="s">
        <v>210</v>
      </c>
      <c r="B60" t="s">
        <v>211</v>
      </c>
      <c r="C60" t="s">
        <v>212</v>
      </c>
      <c r="D60" t="s">
        <v>212</v>
      </c>
      <c r="F60">
        <v>2024</v>
      </c>
      <c r="I60">
        <v>2020</v>
      </c>
      <c r="P60">
        <v>0.78100000000000003</v>
      </c>
    </row>
    <row r="61" spans="1:19" x14ac:dyDescent="0.25">
      <c r="A61" t="s">
        <v>213</v>
      </c>
      <c r="B61" t="s">
        <v>111</v>
      </c>
      <c r="C61" t="s">
        <v>112</v>
      </c>
      <c r="D61" t="s">
        <v>112</v>
      </c>
      <c r="F61">
        <v>2024</v>
      </c>
      <c r="I61">
        <v>2020</v>
      </c>
      <c r="P61">
        <v>0.64300000000000002</v>
      </c>
    </row>
    <row r="62" spans="1:19" x14ac:dyDescent="0.25">
      <c r="A62" t="s">
        <v>214</v>
      </c>
      <c r="B62" t="s">
        <v>215</v>
      </c>
      <c r="C62" t="s">
        <v>216</v>
      </c>
      <c r="D62" t="s">
        <v>217</v>
      </c>
      <c r="F62">
        <v>2024</v>
      </c>
      <c r="I62">
        <v>2020</v>
      </c>
      <c r="P62">
        <v>0.88500000000000001</v>
      </c>
    </row>
    <row r="63" spans="1:19" x14ac:dyDescent="0.25">
      <c r="A63" t="s">
        <v>218</v>
      </c>
      <c r="B63" t="s">
        <v>219</v>
      </c>
      <c r="C63" t="s">
        <v>220</v>
      </c>
      <c r="D63" t="s">
        <v>220</v>
      </c>
      <c r="F63">
        <v>2024</v>
      </c>
      <c r="I63">
        <v>2020</v>
      </c>
      <c r="P63">
        <v>0.71799999999999997</v>
      </c>
    </row>
    <row r="64" spans="1:19" x14ac:dyDescent="0.25">
      <c r="A64" t="s">
        <v>221</v>
      </c>
      <c r="B64" t="s">
        <v>222</v>
      </c>
      <c r="C64" t="s">
        <v>223</v>
      </c>
      <c r="D64" t="s">
        <v>224</v>
      </c>
      <c r="F64">
        <v>2024</v>
      </c>
      <c r="I64">
        <v>2020</v>
      </c>
      <c r="P64">
        <v>0.24</v>
      </c>
    </row>
    <row r="65" spans="1:19" x14ac:dyDescent="0.25">
      <c r="A65" t="s">
        <v>225</v>
      </c>
      <c r="B65" t="s">
        <v>226</v>
      </c>
      <c r="C65" t="s">
        <v>227</v>
      </c>
      <c r="D65" t="s">
        <v>227</v>
      </c>
      <c r="F65">
        <v>2024</v>
      </c>
      <c r="I65">
        <v>2020</v>
      </c>
      <c r="P65">
        <v>0.94699999999999995</v>
      </c>
    </row>
    <row r="66" spans="1:19" x14ac:dyDescent="0.25">
      <c r="A66" t="s">
        <v>228</v>
      </c>
      <c r="B66" t="s">
        <v>229</v>
      </c>
      <c r="C66" t="s">
        <v>230</v>
      </c>
      <c r="D66" t="s">
        <v>231</v>
      </c>
      <c r="F66">
        <v>2024</v>
      </c>
      <c r="I66">
        <v>2020</v>
      </c>
      <c r="P66">
        <v>0.82699999999999996</v>
      </c>
    </row>
    <row r="67" spans="1:19" x14ac:dyDescent="0.25">
      <c r="A67" t="s">
        <v>232</v>
      </c>
      <c r="B67" t="s">
        <v>233</v>
      </c>
      <c r="C67" t="s">
        <v>234</v>
      </c>
      <c r="D67" t="s">
        <v>234</v>
      </c>
      <c r="P67">
        <v>0.95</v>
      </c>
    </row>
    <row r="68" spans="1:19" x14ac:dyDescent="0.25">
      <c r="A68" t="s">
        <v>235</v>
      </c>
      <c r="B68" t="s">
        <v>236</v>
      </c>
      <c r="C68" t="s">
        <v>237</v>
      </c>
      <c r="D68" t="s">
        <v>237</v>
      </c>
      <c r="F68">
        <v>2024</v>
      </c>
      <c r="I68">
        <v>2020</v>
      </c>
      <c r="P68">
        <v>0.75700000000000001</v>
      </c>
    </row>
    <row r="69" spans="1:19" x14ac:dyDescent="0.25">
      <c r="A69" t="s">
        <v>238</v>
      </c>
      <c r="B69" t="s">
        <v>239</v>
      </c>
      <c r="C69" t="s">
        <v>240</v>
      </c>
      <c r="D69" t="s">
        <v>240</v>
      </c>
      <c r="F69">
        <v>2024</v>
      </c>
      <c r="I69">
        <v>2020</v>
      </c>
      <c r="P69">
        <v>0.57999999999999996</v>
      </c>
    </row>
    <row r="70" spans="1:19" x14ac:dyDescent="0.25">
      <c r="A70" t="s">
        <v>241</v>
      </c>
      <c r="B70" t="s">
        <v>242</v>
      </c>
      <c r="C70" t="s">
        <v>243</v>
      </c>
      <c r="D70" t="s">
        <v>243</v>
      </c>
      <c r="F70">
        <v>2021</v>
      </c>
      <c r="I70">
        <v>2021</v>
      </c>
      <c r="O70" s="2">
        <v>44197</v>
      </c>
      <c r="P70">
        <v>1</v>
      </c>
      <c r="S70">
        <v>13.74</v>
      </c>
    </row>
    <row r="71" spans="1:19" x14ac:dyDescent="0.25">
      <c r="A71" t="s">
        <v>244</v>
      </c>
      <c r="B71" t="s">
        <v>147</v>
      </c>
      <c r="C71" t="s">
        <v>148</v>
      </c>
      <c r="D71" t="s">
        <v>148</v>
      </c>
    </row>
    <row r="72" spans="1:19" x14ac:dyDescent="0.25">
      <c r="A72" t="s">
        <v>245</v>
      </c>
      <c r="B72" t="s">
        <v>246</v>
      </c>
      <c r="C72" t="s">
        <v>247</v>
      </c>
      <c r="D72" t="s">
        <v>248</v>
      </c>
      <c r="P72">
        <v>0</v>
      </c>
    </row>
    <row r="73" spans="1:19" x14ac:dyDescent="0.25">
      <c r="A73" t="s">
        <v>249</v>
      </c>
      <c r="B73" t="s">
        <v>250</v>
      </c>
      <c r="C73" t="s">
        <v>251</v>
      </c>
      <c r="D73" t="s">
        <v>251</v>
      </c>
      <c r="F73">
        <v>2025</v>
      </c>
      <c r="I73">
        <v>2021</v>
      </c>
      <c r="O73" s="2">
        <v>45680</v>
      </c>
      <c r="P73">
        <v>0.97140000000000004</v>
      </c>
      <c r="S73">
        <v>21.92</v>
      </c>
    </row>
    <row r="74" spans="1:19" x14ac:dyDescent="0.25">
      <c r="A74" t="s">
        <v>252</v>
      </c>
      <c r="B74" t="s">
        <v>253</v>
      </c>
      <c r="C74" t="s">
        <v>254</v>
      </c>
      <c r="D74" t="s">
        <v>255</v>
      </c>
      <c r="F74">
        <v>2025</v>
      </c>
      <c r="I74">
        <v>2021</v>
      </c>
      <c r="O74" s="2">
        <v>45680</v>
      </c>
      <c r="P74">
        <v>0.71430000000000005</v>
      </c>
      <c r="S74">
        <v>19.600000000000001</v>
      </c>
    </row>
    <row r="75" spans="1:19" x14ac:dyDescent="0.25">
      <c r="A75" t="s">
        <v>256</v>
      </c>
      <c r="B75" t="s">
        <v>257</v>
      </c>
      <c r="C75" t="s">
        <v>258</v>
      </c>
      <c r="D75" t="s">
        <v>258</v>
      </c>
      <c r="F75">
        <v>2025</v>
      </c>
      <c r="I75">
        <v>2021</v>
      </c>
      <c r="O75" s="2">
        <v>45684</v>
      </c>
      <c r="P75">
        <v>0.78569999999999995</v>
      </c>
      <c r="S75">
        <v>21.88</v>
      </c>
    </row>
    <row r="76" spans="1:19" x14ac:dyDescent="0.25">
      <c r="A76" t="s">
        <v>259</v>
      </c>
      <c r="B76" t="s">
        <v>260</v>
      </c>
      <c r="C76" t="s">
        <v>261</v>
      </c>
      <c r="D76" t="s">
        <v>261</v>
      </c>
      <c r="F76">
        <v>2025</v>
      </c>
      <c r="I76">
        <v>2021</v>
      </c>
      <c r="O76" s="2">
        <v>45307</v>
      </c>
      <c r="P76">
        <v>0.99260000000000004</v>
      </c>
      <c r="S76">
        <v>27.88</v>
      </c>
    </row>
    <row r="77" spans="1:19" x14ac:dyDescent="0.25">
      <c r="A77" t="s">
        <v>262</v>
      </c>
      <c r="B77" t="s">
        <v>263</v>
      </c>
      <c r="C77" t="s">
        <v>264</v>
      </c>
      <c r="D77" t="s">
        <v>264</v>
      </c>
      <c r="F77">
        <v>2025</v>
      </c>
      <c r="I77">
        <v>2021</v>
      </c>
      <c r="O77" s="2">
        <v>45687</v>
      </c>
      <c r="P77">
        <v>0.70409999999999995</v>
      </c>
      <c r="S77">
        <v>10.199999999999999</v>
      </c>
    </row>
    <row r="78" spans="1:19" x14ac:dyDescent="0.25">
      <c r="A78" t="s">
        <v>265</v>
      </c>
      <c r="B78" t="s">
        <v>266</v>
      </c>
      <c r="C78" t="s">
        <v>267</v>
      </c>
      <c r="D78" t="s">
        <v>267</v>
      </c>
      <c r="F78">
        <v>2025</v>
      </c>
      <c r="I78">
        <v>2021</v>
      </c>
      <c r="O78" s="2">
        <v>45691</v>
      </c>
      <c r="P78">
        <v>0.98780000000000001</v>
      </c>
      <c r="S78">
        <v>23.51</v>
      </c>
    </row>
    <row r="79" spans="1:19" x14ac:dyDescent="0.25">
      <c r="A79" t="s">
        <v>268</v>
      </c>
      <c r="B79" t="s">
        <v>269</v>
      </c>
      <c r="C79" t="s">
        <v>270</v>
      </c>
      <c r="D79" t="s">
        <v>270</v>
      </c>
    </row>
    <row r="80" spans="1:19" x14ac:dyDescent="0.25">
      <c r="A80" t="s">
        <v>271</v>
      </c>
      <c r="B80" t="s">
        <v>272</v>
      </c>
      <c r="C80" t="s">
        <v>273</v>
      </c>
      <c r="D80" t="s">
        <v>273</v>
      </c>
    </row>
    <row r="81" spans="1:19" x14ac:dyDescent="0.25">
      <c r="A81" t="s">
        <v>274</v>
      </c>
      <c r="B81" t="s">
        <v>275</v>
      </c>
      <c r="C81" t="s">
        <v>276</v>
      </c>
      <c r="D81" t="s">
        <v>277</v>
      </c>
      <c r="F81">
        <v>2022</v>
      </c>
      <c r="I81">
        <v>2019</v>
      </c>
      <c r="O81" s="2">
        <v>44562</v>
      </c>
      <c r="P81">
        <v>0.27600000000000002</v>
      </c>
      <c r="S81">
        <v>3.04</v>
      </c>
    </row>
    <row r="82" spans="1:19" x14ac:dyDescent="0.25">
      <c r="A82" t="s">
        <v>278</v>
      </c>
      <c r="B82" t="s">
        <v>279</v>
      </c>
      <c r="C82" t="s">
        <v>280</v>
      </c>
      <c r="D82" t="s">
        <v>281</v>
      </c>
      <c r="F82">
        <v>2022</v>
      </c>
      <c r="I82">
        <v>2019</v>
      </c>
      <c r="O82" s="2">
        <v>44562</v>
      </c>
      <c r="P82">
        <v>0.5917</v>
      </c>
      <c r="S82">
        <v>7.37</v>
      </c>
    </row>
    <row r="83" spans="1:19" x14ac:dyDescent="0.25">
      <c r="A83" t="s">
        <v>282</v>
      </c>
      <c r="B83" t="s">
        <v>96</v>
      </c>
      <c r="C83" t="s">
        <v>97</v>
      </c>
      <c r="D83" t="s">
        <v>97</v>
      </c>
    </row>
    <row r="84" spans="1:19" x14ac:dyDescent="0.25">
      <c r="A84" t="s">
        <v>283</v>
      </c>
      <c r="B84" t="s">
        <v>284</v>
      </c>
      <c r="C84" t="s">
        <v>285</v>
      </c>
      <c r="D84" t="s">
        <v>285</v>
      </c>
      <c r="F84">
        <v>2021</v>
      </c>
      <c r="I84">
        <v>2019</v>
      </c>
      <c r="O84" s="2">
        <v>44197</v>
      </c>
      <c r="P84">
        <v>0.55630000000000002</v>
      </c>
      <c r="S84">
        <v>33.97</v>
      </c>
    </row>
    <row r="85" spans="1:19" x14ac:dyDescent="0.25">
      <c r="A85" t="s">
        <v>286</v>
      </c>
      <c r="B85" t="s">
        <v>50</v>
      </c>
      <c r="C85" t="s">
        <v>51</v>
      </c>
      <c r="D85" t="s">
        <v>52</v>
      </c>
    </row>
    <row r="86" spans="1:19" x14ac:dyDescent="0.25">
      <c r="A86" t="s">
        <v>287</v>
      </c>
      <c r="B86" t="s">
        <v>288</v>
      </c>
      <c r="C86" t="s">
        <v>289</v>
      </c>
      <c r="D86" t="s">
        <v>290</v>
      </c>
      <c r="F86">
        <v>2024</v>
      </c>
      <c r="I86">
        <v>2019</v>
      </c>
      <c r="P86">
        <v>0</v>
      </c>
    </row>
    <row r="87" spans="1:19" x14ac:dyDescent="0.25">
      <c r="A87" t="s">
        <v>291</v>
      </c>
      <c r="B87" t="s">
        <v>292</v>
      </c>
      <c r="C87" t="s">
        <v>293</v>
      </c>
      <c r="D87" t="s">
        <v>294</v>
      </c>
      <c r="F87">
        <v>2024</v>
      </c>
      <c r="I87">
        <v>2019</v>
      </c>
      <c r="P87">
        <v>0.6</v>
      </c>
    </row>
    <row r="88" spans="1:19" x14ac:dyDescent="0.25">
      <c r="A88" t="s">
        <v>295</v>
      </c>
      <c r="B88" t="s">
        <v>296</v>
      </c>
      <c r="C88" t="s">
        <v>297</v>
      </c>
      <c r="D88" t="s">
        <v>298</v>
      </c>
      <c r="F88">
        <v>2021</v>
      </c>
      <c r="I88">
        <v>2019</v>
      </c>
      <c r="O88" s="2">
        <v>44197</v>
      </c>
      <c r="P88">
        <v>0.41670000000000001</v>
      </c>
      <c r="S88">
        <v>33.409999999999997</v>
      </c>
    </row>
    <row r="89" spans="1:19" x14ac:dyDescent="0.25">
      <c r="A89" t="s">
        <v>299</v>
      </c>
      <c r="B89" t="s">
        <v>300</v>
      </c>
      <c r="C89" t="s">
        <v>301</v>
      </c>
      <c r="D89" t="s">
        <v>301</v>
      </c>
      <c r="F89">
        <v>2024</v>
      </c>
      <c r="I89">
        <v>2019</v>
      </c>
      <c r="P89">
        <v>0.70532954987550567</v>
      </c>
    </row>
    <row r="90" spans="1:19" x14ac:dyDescent="0.25">
      <c r="A90" t="s">
        <v>302</v>
      </c>
      <c r="B90" t="s">
        <v>303</v>
      </c>
      <c r="C90" t="s">
        <v>304</v>
      </c>
      <c r="D90" t="s">
        <v>304</v>
      </c>
    </row>
    <row r="91" spans="1:19" x14ac:dyDescent="0.25">
      <c r="A91" t="s">
        <v>305</v>
      </c>
      <c r="B91" t="s">
        <v>306</v>
      </c>
      <c r="C91" t="s">
        <v>307</v>
      </c>
      <c r="D91" t="s">
        <v>307</v>
      </c>
    </row>
    <row r="92" spans="1:19" x14ac:dyDescent="0.25">
      <c r="A92" t="s">
        <v>308</v>
      </c>
      <c r="B92" t="s">
        <v>309</v>
      </c>
      <c r="C92" t="s">
        <v>310</v>
      </c>
      <c r="D92" t="s">
        <v>310</v>
      </c>
      <c r="F92">
        <v>2025</v>
      </c>
      <c r="I92">
        <v>2021</v>
      </c>
      <c r="O92" s="2">
        <v>45691</v>
      </c>
      <c r="P92">
        <v>0.88460000000000005</v>
      </c>
      <c r="S92">
        <v>22.56</v>
      </c>
    </row>
    <row r="93" spans="1:19" x14ac:dyDescent="0.25">
      <c r="A93" t="s">
        <v>311</v>
      </c>
      <c r="B93" t="s">
        <v>312</v>
      </c>
      <c r="C93" t="s">
        <v>313</v>
      </c>
      <c r="D93" t="s">
        <v>314</v>
      </c>
    </row>
    <row r="94" spans="1:19" x14ac:dyDescent="0.25">
      <c r="A94" t="s">
        <v>315</v>
      </c>
      <c r="B94" t="s">
        <v>316</v>
      </c>
      <c r="C94" t="s">
        <v>317</v>
      </c>
      <c r="D94" t="s">
        <v>318</v>
      </c>
    </row>
    <row r="95" spans="1:19" x14ac:dyDescent="0.25">
      <c r="A95" t="s">
        <v>319</v>
      </c>
      <c r="B95" t="s">
        <v>320</v>
      </c>
      <c r="C95" t="s">
        <v>321</v>
      </c>
      <c r="D95" t="s">
        <v>322</v>
      </c>
    </row>
    <row r="96" spans="1:19" x14ac:dyDescent="0.25">
      <c r="A96" t="s">
        <v>323</v>
      </c>
      <c r="B96" t="s">
        <v>324</v>
      </c>
      <c r="C96" t="s">
        <v>325</v>
      </c>
      <c r="D96" t="s">
        <v>325</v>
      </c>
    </row>
    <row r="97" spans="1:19" x14ac:dyDescent="0.25">
      <c r="A97" t="s">
        <v>326</v>
      </c>
      <c r="B97" t="s">
        <v>327</v>
      </c>
      <c r="C97" t="s">
        <v>328</v>
      </c>
      <c r="D97" t="s">
        <v>328</v>
      </c>
    </row>
    <row r="98" spans="1:19" x14ac:dyDescent="0.25">
      <c r="A98" t="s">
        <v>329</v>
      </c>
      <c r="B98" t="s">
        <v>330</v>
      </c>
      <c r="C98" t="s">
        <v>331</v>
      </c>
      <c r="D98" t="s">
        <v>332</v>
      </c>
      <c r="F98">
        <v>2024</v>
      </c>
      <c r="I98">
        <v>2022</v>
      </c>
      <c r="P98">
        <v>0.98</v>
      </c>
    </row>
    <row r="99" spans="1:19" x14ac:dyDescent="0.25">
      <c r="A99" t="s">
        <v>333</v>
      </c>
      <c r="B99" t="s">
        <v>334</v>
      </c>
      <c r="C99" t="s">
        <v>335</v>
      </c>
      <c r="F99">
        <v>2024</v>
      </c>
      <c r="I99">
        <v>2022</v>
      </c>
      <c r="P99">
        <v>0.89270000000000005</v>
      </c>
    </row>
    <row r="100" spans="1:19" x14ac:dyDescent="0.25">
      <c r="A100" t="s">
        <v>336</v>
      </c>
      <c r="B100" t="s">
        <v>337</v>
      </c>
      <c r="C100" t="s">
        <v>338</v>
      </c>
      <c r="D100" t="s">
        <v>339</v>
      </c>
      <c r="F100">
        <v>2025</v>
      </c>
      <c r="I100">
        <v>2023</v>
      </c>
      <c r="O100" s="2">
        <v>45691</v>
      </c>
      <c r="P100">
        <v>0.94569999999999999</v>
      </c>
      <c r="S100">
        <v>21.82</v>
      </c>
    </row>
    <row r="101" spans="1:19" x14ac:dyDescent="0.25">
      <c r="A101" t="s">
        <v>340</v>
      </c>
      <c r="B101" t="s">
        <v>341</v>
      </c>
      <c r="C101" t="s">
        <v>342</v>
      </c>
      <c r="D101" t="s">
        <v>343</v>
      </c>
      <c r="F101">
        <v>2024</v>
      </c>
      <c r="P101">
        <v>1</v>
      </c>
    </row>
    <row r="102" spans="1:19" x14ac:dyDescent="0.25">
      <c r="A102" t="s">
        <v>344</v>
      </c>
      <c r="B102" t="s">
        <v>345</v>
      </c>
      <c r="C102" t="s">
        <v>346</v>
      </c>
      <c r="D102" t="s">
        <v>347</v>
      </c>
      <c r="F102">
        <v>2025</v>
      </c>
      <c r="I102">
        <v>2023</v>
      </c>
      <c r="O102" s="2">
        <v>45685</v>
      </c>
      <c r="P102">
        <v>0.84399999999999997</v>
      </c>
      <c r="S102">
        <v>22.16</v>
      </c>
    </row>
    <row r="103" spans="1:19" x14ac:dyDescent="0.25">
      <c r="A103" t="s">
        <v>348</v>
      </c>
      <c r="B103" t="s">
        <v>349</v>
      </c>
      <c r="C103" t="s">
        <v>350</v>
      </c>
      <c r="D103" t="s">
        <v>351</v>
      </c>
      <c r="P103">
        <v>1</v>
      </c>
    </row>
    <row r="104" spans="1:19" x14ac:dyDescent="0.25">
      <c r="A104" t="s">
        <v>352</v>
      </c>
      <c r="B104" t="s">
        <v>353</v>
      </c>
      <c r="C104" t="s">
        <v>354</v>
      </c>
      <c r="D104" t="s">
        <v>355</v>
      </c>
      <c r="F104">
        <v>2025</v>
      </c>
      <c r="I104">
        <v>2023</v>
      </c>
      <c r="P104">
        <v>0.94569999999999999</v>
      </c>
    </row>
    <row r="105" spans="1:19" x14ac:dyDescent="0.25">
      <c r="A105" t="s">
        <v>356</v>
      </c>
      <c r="B105" t="s">
        <v>357</v>
      </c>
      <c r="C105" t="s">
        <v>358</v>
      </c>
      <c r="D105" t="s">
        <v>358</v>
      </c>
      <c r="F105">
        <v>2024</v>
      </c>
      <c r="P105">
        <v>1</v>
      </c>
    </row>
    <row r="106" spans="1:19" x14ac:dyDescent="0.25">
      <c r="A106" t="s">
        <v>359</v>
      </c>
      <c r="B106" t="s">
        <v>360</v>
      </c>
      <c r="C106" t="s">
        <v>361</v>
      </c>
      <c r="D106" t="s">
        <v>361</v>
      </c>
      <c r="P106">
        <v>1</v>
      </c>
    </row>
    <row r="107" spans="1:19" x14ac:dyDescent="0.25">
      <c r="A107" t="s">
        <v>362</v>
      </c>
      <c r="B107" t="s">
        <v>363</v>
      </c>
      <c r="C107" t="s">
        <v>364</v>
      </c>
      <c r="F107">
        <v>2025</v>
      </c>
      <c r="I107">
        <v>2024</v>
      </c>
      <c r="O107" s="2">
        <v>45673</v>
      </c>
      <c r="P107">
        <v>0.84340000000000004</v>
      </c>
      <c r="S107">
        <v>14.69</v>
      </c>
    </row>
    <row r="108" spans="1:19" x14ac:dyDescent="0.25">
      <c r="A108" t="s">
        <v>365</v>
      </c>
      <c r="B108" t="s">
        <v>366</v>
      </c>
      <c r="C108" t="s">
        <v>367</v>
      </c>
      <c r="D108" t="s">
        <v>368</v>
      </c>
      <c r="P108">
        <v>1</v>
      </c>
    </row>
    <row r="109" spans="1:19" x14ac:dyDescent="0.25">
      <c r="A109" t="s">
        <v>369</v>
      </c>
      <c r="B109" t="s">
        <v>370</v>
      </c>
      <c r="C109" t="s">
        <v>371</v>
      </c>
      <c r="P109">
        <v>1</v>
      </c>
    </row>
    <row r="110" spans="1:19" x14ac:dyDescent="0.25">
      <c r="A110" t="s">
        <v>372</v>
      </c>
      <c r="B110" t="s">
        <v>334</v>
      </c>
      <c r="C110" t="s">
        <v>335</v>
      </c>
      <c r="P110">
        <v>1</v>
      </c>
    </row>
    <row r="111" spans="1:19" x14ac:dyDescent="0.25">
      <c r="A111" t="s">
        <v>373</v>
      </c>
      <c r="B111" t="s">
        <v>374</v>
      </c>
      <c r="C111" t="s">
        <v>375</v>
      </c>
      <c r="P111">
        <v>1</v>
      </c>
    </row>
    <row r="112" spans="1:19" x14ac:dyDescent="0.25">
      <c r="A112" t="s">
        <v>376</v>
      </c>
      <c r="B112" t="s">
        <v>377</v>
      </c>
      <c r="C112" t="s">
        <v>378</v>
      </c>
      <c r="D112" t="s">
        <v>379</v>
      </c>
      <c r="P112">
        <v>1</v>
      </c>
    </row>
    <row r="113" spans="1:19" x14ac:dyDescent="0.25">
      <c r="A113" t="s">
        <v>380</v>
      </c>
      <c r="B113" t="s">
        <v>381</v>
      </c>
      <c r="C113" t="s">
        <v>382</v>
      </c>
      <c r="D113" t="s">
        <v>382</v>
      </c>
      <c r="F113">
        <v>2024</v>
      </c>
      <c r="I113">
        <v>2019</v>
      </c>
      <c r="P113">
        <v>1</v>
      </c>
    </row>
    <row r="114" spans="1:19" x14ac:dyDescent="0.25">
      <c r="A114" t="s">
        <v>383</v>
      </c>
      <c r="B114" t="s">
        <v>384</v>
      </c>
      <c r="C114" t="s">
        <v>385</v>
      </c>
      <c r="D114" t="s">
        <v>385</v>
      </c>
    </row>
    <row r="115" spans="1:19" x14ac:dyDescent="0.25">
      <c r="A115" t="s">
        <v>386</v>
      </c>
      <c r="B115" t="s">
        <v>387</v>
      </c>
      <c r="C115" t="s">
        <v>388</v>
      </c>
      <c r="D115" t="s">
        <v>388</v>
      </c>
    </row>
    <row r="116" spans="1:19" x14ac:dyDescent="0.25">
      <c r="A116" t="s">
        <v>389</v>
      </c>
      <c r="B116" t="s">
        <v>390</v>
      </c>
      <c r="C116" t="s">
        <v>391</v>
      </c>
      <c r="D116" t="s">
        <v>391</v>
      </c>
    </row>
    <row r="117" spans="1:19" x14ac:dyDescent="0.25">
      <c r="A117" t="s">
        <v>392</v>
      </c>
      <c r="B117" t="s">
        <v>393</v>
      </c>
      <c r="C117" t="s">
        <v>394</v>
      </c>
      <c r="D117" t="s">
        <v>394</v>
      </c>
    </row>
    <row r="118" spans="1:19" x14ac:dyDescent="0.25">
      <c r="A118" t="s">
        <v>395</v>
      </c>
      <c r="B118" t="s">
        <v>396</v>
      </c>
      <c r="C118" t="s">
        <v>397</v>
      </c>
      <c r="D118" t="s">
        <v>397</v>
      </c>
      <c r="F118">
        <v>2022</v>
      </c>
      <c r="I118">
        <v>2019</v>
      </c>
      <c r="O118" s="2">
        <v>44562</v>
      </c>
      <c r="P118">
        <v>0.75109999999999999</v>
      </c>
      <c r="S118">
        <v>10.53</v>
      </c>
    </row>
    <row r="119" spans="1:19" x14ac:dyDescent="0.25">
      <c r="A119" t="s">
        <v>398</v>
      </c>
      <c r="B119" t="s">
        <v>399</v>
      </c>
      <c r="C119" t="s">
        <v>400</v>
      </c>
      <c r="D119" t="s">
        <v>400</v>
      </c>
      <c r="F119">
        <v>2022</v>
      </c>
      <c r="I119">
        <v>2019</v>
      </c>
      <c r="O119" s="2">
        <v>44562</v>
      </c>
      <c r="P119">
        <v>0.86670000000000003</v>
      </c>
      <c r="S119">
        <v>10.91</v>
      </c>
    </row>
    <row r="120" spans="1:19" x14ac:dyDescent="0.25">
      <c r="A120" t="s">
        <v>401</v>
      </c>
      <c r="B120" t="s">
        <v>402</v>
      </c>
      <c r="C120" t="s">
        <v>403</v>
      </c>
      <c r="D120" t="s">
        <v>403</v>
      </c>
    </row>
    <row r="121" spans="1:19" x14ac:dyDescent="0.25">
      <c r="A121" t="s">
        <v>404</v>
      </c>
      <c r="B121" t="s">
        <v>405</v>
      </c>
      <c r="C121" t="s">
        <v>406</v>
      </c>
      <c r="D121" t="s">
        <v>406</v>
      </c>
      <c r="F121">
        <v>2022</v>
      </c>
      <c r="I121">
        <v>2019</v>
      </c>
      <c r="O121" s="2">
        <v>44562</v>
      </c>
      <c r="P121">
        <v>0.8125</v>
      </c>
      <c r="S121">
        <v>6.34</v>
      </c>
    </row>
    <row r="122" spans="1:19" x14ac:dyDescent="0.25">
      <c r="A122" t="s">
        <v>407</v>
      </c>
      <c r="B122" t="s">
        <v>408</v>
      </c>
      <c r="C122" t="s">
        <v>409</v>
      </c>
      <c r="D122" t="s">
        <v>409</v>
      </c>
    </row>
    <row r="123" spans="1:19" x14ac:dyDescent="0.25">
      <c r="A123" t="s">
        <v>410</v>
      </c>
      <c r="B123" t="s">
        <v>411</v>
      </c>
      <c r="C123" t="s">
        <v>412</v>
      </c>
      <c r="D123" t="s">
        <v>413</v>
      </c>
      <c r="F123">
        <v>2022</v>
      </c>
      <c r="I123">
        <v>2019</v>
      </c>
      <c r="O123" s="2">
        <v>44562</v>
      </c>
      <c r="P123">
        <v>0.61760000000000004</v>
      </c>
      <c r="S123">
        <v>3.36</v>
      </c>
    </row>
    <row r="124" spans="1:19" x14ac:dyDescent="0.25">
      <c r="A124" t="s">
        <v>414</v>
      </c>
      <c r="B124" t="s">
        <v>415</v>
      </c>
      <c r="C124" t="s">
        <v>416</v>
      </c>
      <c r="D124" t="s">
        <v>416</v>
      </c>
      <c r="F124">
        <v>2021</v>
      </c>
      <c r="I124">
        <v>2020</v>
      </c>
      <c r="O124" s="2">
        <v>44197</v>
      </c>
      <c r="P124">
        <v>0.74360000000000004</v>
      </c>
      <c r="S124">
        <v>4.16</v>
      </c>
    </row>
    <row r="125" spans="1:19" x14ac:dyDescent="0.25">
      <c r="A125" t="s">
        <v>417</v>
      </c>
      <c r="B125" t="s">
        <v>418</v>
      </c>
      <c r="C125" t="s">
        <v>419</v>
      </c>
      <c r="D125" t="s">
        <v>420</v>
      </c>
      <c r="F125">
        <v>2021</v>
      </c>
      <c r="I125">
        <v>2020</v>
      </c>
      <c r="O125" s="2">
        <v>44197</v>
      </c>
      <c r="P125">
        <v>0.63870000000000005</v>
      </c>
      <c r="S125">
        <v>2.84</v>
      </c>
    </row>
    <row r="126" spans="1:19" x14ac:dyDescent="0.25">
      <c r="A126" t="s">
        <v>421</v>
      </c>
      <c r="B126" t="s">
        <v>422</v>
      </c>
      <c r="C126" t="s">
        <v>423</v>
      </c>
      <c r="D126" t="s">
        <v>424</v>
      </c>
      <c r="F126">
        <v>2024</v>
      </c>
      <c r="I126">
        <v>2020</v>
      </c>
      <c r="P126">
        <v>0.93</v>
      </c>
    </row>
    <row r="127" spans="1:19" x14ac:dyDescent="0.25">
      <c r="A127" t="s">
        <v>425</v>
      </c>
      <c r="B127" t="s">
        <v>426</v>
      </c>
      <c r="C127" t="s">
        <v>427</v>
      </c>
      <c r="D127" t="s">
        <v>427</v>
      </c>
    </row>
    <row r="128" spans="1:19" x14ac:dyDescent="0.25">
      <c r="A128" t="s">
        <v>428</v>
      </c>
      <c r="B128" t="s">
        <v>429</v>
      </c>
      <c r="C128" t="s">
        <v>430</v>
      </c>
      <c r="D128" t="s">
        <v>431</v>
      </c>
      <c r="F128">
        <v>2021</v>
      </c>
      <c r="I128">
        <v>2020</v>
      </c>
      <c r="O128" s="2">
        <v>44197</v>
      </c>
      <c r="P128">
        <v>0.83579999999999999</v>
      </c>
      <c r="S128">
        <v>7.2</v>
      </c>
    </row>
    <row r="129" spans="1:19" x14ac:dyDescent="0.25">
      <c r="A129" t="s">
        <v>432</v>
      </c>
      <c r="B129" t="s">
        <v>433</v>
      </c>
      <c r="C129" t="s">
        <v>434</v>
      </c>
      <c r="D129" t="s">
        <v>434</v>
      </c>
      <c r="F129">
        <v>2021</v>
      </c>
      <c r="I129">
        <v>2020</v>
      </c>
      <c r="O129" s="2">
        <v>44197</v>
      </c>
      <c r="P129">
        <v>0.76</v>
      </c>
      <c r="S129">
        <v>3.54</v>
      </c>
    </row>
    <row r="130" spans="1:19" x14ac:dyDescent="0.25">
      <c r="A130" t="s">
        <v>435</v>
      </c>
      <c r="B130" t="s">
        <v>436</v>
      </c>
      <c r="C130" t="s">
        <v>437</v>
      </c>
      <c r="D130" t="s">
        <v>438</v>
      </c>
      <c r="F130">
        <v>2024</v>
      </c>
      <c r="I130">
        <v>2020</v>
      </c>
      <c r="P130">
        <v>0.94099999999999995</v>
      </c>
    </row>
    <row r="131" spans="1:19" x14ac:dyDescent="0.25">
      <c r="A131" t="s">
        <v>439</v>
      </c>
      <c r="B131" t="s">
        <v>440</v>
      </c>
      <c r="C131" t="s">
        <v>441</v>
      </c>
      <c r="D131" t="s">
        <v>442</v>
      </c>
    </row>
    <row r="132" spans="1:19" x14ac:dyDescent="0.25">
      <c r="A132" t="s">
        <v>443</v>
      </c>
      <c r="B132" t="s">
        <v>444</v>
      </c>
      <c r="C132" t="s">
        <v>445</v>
      </c>
      <c r="D132" t="s">
        <v>445</v>
      </c>
    </row>
    <row r="133" spans="1:19" x14ac:dyDescent="0.25">
      <c r="A133" t="s">
        <v>446</v>
      </c>
      <c r="B133" t="s">
        <v>447</v>
      </c>
      <c r="C133" t="s">
        <v>448</v>
      </c>
      <c r="D133" t="s">
        <v>448</v>
      </c>
      <c r="F133">
        <v>2021</v>
      </c>
      <c r="I133">
        <v>2020</v>
      </c>
      <c r="O133" s="2">
        <v>44197</v>
      </c>
      <c r="P133">
        <v>0.82950000000000002</v>
      </c>
      <c r="S133">
        <v>4.1900000000000004</v>
      </c>
    </row>
    <row r="134" spans="1:19" x14ac:dyDescent="0.25">
      <c r="A134" t="s">
        <v>449</v>
      </c>
      <c r="B134" t="s">
        <v>393</v>
      </c>
      <c r="C134" t="s">
        <v>394</v>
      </c>
      <c r="D134" t="s">
        <v>394</v>
      </c>
    </row>
    <row r="135" spans="1:19" x14ac:dyDescent="0.25">
      <c r="A135" t="s">
        <v>450</v>
      </c>
      <c r="B135" t="s">
        <v>451</v>
      </c>
      <c r="C135" t="s">
        <v>452</v>
      </c>
      <c r="D135" t="s">
        <v>452</v>
      </c>
      <c r="F135">
        <v>2021</v>
      </c>
      <c r="I135">
        <v>2020</v>
      </c>
      <c r="O135" s="2">
        <v>44197</v>
      </c>
      <c r="P135">
        <v>0.68940000000000001</v>
      </c>
      <c r="S135">
        <v>2.83</v>
      </c>
    </row>
    <row r="136" spans="1:19" x14ac:dyDescent="0.25">
      <c r="A136" t="s">
        <v>453</v>
      </c>
      <c r="B136" t="s">
        <v>454</v>
      </c>
      <c r="C136" t="s">
        <v>455</v>
      </c>
      <c r="D136" t="s">
        <v>455</v>
      </c>
      <c r="P136">
        <v>0.82858216683583918</v>
      </c>
    </row>
    <row r="137" spans="1:19" x14ac:dyDescent="0.25">
      <c r="A137" t="s">
        <v>456</v>
      </c>
      <c r="B137" t="s">
        <v>454</v>
      </c>
      <c r="C137" t="s">
        <v>455</v>
      </c>
      <c r="D137" t="s">
        <v>455</v>
      </c>
      <c r="F137">
        <v>2025</v>
      </c>
      <c r="I137">
        <v>2021</v>
      </c>
      <c r="O137" s="2">
        <v>45705</v>
      </c>
      <c r="P137">
        <v>0.74439999999999995</v>
      </c>
      <c r="S137">
        <v>7.35</v>
      </c>
    </row>
    <row r="138" spans="1:19" x14ac:dyDescent="0.25">
      <c r="A138" t="s">
        <v>457</v>
      </c>
      <c r="B138" t="s">
        <v>458</v>
      </c>
      <c r="C138" t="s">
        <v>459</v>
      </c>
      <c r="D138" t="s">
        <v>459</v>
      </c>
      <c r="F138">
        <v>2022</v>
      </c>
      <c r="I138">
        <v>2020</v>
      </c>
      <c r="O138" s="2">
        <v>44562</v>
      </c>
      <c r="P138">
        <v>0.59309999999999996</v>
      </c>
      <c r="S138">
        <v>5.54</v>
      </c>
    </row>
    <row r="139" spans="1:19" x14ac:dyDescent="0.25">
      <c r="A139" t="s">
        <v>460</v>
      </c>
      <c r="B139" t="s">
        <v>461</v>
      </c>
      <c r="C139" t="s">
        <v>462</v>
      </c>
      <c r="D139" t="s">
        <v>463</v>
      </c>
    </row>
    <row r="140" spans="1:19" x14ac:dyDescent="0.25">
      <c r="A140" t="s">
        <v>464</v>
      </c>
      <c r="B140" t="s">
        <v>465</v>
      </c>
      <c r="C140" t="s">
        <v>466</v>
      </c>
      <c r="D140" t="s">
        <v>467</v>
      </c>
      <c r="F140">
        <v>2022</v>
      </c>
      <c r="I140">
        <v>2020</v>
      </c>
      <c r="O140" s="2">
        <v>44562</v>
      </c>
      <c r="P140">
        <v>0.99350000000000005</v>
      </c>
      <c r="S140">
        <v>4.12</v>
      </c>
    </row>
    <row r="141" spans="1:19" x14ac:dyDescent="0.25">
      <c r="A141" t="s">
        <v>468</v>
      </c>
      <c r="B141" t="s">
        <v>469</v>
      </c>
      <c r="C141" t="s">
        <v>470</v>
      </c>
      <c r="D141" t="s">
        <v>470</v>
      </c>
      <c r="F141">
        <v>2022</v>
      </c>
      <c r="I141">
        <v>2020</v>
      </c>
      <c r="O141" s="2">
        <v>44562</v>
      </c>
      <c r="P141">
        <v>0.91180000000000005</v>
      </c>
      <c r="S141">
        <v>5.93</v>
      </c>
    </row>
    <row r="142" spans="1:19" x14ac:dyDescent="0.25">
      <c r="A142" t="s">
        <v>471</v>
      </c>
      <c r="B142" t="s">
        <v>411</v>
      </c>
      <c r="C142" t="s">
        <v>412</v>
      </c>
      <c r="D142" t="s">
        <v>413</v>
      </c>
      <c r="F142">
        <v>2025</v>
      </c>
      <c r="I142">
        <v>2021</v>
      </c>
      <c r="O142" s="2">
        <v>45713</v>
      </c>
      <c r="P142">
        <v>0.8</v>
      </c>
      <c r="S142">
        <v>16.100000000000001</v>
      </c>
    </row>
    <row r="143" spans="1:19" x14ac:dyDescent="0.25">
      <c r="A143" t="s">
        <v>472</v>
      </c>
      <c r="B143" t="s">
        <v>381</v>
      </c>
      <c r="C143" t="s">
        <v>382</v>
      </c>
      <c r="D143" t="s">
        <v>382</v>
      </c>
      <c r="F143">
        <v>2025</v>
      </c>
      <c r="I143">
        <v>2021</v>
      </c>
      <c r="O143" s="2">
        <v>45686</v>
      </c>
      <c r="P143">
        <v>0.9032</v>
      </c>
      <c r="S143">
        <v>27.52</v>
      </c>
    </row>
    <row r="144" spans="1:19" x14ac:dyDescent="0.25">
      <c r="A144" t="s">
        <v>473</v>
      </c>
      <c r="B144" t="s">
        <v>474</v>
      </c>
      <c r="C144" t="s">
        <v>475</v>
      </c>
      <c r="D144" t="s">
        <v>476</v>
      </c>
      <c r="F144">
        <v>2025</v>
      </c>
      <c r="I144">
        <v>2021</v>
      </c>
      <c r="O144" s="2">
        <v>45733</v>
      </c>
      <c r="P144">
        <v>0.75149999999999995</v>
      </c>
      <c r="S144">
        <v>8.18</v>
      </c>
    </row>
    <row r="145" spans="1:19" x14ac:dyDescent="0.25">
      <c r="A145" t="s">
        <v>477</v>
      </c>
      <c r="B145" t="s">
        <v>474</v>
      </c>
      <c r="C145" t="s">
        <v>475</v>
      </c>
      <c r="D145" t="s">
        <v>476</v>
      </c>
      <c r="F145">
        <v>2024</v>
      </c>
      <c r="I145">
        <v>2022</v>
      </c>
      <c r="O145" s="2">
        <v>45568</v>
      </c>
      <c r="P145">
        <v>0.82230000000000003</v>
      </c>
      <c r="S145">
        <v>9.73</v>
      </c>
    </row>
    <row r="146" spans="1:19" x14ac:dyDescent="0.25">
      <c r="A146" t="s">
        <v>478</v>
      </c>
      <c r="B146" t="s">
        <v>474</v>
      </c>
      <c r="C146" t="s">
        <v>475</v>
      </c>
      <c r="D146" t="s">
        <v>476</v>
      </c>
      <c r="P146">
        <v>1</v>
      </c>
    </row>
    <row r="147" spans="1:19" x14ac:dyDescent="0.25">
      <c r="A147" t="s">
        <v>479</v>
      </c>
      <c r="B147" t="s">
        <v>422</v>
      </c>
      <c r="C147" t="s">
        <v>423</v>
      </c>
      <c r="D147" t="s">
        <v>424</v>
      </c>
      <c r="F147">
        <v>2021</v>
      </c>
      <c r="I147">
        <v>2021</v>
      </c>
      <c r="O147" s="2">
        <v>44197</v>
      </c>
      <c r="P147">
        <v>0.87129999999999996</v>
      </c>
      <c r="S147">
        <v>2.66</v>
      </c>
    </row>
    <row r="148" spans="1:19" x14ac:dyDescent="0.25">
      <c r="A148" t="s">
        <v>480</v>
      </c>
      <c r="B148" t="s">
        <v>426</v>
      </c>
      <c r="C148" t="s">
        <v>427</v>
      </c>
      <c r="D148" t="s">
        <v>427</v>
      </c>
      <c r="F148">
        <v>2025</v>
      </c>
      <c r="I148">
        <v>2021</v>
      </c>
      <c r="O148" s="2">
        <v>45685</v>
      </c>
      <c r="P148">
        <v>0.74490000000000001</v>
      </c>
      <c r="S148">
        <v>22.45</v>
      </c>
    </row>
    <row r="149" spans="1:19" x14ac:dyDescent="0.25">
      <c r="A149" t="s">
        <v>481</v>
      </c>
      <c r="B149" t="s">
        <v>482</v>
      </c>
      <c r="C149" t="s">
        <v>483</v>
      </c>
      <c r="D149" t="s">
        <v>483</v>
      </c>
      <c r="F149">
        <v>2025</v>
      </c>
      <c r="I149">
        <v>2021</v>
      </c>
      <c r="O149" s="2">
        <v>45738</v>
      </c>
      <c r="P149">
        <v>0.92859999999999998</v>
      </c>
      <c r="S149">
        <v>21.03</v>
      </c>
    </row>
    <row r="150" spans="1:19" x14ac:dyDescent="0.25">
      <c r="A150" t="s">
        <v>484</v>
      </c>
      <c r="B150" t="s">
        <v>485</v>
      </c>
      <c r="C150" t="s">
        <v>486</v>
      </c>
      <c r="D150" t="s">
        <v>487</v>
      </c>
      <c r="F150">
        <v>2025</v>
      </c>
      <c r="I150">
        <v>2021</v>
      </c>
      <c r="O150" s="2">
        <v>45691</v>
      </c>
      <c r="P150">
        <v>0.91779999999999995</v>
      </c>
      <c r="S150">
        <v>14.83</v>
      </c>
    </row>
    <row r="151" spans="1:19" x14ac:dyDescent="0.25">
      <c r="A151" t="s">
        <v>488</v>
      </c>
      <c r="B151" t="s">
        <v>489</v>
      </c>
      <c r="C151" t="s">
        <v>490</v>
      </c>
      <c r="D151" t="s">
        <v>491</v>
      </c>
      <c r="F151">
        <v>2025</v>
      </c>
      <c r="I151">
        <v>2021</v>
      </c>
      <c r="O151" s="2">
        <v>45678</v>
      </c>
      <c r="P151">
        <v>0.91669999999999996</v>
      </c>
      <c r="S151">
        <v>10.18</v>
      </c>
    </row>
    <row r="152" spans="1:19" x14ac:dyDescent="0.25">
      <c r="A152" t="s">
        <v>492</v>
      </c>
      <c r="B152" t="s">
        <v>493</v>
      </c>
      <c r="C152" t="s">
        <v>494</v>
      </c>
      <c r="D152" t="s">
        <v>494</v>
      </c>
      <c r="F152">
        <v>2025</v>
      </c>
      <c r="I152">
        <v>2021</v>
      </c>
      <c r="O152" s="2">
        <v>45727</v>
      </c>
      <c r="P152">
        <v>0.9577</v>
      </c>
      <c r="S152">
        <v>8.1</v>
      </c>
    </row>
    <row r="153" spans="1:19" x14ac:dyDescent="0.25">
      <c r="A153" t="s">
        <v>495</v>
      </c>
      <c r="B153" t="s">
        <v>396</v>
      </c>
      <c r="C153" t="s">
        <v>397</v>
      </c>
      <c r="D153" t="s">
        <v>397</v>
      </c>
      <c r="F153">
        <v>2025</v>
      </c>
      <c r="I153">
        <v>2021</v>
      </c>
      <c r="O153" s="2">
        <v>45706</v>
      </c>
      <c r="P153">
        <v>0.79620000000000002</v>
      </c>
      <c r="S153">
        <v>17.149999999999999</v>
      </c>
    </row>
    <row r="154" spans="1:19" x14ac:dyDescent="0.25">
      <c r="A154" t="s">
        <v>496</v>
      </c>
      <c r="B154" t="s">
        <v>458</v>
      </c>
      <c r="C154" t="s">
        <v>459</v>
      </c>
      <c r="D154" t="s">
        <v>459</v>
      </c>
      <c r="F154">
        <v>2022</v>
      </c>
      <c r="I154">
        <v>2021</v>
      </c>
      <c r="O154" s="2">
        <v>44562</v>
      </c>
      <c r="P154">
        <v>0.59309999999999996</v>
      </c>
      <c r="S154">
        <v>5.54</v>
      </c>
    </row>
    <row r="155" spans="1:19" x14ac:dyDescent="0.25">
      <c r="A155" t="s">
        <v>497</v>
      </c>
      <c r="B155" t="s">
        <v>399</v>
      </c>
      <c r="C155" t="s">
        <v>400</v>
      </c>
      <c r="D155" t="s">
        <v>400</v>
      </c>
      <c r="F155">
        <v>2025</v>
      </c>
      <c r="I155">
        <v>2021</v>
      </c>
      <c r="O155" s="2">
        <v>45728</v>
      </c>
      <c r="P155">
        <v>1</v>
      </c>
      <c r="S155">
        <v>24.93</v>
      </c>
    </row>
    <row r="156" spans="1:19" x14ac:dyDescent="0.25">
      <c r="A156" t="s">
        <v>498</v>
      </c>
      <c r="B156" t="s">
        <v>499</v>
      </c>
      <c r="C156" t="s">
        <v>500</v>
      </c>
      <c r="D156" t="s">
        <v>501</v>
      </c>
      <c r="F156">
        <v>2024</v>
      </c>
      <c r="I156">
        <v>2022</v>
      </c>
      <c r="P156">
        <v>0.93500000000000005</v>
      </c>
    </row>
    <row r="157" spans="1:19" x14ac:dyDescent="0.25">
      <c r="A157" t="s">
        <v>502</v>
      </c>
      <c r="B157" t="s">
        <v>454</v>
      </c>
      <c r="C157" t="s">
        <v>455</v>
      </c>
      <c r="D157" t="s">
        <v>455</v>
      </c>
      <c r="F157">
        <v>2024</v>
      </c>
      <c r="I157">
        <v>2022</v>
      </c>
      <c r="P157">
        <v>0.85499999999999998</v>
      </c>
    </row>
    <row r="158" spans="1:19" x14ac:dyDescent="0.25">
      <c r="A158" t="s">
        <v>503</v>
      </c>
      <c r="B158" t="s">
        <v>465</v>
      </c>
      <c r="C158" t="s">
        <v>466</v>
      </c>
      <c r="D158" t="s">
        <v>467</v>
      </c>
      <c r="F158">
        <v>2024</v>
      </c>
      <c r="I158">
        <v>2022</v>
      </c>
      <c r="P158">
        <v>0.97599999999999998</v>
      </c>
    </row>
    <row r="159" spans="1:19" x14ac:dyDescent="0.25">
      <c r="A159" t="s">
        <v>504</v>
      </c>
      <c r="B159" t="s">
        <v>433</v>
      </c>
      <c r="C159" t="s">
        <v>434</v>
      </c>
      <c r="D159" t="s">
        <v>434</v>
      </c>
      <c r="F159">
        <v>2025</v>
      </c>
      <c r="I159">
        <v>2023</v>
      </c>
      <c r="O159" s="2">
        <v>45671</v>
      </c>
      <c r="P159">
        <v>0.875</v>
      </c>
      <c r="S159">
        <v>22.37</v>
      </c>
    </row>
    <row r="160" spans="1:19" x14ac:dyDescent="0.25">
      <c r="A160" t="s">
        <v>505</v>
      </c>
      <c r="B160" t="s">
        <v>499</v>
      </c>
      <c r="C160" t="s">
        <v>500</v>
      </c>
      <c r="D160" t="s">
        <v>501</v>
      </c>
      <c r="F160">
        <v>2025</v>
      </c>
      <c r="I160">
        <v>2023</v>
      </c>
      <c r="O160" s="2">
        <v>45672</v>
      </c>
      <c r="P160">
        <v>0.77680000000000005</v>
      </c>
      <c r="S160">
        <v>15.01</v>
      </c>
    </row>
    <row r="161" spans="1:19" x14ac:dyDescent="0.25">
      <c r="A161" t="s">
        <v>506</v>
      </c>
      <c r="B161" t="s">
        <v>507</v>
      </c>
      <c r="C161" t="s">
        <v>508</v>
      </c>
      <c r="D161" t="s">
        <v>508</v>
      </c>
    </row>
    <row r="162" spans="1:19" x14ac:dyDescent="0.25">
      <c r="A162" t="s">
        <v>509</v>
      </c>
      <c r="B162" t="s">
        <v>510</v>
      </c>
      <c r="C162" t="s">
        <v>511</v>
      </c>
      <c r="D162" t="s">
        <v>511</v>
      </c>
    </row>
    <row r="163" spans="1:19" x14ac:dyDescent="0.25">
      <c r="A163" t="s">
        <v>512</v>
      </c>
      <c r="B163" t="s">
        <v>513</v>
      </c>
      <c r="C163" t="s">
        <v>514</v>
      </c>
      <c r="D163" t="s">
        <v>514</v>
      </c>
      <c r="F163">
        <v>2024</v>
      </c>
      <c r="I163">
        <v>2021</v>
      </c>
      <c r="P163">
        <v>0</v>
      </c>
    </row>
    <row r="164" spans="1:19" x14ac:dyDescent="0.25">
      <c r="A164" t="s">
        <v>515</v>
      </c>
      <c r="B164" t="s">
        <v>516</v>
      </c>
      <c r="C164" t="s">
        <v>517</v>
      </c>
      <c r="D164" t="s">
        <v>518</v>
      </c>
    </row>
    <row r="165" spans="1:19" x14ac:dyDescent="0.25">
      <c r="A165" t="s">
        <v>519</v>
      </c>
      <c r="B165" t="s">
        <v>520</v>
      </c>
      <c r="C165" t="s">
        <v>521</v>
      </c>
      <c r="D165" t="s">
        <v>521</v>
      </c>
      <c r="P165">
        <v>0.95</v>
      </c>
    </row>
    <row r="166" spans="1:19" x14ac:dyDescent="0.25">
      <c r="A166" t="s">
        <v>522</v>
      </c>
      <c r="B166" t="s">
        <v>523</v>
      </c>
      <c r="C166" t="s">
        <v>524</v>
      </c>
      <c r="D166" t="s">
        <v>524</v>
      </c>
    </row>
    <row r="167" spans="1:19" x14ac:dyDescent="0.25">
      <c r="A167" t="s">
        <v>525</v>
      </c>
      <c r="B167" t="s">
        <v>523</v>
      </c>
      <c r="C167" t="s">
        <v>524</v>
      </c>
      <c r="D167" t="s">
        <v>524</v>
      </c>
    </row>
    <row r="168" spans="1:19" x14ac:dyDescent="0.25">
      <c r="A168" t="s">
        <v>526</v>
      </c>
      <c r="B168" t="s">
        <v>527</v>
      </c>
      <c r="C168" t="s">
        <v>528</v>
      </c>
      <c r="D168" t="s">
        <v>529</v>
      </c>
    </row>
    <row r="169" spans="1:19" x14ac:dyDescent="0.25">
      <c r="A169" t="s">
        <v>530</v>
      </c>
      <c r="B169" t="s">
        <v>531</v>
      </c>
      <c r="C169" t="s">
        <v>532</v>
      </c>
      <c r="D169" t="s">
        <v>532</v>
      </c>
      <c r="F169">
        <v>2022</v>
      </c>
      <c r="I169">
        <v>2021</v>
      </c>
      <c r="O169" s="2">
        <v>44562</v>
      </c>
      <c r="P169">
        <v>0.76859999999999995</v>
      </c>
      <c r="S169">
        <v>3.73</v>
      </c>
    </row>
    <row r="170" spans="1:19" x14ac:dyDescent="0.25">
      <c r="A170" t="s">
        <v>533</v>
      </c>
      <c r="B170" t="s">
        <v>534</v>
      </c>
      <c r="C170" t="s">
        <v>535</v>
      </c>
      <c r="D170" t="s">
        <v>536</v>
      </c>
    </row>
    <row r="171" spans="1:19" x14ac:dyDescent="0.25">
      <c r="A171" t="s">
        <v>537</v>
      </c>
      <c r="B171" t="s">
        <v>538</v>
      </c>
      <c r="C171" t="s">
        <v>539</v>
      </c>
      <c r="D171" t="s">
        <v>540</v>
      </c>
      <c r="F171">
        <v>2021</v>
      </c>
      <c r="I171">
        <v>2020</v>
      </c>
      <c r="O171" s="2">
        <v>44197</v>
      </c>
      <c r="P171">
        <v>0.74409999999999998</v>
      </c>
      <c r="S171">
        <v>3.29</v>
      </c>
    </row>
    <row r="172" spans="1:19" x14ac:dyDescent="0.25">
      <c r="A172" t="s">
        <v>541</v>
      </c>
      <c r="B172" t="s">
        <v>542</v>
      </c>
      <c r="C172" t="s">
        <v>543</v>
      </c>
      <c r="D172" t="s">
        <v>543</v>
      </c>
      <c r="F172">
        <v>2024</v>
      </c>
      <c r="I172">
        <v>2020</v>
      </c>
      <c r="P172">
        <v>0.34</v>
      </c>
    </row>
    <row r="173" spans="1:19" x14ac:dyDescent="0.25">
      <c r="A173" t="s">
        <v>544</v>
      </c>
      <c r="B173" t="s">
        <v>545</v>
      </c>
      <c r="C173" t="s">
        <v>546</v>
      </c>
      <c r="D173" t="s">
        <v>546</v>
      </c>
      <c r="F173">
        <v>2021</v>
      </c>
      <c r="I173">
        <v>2020</v>
      </c>
      <c r="O173" s="2">
        <v>44197</v>
      </c>
      <c r="P173">
        <v>0.90590000000000004</v>
      </c>
      <c r="S173">
        <v>11.78</v>
      </c>
    </row>
    <row r="174" spans="1:19" x14ac:dyDescent="0.25">
      <c r="A174" t="s">
        <v>547</v>
      </c>
      <c r="B174" t="s">
        <v>548</v>
      </c>
      <c r="C174" t="s">
        <v>549</v>
      </c>
      <c r="D174" t="s">
        <v>550</v>
      </c>
      <c r="F174">
        <v>2021</v>
      </c>
      <c r="I174">
        <v>2020</v>
      </c>
      <c r="O174" s="2">
        <v>44197</v>
      </c>
      <c r="P174">
        <v>0.57779999999999998</v>
      </c>
      <c r="S174">
        <v>3.74</v>
      </c>
    </row>
    <row r="175" spans="1:19" x14ac:dyDescent="0.25">
      <c r="A175" t="s">
        <v>551</v>
      </c>
      <c r="B175" t="s">
        <v>552</v>
      </c>
      <c r="C175" t="s">
        <v>553</v>
      </c>
      <c r="D175" t="s">
        <v>553</v>
      </c>
    </row>
    <row r="176" spans="1:19" x14ac:dyDescent="0.25">
      <c r="A176" t="s">
        <v>554</v>
      </c>
      <c r="B176" t="s">
        <v>555</v>
      </c>
      <c r="C176" t="s">
        <v>556</v>
      </c>
      <c r="D176" t="s">
        <v>556</v>
      </c>
    </row>
    <row r="177" spans="1:19" x14ac:dyDescent="0.25">
      <c r="A177" t="s">
        <v>557</v>
      </c>
      <c r="B177" t="s">
        <v>558</v>
      </c>
      <c r="C177" t="s">
        <v>559</v>
      </c>
      <c r="D177" t="s">
        <v>559</v>
      </c>
    </row>
    <row r="178" spans="1:19" x14ac:dyDescent="0.25">
      <c r="A178" t="s">
        <v>560</v>
      </c>
      <c r="B178" t="s">
        <v>561</v>
      </c>
      <c r="C178" t="s">
        <v>562</v>
      </c>
      <c r="D178" t="s">
        <v>562</v>
      </c>
      <c r="F178">
        <v>2021</v>
      </c>
      <c r="I178">
        <v>2020</v>
      </c>
      <c r="O178" s="2">
        <v>44197</v>
      </c>
      <c r="P178">
        <v>0.90680000000000005</v>
      </c>
      <c r="S178">
        <v>3.62</v>
      </c>
    </row>
    <row r="179" spans="1:19" x14ac:dyDescent="0.25">
      <c r="A179" t="s">
        <v>563</v>
      </c>
      <c r="B179" t="s">
        <v>564</v>
      </c>
      <c r="C179" t="s">
        <v>565</v>
      </c>
      <c r="D179" t="s">
        <v>565</v>
      </c>
      <c r="F179">
        <v>2021</v>
      </c>
      <c r="I179">
        <v>2020</v>
      </c>
      <c r="O179" s="2">
        <v>44197</v>
      </c>
      <c r="P179">
        <v>0.76649999999999996</v>
      </c>
      <c r="S179">
        <v>10</v>
      </c>
    </row>
    <row r="180" spans="1:19" x14ac:dyDescent="0.25">
      <c r="A180" t="s">
        <v>566</v>
      </c>
      <c r="B180" t="s">
        <v>567</v>
      </c>
      <c r="C180" t="s">
        <v>568</v>
      </c>
      <c r="D180" t="s">
        <v>568</v>
      </c>
    </row>
    <row r="181" spans="1:19" x14ac:dyDescent="0.25">
      <c r="A181" t="s">
        <v>569</v>
      </c>
      <c r="B181" t="s">
        <v>570</v>
      </c>
      <c r="C181" t="s">
        <v>571</v>
      </c>
      <c r="D181" t="s">
        <v>571</v>
      </c>
      <c r="F181">
        <v>2024</v>
      </c>
      <c r="I181">
        <v>2021</v>
      </c>
      <c r="P181">
        <v>0</v>
      </c>
    </row>
    <row r="182" spans="1:19" x14ac:dyDescent="0.25">
      <c r="A182" t="s">
        <v>572</v>
      </c>
      <c r="B182" t="s">
        <v>573</v>
      </c>
      <c r="C182" t="s">
        <v>574</v>
      </c>
      <c r="D182" t="s">
        <v>574</v>
      </c>
      <c r="F182">
        <v>2025</v>
      </c>
      <c r="I182">
        <v>2021</v>
      </c>
      <c r="O182" s="2">
        <v>45739</v>
      </c>
      <c r="P182">
        <v>5.4100000000000002E-2</v>
      </c>
      <c r="S182">
        <v>10.71</v>
      </c>
    </row>
    <row r="183" spans="1:19" x14ac:dyDescent="0.25">
      <c r="A183" t="s">
        <v>575</v>
      </c>
      <c r="B183" t="s">
        <v>576</v>
      </c>
      <c r="C183" t="s">
        <v>577</v>
      </c>
      <c r="D183" t="s">
        <v>577</v>
      </c>
      <c r="F183">
        <v>2022</v>
      </c>
      <c r="I183">
        <v>2021</v>
      </c>
      <c r="O183" s="2">
        <v>44562</v>
      </c>
      <c r="P183">
        <v>0.79330000000000001</v>
      </c>
      <c r="S183">
        <v>3.34</v>
      </c>
    </row>
    <row r="184" spans="1:19" x14ac:dyDescent="0.25">
      <c r="A184" t="s">
        <v>578</v>
      </c>
      <c r="B184" t="s">
        <v>579</v>
      </c>
      <c r="C184" t="s">
        <v>580</v>
      </c>
      <c r="D184" t="s">
        <v>581</v>
      </c>
      <c r="F184">
        <v>2022</v>
      </c>
      <c r="I184">
        <v>2021</v>
      </c>
      <c r="O184" s="2">
        <v>44562</v>
      </c>
      <c r="P184">
        <v>0</v>
      </c>
      <c r="S184">
        <v>0</v>
      </c>
    </row>
    <row r="185" spans="1:19" x14ac:dyDescent="0.25">
      <c r="A185" t="s">
        <v>582</v>
      </c>
      <c r="B185" t="s">
        <v>583</v>
      </c>
      <c r="C185" t="s">
        <v>584</v>
      </c>
      <c r="D185" t="s">
        <v>585</v>
      </c>
      <c r="F185">
        <v>2024</v>
      </c>
      <c r="I185">
        <v>2021</v>
      </c>
      <c r="P185">
        <v>0</v>
      </c>
    </row>
    <row r="186" spans="1:19" x14ac:dyDescent="0.25">
      <c r="A186" t="s">
        <v>586</v>
      </c>
      <c r="B186" t="s">
        <v>587</v>
      </c>
      <c r="C186" t="s">
        <v>588</v>
      </c>
      <c r="D186" t="s">
        <v>588</v>
      </c>
      <c r="F186">
        <v>2024</v>
      </c>
      <c r="I186">
        <v>2022</v>
      </c>
      <c r="P186">
        <v>0.94299999999999995</v>
      </c>
    </row>
    <row r="187" spans="1:19" x14ac:dyDescent="0.25">
      <c r="A187" t="s">
        <v>589</v>
      </c>
      <c r="B187" t="s">
        <v>590</v>
      </c>
      <c r="C187" t="s">
        <v>591</v>
      </c>
      <c r="D187" t="s">
        <v>591</v>
      </c>
      <c r="F187">
        <v>2024</v>
      </c>
      <c r="I187">
        <v>2022</v>
      </c>
      <c r="P187">
        <v>0.97699999999999998</v>
      </c>
    </row>
    <row r="188" spans="1:19" x14ac:dyDescent="0.25">
      <c r="A188" t="s">
        <v>592</v>
      </c>
      <c r="B188" t="s">
        <v>593</v>
      </c>
      <c r="C188" t="s">
        <v>594</v>
      </c>
      <c r="D188" t="s">
        <v>594</v>
      </c>
      <c r="F188">
        <v>2024</v>
      </c>
      <c r="I188">
        <v>2022</v>
      </c>
      <c r="P188">
        <v>0.96199999999999997</v>
      </c>
    </row>
    <row r="189" spans="1:19" x14ac:dyDescent="0.25">
      <c r="A189" t="s">
        <v>595</v>
      </c>
      <c r="B189" t="s">
        <v>596</v>
      </c>
      <c r="C189" t="s">
        <v>597</v>
      </c>
      <c r="D189" t="s">
        <v>597</v>
      </c>
      <c r="F189">
        <v>2024</v>
      </c>
      <c r="I189">
        <v>2022</v>
      </c>
      <c r="P189">
        <v>0.80800000000000005</v>
      </c>
    </row>
    <row r="190" spans="1:19" x14ac:dyDescent="0.25">
      <c r="A190" t="s">
        <v>598</v>
      </c>
      <c r="B190" t="s">
        <v>599</v>
      </c>
      <c r="C190" t="s">
        <v>600</v>
      </c>
      <c r="D190" t="s">
        <v>601</v>
      </c>
      <c r="F190">
        <v>2024</v>
      </c>
      <c r="I190">
        <v>2022</v>
      </c>
      <c r="P190">
        <v>0.246</v>
      </c>
    </row>
    <row r="191" spans="1:19" x14ac:dyDescent="0.25">
      <c r="A191" t="s">
        <v>602</v>
      </c>
      <c r="B191" t="s">
        <v>603</v>
      </c>
      <c r="C191" t="s">
        <v>604</v>
      </c>
      <c r="D191" t="s">
        <v>604</v>
      </c>
      <c r="F191">
        <v>2024</v>
      </c>
      <c r="I191">
        <v>2022</v>
      </c>
      <c r="P191">
        <v>0.97199999999999998</v>
      </c>
    </row>
    <row r="192" spans="1:19" x14ac:dyDescent="0.25">
      <c r="A192" t="s">
        <v>605</v>
      </c>
      <c r="B192" t="s">
        <v>606</v>
      </c>
      <c r="C192" t="s">
        <v>607</v>
      </c>
      <c r="D192" t="s">
        <v>607</v>
      </c>
      <c r="F192">
        <v>2024</v>
      </c>
      <c r="I192">
        <v>2022</v>
      </c>
      <c r="P192">
        <v>0.88200000000000001</v>
      </c>
    </row>
    <row r="193" spans="1:19" x14ac:dyDescent="0.25">
      <c r="A193" t="s">
        <v>608</v>
      </c>
      <c r="B193" t="s">
        <v>609</v>
      </c>
      <c r="C193" t="s">
        <v>610</v>
      </c>
      <c r="D193" t="s">
        <v>610</v>
      </c>
      <c r="F193">
        <v>2024</v>
      </c>
      <c r="I193">
        <v>2022</v>
      </c>
      <c r="P193">
        <v>0.93899999999999995</v>
      </c>
    </row>
    <row r="194" spans="1:19" x14ac:dyDescent="0.25">
      <c r="A194" t="s">
        <v>611</v>
      </c>
      <c r="B194" t="s">
        <v>612</v>
      </c>
      <c r="C194" t="s">
        <v>613</v>
      </c>
      <c r="D194" t="s">
        <v>613</v>
      </c>
      <c r="P194">
        <v>0</v>
      </c>
    </row>
    <row r="195" spans="1:19" x14ac:dyDescent="0.25">
      <c r="A195" t="s">
        <v>614</v>
      </c>
      <c r="B195" t="s">
        <v>615</v>
      </c>
      <c r="C195" t="s">
        <v>616</v>
      </c>
      <c r="D195" t="s">
        <v>616</v>
      </c>
      <c r="F195">
        <v>2024</v>
      </c>
      <c r="I195">
        <v>2022</v>
      </c>
      <c r="P195">
        <v>0.93</v>
      </c>
    </row>
    <row r="196" spans="1:19" x14ac:dyDescent="0.25">
      <c r="A196" t="s">
        <v>617</v>
      </c>
      <c r="B196" t="s">
        <v>618</v>
      </c>
      <c r="C196" t="s">
        <v>619</v>
      </c>
      <c r="D196" t="s">
        <v>619</v>
      </c>
      <c r="F196">
        <v>2024</v>
      </c>
      <c r="I196">
        <v>2022</v>
      </c>
      <c r="P196">
        <v>0.66</v>
      </c>
    </row>
    <row r="197" spans="1:19" x14ac:dyDescent="0.25">
      <c r="A197" t="s">
        <v>620</v>
      </c>
      <c r="B197" t="s">
        <v>621</v>
      </c>
      <c r="C197" t="s">
        <v>622</v>
      </c>
      <c r="D197" t="s">
        <v>622</v>
      </c>
      <c r="F197">
        <v>2024</v>
      </c>
      <c r="I197">
        <v>2022</v>
      </c>
      <c r="P197">
        <v>0.12</v>
      </c>
    </row>
    <row r="198" spans="1:19" x14ac:dyDescent="0.25">
      <c r="A198" t="s">
        <v>623</v>
      </c>
      <c r="B198" t="s">
        <v>624</v>
      </c>
      <c r="C198" t="s">
        <v>625</v>
      </c>
      <c r="D198" t="s">
        <v>625</v>
      </c>
      <c r="F198">
        <v>2025</v>
      </c>
      <c r="I198">
        <v>2023</v>
      </c>
      <c r="O198" s="2">
        <v>45720</v>
      </c>
      <c r="P198">
        <v>0.83330000000000004</v>
      </c>
      <c r="S198">
        <v>8.1999999999999993</v>
      </c>
    </row>
    <row r="199" spans="1:19" x14ac:dyDescent="0.25">
      <c r="A199" t="s">
        <v>626</v>
      </c>
      <c r="B199" t="s">
        <v>627</v>
      </c>
      <c r="C199" t="s">
        <v>628</v>
      </c>
      <c r="D199" t="s">
        <v>628</v>
      </c>
      <c r="F199">
        <v>2025</v>
      </c>
      <c r="I199">
        <v>2023</v>
      </c>
      <c r="O199" s="2">
        <v>45734</v>
      </c>
      <c r="P199">
        <v>0.24590000000000001</v>
      </c>
      <c r="S199">
        <v>14.88</v>
      </c>
    </row>
    <row r="200" spans="1:19" x14ac:dyDescent="0.25">
      <c r="A200" t="s">
        <v>629</v>
      </c>
      <c r="B200" t="s">
        <v>630</v>
      </c>
      <c r="C200" t="s">
        <v>631</v>
      </c>
      <c r="D200" t="s">
        <v>632</v>
      </c>
      <c r="F200">
        <v>2025</v>
      </c>
      <c r="I200">
        <v>2023</v>
      </c>
      <c r="O200" s="2">
        <v>45723</v>
      </c>
      <c r="P200">
        <v>0.53439999999999999</v>
      </c>
      <c r="S200">
        <v>10.57</v>
      </c>
    </row>
    <row r="201" spans="1:19" x14ac:dyDescent="0.25">
      <c r="A201" t="s">
        <v>633</v>
      </c>
      <c r="B201" t="s">
        <v>634</v>
      </c>
      <c r="C201" t="s">
        <v>635</v>
      </c>
      <c r="D201" t="s">
        <v>635</v>
      </c>
      <c r="P201">
        <v>0</v>
      </c>
    </row>
    <row r="202" spans="1:19" x14ac:dyDescent="0.25">
      <c r="A202" t="s">
        <v>636</v>
      </c>
      <c r="B202" t="s">
        <v>587</v>
      </c>
      <c r="C202" t="s">
        <v>588</v>
      </c>
      <c r="D202" t="s">
        <v>588</v>
      </c>
      <c r="F202">
        <v>2025</v>
      </c>
      <c r="I202">
        <v>2023</v>
      </c>
      <c r="O202" s="2">
        <v>45737</v>
      </c>
      <c r="P202">
        <v>0.8</v>
      </c>
      <c r="S202">
        <v>6.58</v>
      </c>
    </row>
    <row r="203" spans="1:19" x14ac:dyDescent="0.25">
      <c r="A203" t="s">
        <v>637</v>
      </c>
      <c r="B203" t="s">
        <v>590</v>
      </c>
      <c r="C203" t="s">
        <v>591</v>
      </c>
      <c r="D203" t="s">
        <v>591</v>
      </c>
      <c r="F203">
        <v>2025</v>
      </c>
      <c r="I203">
        <v>2023</v>
      </c>
      <c r="O203" s="2">
        <v>45722</v>
      </c>
      <c r="P203">
        <v>0.94740000000000002</v>
      </c>
      <c r="S203">
        <v>23.76</v>
      </c>
    </row>
    <row r="204" spans="1:19" x14ac:dyDescent="0.25">
      <c r="A204" t="s">
        <v>638</v>
      </c>
      <c r="B204" t="s">
        <v>639</v>
      </c>
      <c r="C204" t="s">
        <v>640</v>
      </c>
      <c r="D204" t="s">
        <v>640</v>
      </c>
      <c r="F204">
        <v>2025</v>
      </c>
      <c r="I204">
        <v>2023</v>
      </c>
      <c r="O204" s="2">
        <v>45711</v>
      </c>
      <c r="P204">
        <v>0.96020000000000005</v>
      </c>
      <c r="S204">
        <v>9.9</v>
      </c>
    </row>
    <row r="205" spans="1:19" x14ac:dyDescent="0.25">
      <c r="A205" t="s">
        <v>641</v>
      </c>
      <c r="B205" t="s">
        <v>642</v>
      </c>
      <c r="C205" t="s">
        <v>643</v>
      </c>
      <c r="D205" t="s">
        <v>643</v>
      </c>
      <c r="P205">
        <v>0</v>
      </c>
    </row>
    <row r="206" spans="1:19" x14ac:dyDescent="0.25">
      <c r="A206" t="s">
        <v>644</v>
      </c>
      <c r="B206" t="s">
        <v>645</v>
      </c>
      <c r="C206" t="s">
        <v>646</v>
      </c>
      <c r="D206" t="s">
        <v>646</v>
      </c>
      <c r="F206">
        <v>2025</v>
      </c>
      <c r="I206">
        <v>2023</v>
      </c>
      <c r="O206" s="2">
        <v>45735</v>
      </c>
      <c r="P206">
        <v>0.86299999999999999</v>
      </c>
      <c r="S206">
        <v>13.39</v>
      </c>
    </row>
    <row r="207" spans="1:19" x14ac:dyDescent="0.25">
      <c r="A207" t="s">
        <v>647</v>
      </c>
      <c r="B207" t="s">
        <v>648</v>
      </c>
      <c r="C207" t="s">
        <v>649</v>
      </c>
      <c r="D207" t="s">
        <v>649</v>
      </c>
      <c r="F207">
        <v>2025</v>
      </c>
      <c r="I207">
        <v>2023</v>
      </c>
      <c r="O207" s="2">
        <v>45722</v>
      </c>
      <c r="P207">
        <v>0.77270000000000005</v>
      </c>
      <c r="S207">
        <v>7.43</v>
      </c>
    </row>
    <row r="208" spans="1:19" x14ac:dyDescent="0.25">
      <c r="A208" t="s">
        <v>650</v>
      </c>
      <c r="B208" t="s">
        <v>612</v>
      </c>
      <c r="C208" t="s">
        <v>613</v>
      </c>
      <c r="D208" t="s">
        <v>613</v>
      </c>
      <c r="F208">
        <v>2025</v>
      </c>
      <c r="I208">
        <v>2023</v>
      </c>
      <c r="O208" s="2">
        <v>45723</v>
      </c>
      <c r="P208">
        <v>0.88460000000000005</v>
      </c>
      <c r="S208">
        <v>21.14</v>
      </c>
    </row>
    <row r="209" spans="1:19" x14ac:dyDescent="0.25">
      <c r="A209" t="s">
        <v>651</v>
      </c>
      <c r="B209" t="s">
        <v>652</v>
      </c>
      <c r="C209" t="s">
        <v>653</v>
      </c>
      <c r="D209" t="s">
        <v>653</v>
      </c>
      <c r="F209">
        <v>2025</v>
      </c>
      <c r="I209">
        <v>2023</v>
      </c>
      <c r="O209" s="2">
        <v>45722</v>
      </c>
      <c r="P209">
        <v>0.88639999999999997</v>
      </c>
      <c r="S209">
        <v>9.94</v>
      </c>
    </row>
    <row r="210" spans="1:19" x14ac:dyDescent="0.25">
      <c r="A210" t="s">
        <v>654</v>
      </c>
      <c r="B210" t="s">
        <v>655</v>
      </c>
      <c r="C210" t="s">
        <v>656</v>
      </c>
      <c r="D210" t="s">
        <v>656</v>
      </c>
      <c r="P210">
        <v>1</v>
      </c>
    </row>
    <row r="211" spans="1:19" x14ac:dyDescent="0.25">
      <c r="A211" t="s">
        <v>657</v>
      </c>
      <c r="B211" t="s">
        <v>618</v>
      </c>
      <c r="C211" t="s">
        <v>619</v>
      </c>
      <c r="D211" t="s">
        <v>619</v>
      </c>
      <c r="F211">
        <v>2025</v>
      </c>
      <c r="I211">
        <v>2023</v>
      </c>
      <c r="O211" s="2">
        <v>45713</v>
      </c>
      <c r="P211">
        <v>0.8871</v>
      </c>
      <c r="S211">
        <v>3.84</v>
      </c>
    </row>
    <row r="212" spans="1:19" x14ac:dyDescent="0.25">
      <c r="A212" t="s">
        <v>658</v>
      </c>
      <c r="B212" t="s">
        <v>659</v>
      </c>
      <c r="C212" t="s">
        <v>660</v>
      </c>
      <c r="D212" t="s">
        <v>660</v>
      </c>
      <c r="F212">
        <v>2025</v>
      </c>
      <c r="I212">
        <v>2023</v>
      </c>
      <c r="O212" s="2">
        <v>45735</v>
      </c>
      <c r="P212">
        <v>0.71040000000000003</v>
      </c>
      <c r="S212">
        <v>19.350000000000001</v>
      </c>
    </row>
    <row r="213" spans="1:19" x14ac:dyDescent="0.25">
      <c r="A213" t="s">
        <v>661</v>
      </c>
      <c r="B213" t="s">
        <v>662</v>
      </c>
      <c r="C213" t="s">
        <v>663</v>
      </c>
      <c r="P213">
        <v>1</v>
      </c>
    </row>
    <row r="214" spans="1:19" x14ac:dyDescent="0.25">
      <c r="A214" t="s">
        <v>664</v>
      </c>
      <c r="B214" t="s">
        <v>665</v>
      </c>
      <c r="C214" t="s">
        <v>666</v>
      </c>
      <c r="P214">
        <v>1</v>
      </c>
    </row>
    <row r="215" spans="1:19" x14ac:dyDescent="0.25">
      <c r="A215" t="s">
        <v>667</v>
      </c>
      <c r="B215" t="s">
        <v>668</v>
      </c>
      <c r="C215" t="s">
        <v>669</v>
      </c>
      <c r="D215" t="s">
        <v>670</v>
      </c>
      <c r="P215">
        <v>1</v>
      </c>
    </row>
    <row r="216" spans="1:19" x14ac:dyDescent="0.25">
      <c r="A216" t="s">
        <v>671</v>
      </c>
      <c r="B216" t="s">
        <v>672</v>
      </c>
      <c r="C216" t="s">
        <v>673</v>
      </c>
      <c r="P216">
        <v>1</v>
      </c>
    </row>
    <row r="217" spans="1:19" x14ac:dyDescent="0.25">
      <c r="A217" t="s">
        <v>674</v>
      </c>
      <c r="B217" t="s">
        <v>675</v>
      </c>
      <c r="C217" t="s">
        <v>676</v>
      </c>
      <c r="P217">
        <v>1</v>
      </c>
    </row>
    <row r="218" spans="1:19" x14ac:dyDescent="0.25">
      <c r="A218" t="s">
        <v>677</v>
      </c>
      <c r="B218" t="s">
        <v>678</v>
      </c>
      <c r="C218" t="s">
        <v>679</v>
      </c>
      <c r="P218">
        <v>1</v>
      </c>
    </row>
    <row r="219" spans="1:19" x14ac:dyDescent="0.25">
      <c r="A219" t="s">
        <v>680</v>
      </c>
      <c r="B219" t="s">
        <v>681</v>
      </c>
      <c r="C219" t="s">
        <v>682</v>
      </c>
      <c r="P219">
        <v>1</v>
      </c>
    </row>
    <row r="220" spans="1:19" x14ac:dyDescent="0.25">
      <c r="A220" t="s">
        <v>683</v>
      </c>
      <c r="B220" t="s">
        <v>668</v>
      </c>
      <c r="C220" t="s">
        <v>669</v>
      </c>
      <c r="D220" t="s">
        <v>670</v>
      </c>
      <c r="P220">
        <v>1</v>
      </c>
    </row>
    <row r="221" spans="1:19" x14ac:dyDescent="0.25">
      <c r="A221" t="s">
        <v>684</v>
      </c>
      <c r="B221" t="s">
        <v>685</v>
      </c>
      <c r="C221" t="s">
        <v>646</v>
      </c>
      <c r="P221">
        <v>1</v>
      </c>
    </row>
    <row r="222" spans="1:19" x14ac:dyDescent="0.25">
      <c r="A222" t="s">
        <v>686</v>
      </c>
      <c r="B222" t="s">
        <v>687</v>
      </c>
      <c r="C222" t="s">
        <v>688</v>
      </c>
      <c r="D222" t="s">
        <v>689</v>
      </c>
      <c r="P222">
        <v>1</v>
      </c>
    </row>
    <row r="223" spans="1:19" x14ac:dyDescent="0.25">
      <c r="A223" t="s">
        <v>690</v>
      </c>
      <c r="B223" t="s">
        <v>691</v>
      </c>
      <c r="C223" t="s">
        <v>692</v>
      </c>
      <c r="P223">
        <v>1</v>
      </c>
    </row>
    <row r="224" spans="1:19" x14ac:dyDescent="0.25">
      <c r="A224" t="s">
        <v>693</v>
      </c>
      <c r="B224" t="s">
        <v>668</v>
      </c>
      <c r="C224" t="s">
        <v>669</v>
      </c>
      <c r="D224" t="s">
        <v>670</v>
      </c>
      <c r="F224">
        <v>2024</v>
      </c>
      <c r="P224">
        <v>0.4</v>
      </c>
    </row>
    <row r="225" spans="1:16" x14ac:dyDescent="0.25">
      <c r="A225" t="s">
        <v>694</v>
      </c>
      <c r="B225" t="s">
        <v>695</v>
      </c>
      <c r="C225" t="s">
        <v>696</v>
      </c>
      <c r="P225">
        <v>1</v>
      </c>
    </row>
    <row r="226" spans="1:16" x14ac:dyDescent="0.25">
      <c r="A226" t="s">
        <v>697</v>
      </c>
      <c r="B226" t="s">
        <v>698</v>
      </c>
      <c r="C226" t="s">
        <v>699</v>
      </c>
      <c r="P226">
        <v>1</v>
      </c>
    </row>
    <row r="227" spans="1:16" x14ac:dyDescent="0.25">
      <c r="A227" t="s">
        <v>700</v>
      </c>
      <c r="B227" t="s">
        <v>701</v>
      </c>
      <c r="C227" t="s">
        <v>702</v>
      </c>
      <c r="P227">
        <v>1</v>
      </c>
    </row>
    <row r="228" spans="1:16" x14ac:dyDescent="0.25">
      <c r="A228" t="s">
        <v>703</v>
      </c>
      <c r="B228" t="s">
        <v>704</v>
      </c>
      <c r="C228" t="s">
        <v>705</v>
      </c>
      <c r="P228">
        <v>1</v>
      </c>
    </row>
    <row r="229" spans="1:16" x14ac:dyDescent="0.25">
      <c r="A229" t="s">
        <v>706</v>
      </c>
      <c r="B229" t="s">
        <v>668</v>
      </c>
      <c r="C229" t="s">
        <v>669</v>
      </c>
      <c r="D229" t="s">
        <v>670</v>
      </c>
      <c r="P229">
        <v>1</v>
      </c>
    </row>
    <row r="230" spans="1:16" x14ac:dyDescent="0.25">
      <c r="A230" t="s">
        <v>707</v>
      </c>
      <c r="B230" t="s">
        <v>708</v>
      </c>
      <c r="C230" t="s">
        <v>709</v>
      </c>
      <c r="P230">
        <v>1</v>
      </c>
    </row>
    <row r="231" spans="1:16" x14ac:dyDescent="0.25">
      <c r="A231" t="s">
        <v>710</v>
      </c>
      <c r="B231" t="s">
        <v>711</v>
      </c>
      <c r="C231" t="s">
        <v>712</v>
      </c>
      <c r="F231">
        <v>2024</v>
      </c>
      <c r="P231">
        <v>0.66666666666666663</v>
      </c>
    </row>
    <row r="232" spans="1:16" x14ac:dyDescent="0.25">
      <c r="A232" t="s">
        <v>713</v>
      </c>
      <c r="B232" t="s">
        <v>714</v>
      </c>
      <c r="C232" t="s">
        <v>715</v>
      </c>
      <c r="P232">
        <v>1</v>
      </c>
    </row>
    <row r="233" spans="1:16" x14ac:dyDescent="0.25">
      <c r="A233" t="s">
        <v>716</v>
      </c>
      <c r="B233" t="s">
        <v>668</v>
      </c>
      <c r="C233" t="s">
        <v>669</v>
      </c>
      <c r="D233" t="s">
        <v>670</v>
      </c>
      <c r="P233">
        <v>1</v>
      </c>
    </row>
    <row r="234" spans="1:16" x14ac:dyDescent="0.25">
      <c r="A234" t="s">
        <v>717</v>
      </c>
      <c r="B234" t="s">
        <v>718</v>
      </c>
      <c r="C234" t="s">
        <v>719</v>
      </c>
      <c r="P234">
        <v>1</v>
      </c>
    </row>
    <row r="235" spans="1:16" x14ac:dyDescent="0.25">
      <c r="A235" t="s">
        <v>720</v>
      </c>
      <c r="B235" t="s">
        <v>721</v>
      </c>
      <c r="C235" t="s">
        <v>722</v>
      </c>
      <c r="P235">
        <v>1</v>
      </c>
    </row>
    <row r="236" spans="1:16" x14ac:dyDescent="0.25">
      <c r="A236" t="s">
        <v>723</v>
      </c>
      <c r="B236" t="s">
        <v>724</v>
      </c>
      <c r="C236" t="s">
        <v>725</v>
      </c>
      <c r="P236">
        <v>1</v>
      </c>
    </row>
    <row r="237" spans="1:16" x14ac:dyDescent="0.25">
      <c r="A237" t="s">
        <v>726</v>
      </c>
      <c r="B237" t="s">
        <v>727</v>
      </c>
      <c r="C237" t="s">
        <v>728</v>
      </c>
      <c r="D237" t="s">
        <v>729</v>
      </c>
      <c r="P237">
        <v>1</v>
      </c>
    </row>
    <row r="238" spans="1:16" x14ac:dyDescent="0.25">
      <c r="A238" t="s">
        <v>730</v>
      </c>
      <c r="B238" t="s">
        <v>731</v>
      </c>
      <c r="C238" t="s">
        <v>732</v>
      </c>
      <c r="P238">
        <v>1</v>
      </c>
    </row>
    <row r="239" spans="1:16" x14ac:dyDescent="0.25">
      <c r="A239" t="s">
        <v>733</v>
      </c>
      <c r="B239" t="s">
        <v>734</v>
      </c>
      <c r="C239" t="s">
        <v>735</v>
      </c>
      <c r="P239">
        <v>1</v>
      </c>
    </row>
    <row r="240" spans="1:16" x14ac:dyDescent="0.25">
      <c r="A240" t="s">
        <v>736</v>
      </c>
      <c r="B240" t="s">
        <v>737</v>
      </c>
      <c r="C240" t="s">
        <v>738</v>
      </c>
      <c r="D240" t="s">
        <v>739</v>
      </c>
      <c r="P240">
        <v>1</v>
      </c>
    </row>
    <row r="241" spans="1:16" x14ac:dyDescent="0.25">
      <c r="A241" t="s">
        <v>740</v>
      </c>
      <c r="B241" t="s">
        <v>741</v>
      </c>
      <c r="C241" t="s">
        <v>742</v>
      </c>
      <c r="P241">
        <v>1</v>
      </c>
    </row>
    <row r="242" spans="1:16" x14ac:dyDescent="0.25">
      <c r="A242" t="s">
        <v>743</v>
      </c>
      <c r="B242" t="s">
        <v>744</v>
      </c>
      <c r="C242" t="s">
        <v>745</v>
      </c>
      <c r="P242">
        <v>1</v>
      </c>
    </row>
    <row r="243" spans="1:16" x14ac:dyDescent="0.25">
      <c r="A243" t="s">
        <v>746</v>
      </c>
      <c r="B243" t="s">
        <v>747</v>
      </c>
      <c r="C243" t="s">
        <v>748</v>
      </c>
      <c r="D243" t="s">
        <v>749</v>
      </c>
      <c r="P243">
        <v>1</v>
      </c>
    </row>
    <row r="244" spans="1:16" x14ac:dyDescent="0.25">
      <c r="A244" t="s">
        <v>750</v>
      </c>
      <c r="B244" t="s">
        <v>630</v>
      </c>
      <c r="C244" t="s">
        <v>631</v>
      </c>
      <c r="D244" t="s">
        <v>632</v>
      </c>
      <c r="P244">
        <v>1</v>
      </c>
    </row>
    <row r="245" spans="1:16" x14ac:dyDescent="0.25">
      <c r="A245" t="s">
        <v>751</v>
      </c>
      <c r="B245" t="s">
        <v>752</v>
      </c>
      <c r="C245" t="s">
        <v>753</v>
      </c>
      <c r="D245" t="s">
        <v>754</v>
      </c>
      <c r="P245">
        <v>1</v>
      </c>
    </row>
    <row r="246" spans="1:16" x14ac:dyDescent="0.25">
      <c r="A246" t="s">
        <v>755</v>
      </c>
      <c r="B246" t="s">
        <v>756</v>
      </c>
      <c r="C246" t="s">
        <v>757</v>
      </c>
      <c r="P246">
        <v>1</v>
      </c>
    </row>
    <row r="247" spans="1:16" x14ac:dyDescent="0.25">
      <c r="A247" t="s">
        <v>758</v>
      </c>
      <c r="B247" t="s">
        <v>759</v>
      </c>
      <c r="C247" t="s">
        <v>760</v>
      </c>
      <c r="F247">
        <v>2024</v>
      </c>
      <c r="P247">
        <v>0.63</v>
      </c>
    </row>
    <row r="248" spans="1:16" x14ac:dyDescent="0.25">
      <c r="A248" t="s">
        <v>761</v>
      </c>
      <c r="B248" t="s">
        <v>762</v>
      </c>
      <c r="C248" t="s">
        <v>763</v>
      </c>
      <c r="F248">
        <v>2024</v>
      </c>
      <c r="P248">
        <v>0.4</v>
      </c>
    </row>
    <row r="249" spans="1:16" x14ac:dyDescent="0.25">
      <c r="A249" t="s">
        <v>764</v>
      </c>
      <c r="B249" t="s">
        <v>765</v>
      </c>
      <c r="C249" t="s">
        <v>766</v>
      </c>
      <c r="P249">
        <v>1</v>
      </c>
    </row>
    <row r="250" spans="1:16" x14ac:dyDescent="0.25">
      <c r="A250" t="s">
        <v>767</v>
      </c>
      <c r="B250" t="s">
        <v>768</v>
      </c>
      <c r="C250" t="s">
        <v>769</v>
      </c>
      <c r="P250">
        <v>1</v>
      </c>
    </row>
    <row r="251" spans="1:16" x14ac:dyDescent="0.25">
      <c r="A251" t="s">
        <v>770</v>
      </c>
      <c r="B251" t="s">
        <v>771</v>
      </c>
      <c r="C251" t="s">
        <v>772</v>
      </c>
      <c r="P251">
        <v>1</v>
      </c>
    </row>
    <row r="252" spans="1:16" x14ac:dyDescent="0.25">
      <c r="A252" t="s">
        <v>773</v>
      </c>
      <c r="B252" t="s">
        <v>774</v>
      </c>
      <c r="C252" t="s">
        <v>775</v>
      </c>
      <c r="F252">
        <v>2024</v>
      </c>
      <c r="P252">
        <v>0.61</v>
      </c>
    </row>
    <row r="253" spans="1:16" x14ac:dyDescent="0.25">
      <c r="A253" t="s">
        <v>776</v>
      </c>
      <c r="B253" t="s">
        <v>777</v>
      </c>
      <c r="C253" t="s">
        <v>778</v>
      </c>
      <c r="F253">
        <v>2024</v>
      </c>
      <c r="P253">
        <v>0.76363636363636367</v>
      </c>
    </row>
    <row r="254" spans="1:16" x14ac:dyDescent="0.25">
      <c r="A254" t="s">
        <v>779</v>
      </c>
      <c r="B254" t="s">
        <v>780</v>
      </c>
      <c r="C254" t="s">
        <v>781</v>
      </c>
      <c r="F254">
        <v>2024</v>
      </c>
      <c r="P254">
        <v>0.91</v>
      </c>
    </row>
    <row r="255" spans="1:16" x14ac:dyDescent="0.25">
      <c r="A255" t="s">
        <v>782</v>
      </c>
      <c r="B255" t="s">
        <v>783</v>
      </c>
      <c r="C255" t="s">
        <v>784</v>
      </c>
      <c r="P255">
        <v>1</v>
      </c>
    </row>
    <row r="256" spans="1:16" x14ac:dyDescent="0.25">
      <c r="A256" t="s">
        <v>785</v>
      </c>
      <c r="B256" t="s">
        <v>752</v>
      </c>
      <c r="C256" t="s">
        <v>753</v>
      </c>
      <c r="D256" t="s">
        <v>754</v>
      </c>
      <c r="P256">
        <v>1</v>
      </c>
    </row>
    <row r="257" spans="1:16" x14ac:dyDescent="0.25">
      <c r="A257" t="s">
        <v>786</v>
      </c>
      <c r="B257" t="s">
        <v>787</v>
      </c>
      <c r="C257" t="s">
        <v>788</v>
      </c>
      <c r="P257">
        <v>1</v>
      </c>
    </row>
    <row r="258" spans="1:16" x14ac:dyDescent="0.25">
      <c r="A258" t="s">
        <v>789</v>
      </c>
      <c r="B258" t="s">
        <v>790</v>
      </c>
      <c r="C258" t="s">
        <v>791</v>
      </c>
      <c r="P258">
        <v>1</v>
      </c>
    </row>
    <row r="259" spans="1:16" x14ac:dyDescent="0.25">
      <c r="A259" t="s">
        <v>792</v>
      </c>
      <c r="B259" t="s">
        <v>793</v>
      </c>
      <c r="C259" t="s">
        <v>794</v>
      </c>
      <c r="D259" t="s">
        <v>795</v>
      </c>
    </row>
    <row r="260" spans="1:16" x14ac:dyDescent="0.25">
      <c r="A260" t="s">
        <v>796</v>
      </c>
      <c r="B260" t="s">
        <v>714</v>
      </c>
      <c r="C260" t="s">
        <v>715</v>
      </c>
    </row>
    <row r="261" spans="1:16" x14ac:dyDescent="0.25">
      <c r="A261" t="s">
        <v>797</v>
      </c>
      <c r="B261" t="s">
        <v>678</v>
      </c>
      <c r="C261" t="s">
        <v>679</v>
      </c>
    </row>
    <row r="262" spans="1:16" x14ac:dyDescent="0.25">
      <c r="A262" t="s">
        <v>797</v>
      </c>
      <c r="B262" t="s">
        <v>678</v>
      </c>
      <c r="C262" t="s">
        <v>679</v>
      </c>
    </row>
    <row r="263" spans="1:16" x14ac:dyDescent="0.25">
      <c r="A263" t="s">
        <v>798</v>
      </c>
      <c r="B263" t="s">
        <v>799</v>
      </c>
      <c r="C263" t="s">
        <v>800</v>
      </c>
      <c r="D263" t="s">
        <v>800</v>
      </c>
    </row>
    <row r="264" spans="1:16" x14ac:dyDescent="0.25">
      <c r="A264" t="s">
        <v>798</v>
      </c>
      <c r="B264" t="s">
        <v>668</v>
      </c>
      <c r="C264" t="s">
        <v>669</v>
      </c>
      <c r="D264" t="s">
        <v>670</v>
      </c>
    </row>
    <row r="265" spans="1:16" x14ac:dyDescent="0.25">
      <c r="A265" t="s">
        <v>801</v>
      </c>
      <c r="B265" t="s">
        <v>668</v>
      </c>
      <c r="C265" t="s">
        <v>669</v>
      </c>
      <c r="D265" t="s">
        <v>670</v>
      </c>
    </row>
    <row r="266" spans="1:16" x14ac:dyDescent="0.25">
      <c r="A266" t="s">
        <v>801</v>
      </c>
      <c r="B266" t="s">
        <v>727</v>
      </c>
      <c r="C266" t="s">
        <v>728</v>
      </c>
      <c r="D266" t="s">
        <v>729</v>
      </c>
    </row>
    <row r="267" spans="1:16" x14ac:dyDescent="0.25">
      <c r="A267" t="s">
        <v>802</v>
      </c>
      <c r="B267" t="s">
        <v>734</v>
      </c>
      <c r="C267" t="s">
        <v>735</v>
      </c>
    </row>
    <row r="268" spans="1:16" x14ac:dyDescent="0.25">
      <c r="A268" t="s">
        <v>802</v>
      </c>
      <c r="B268" t="s">
        <v>803</v>
      </c>
      <c r="C268" t="s">
        <v>804</v>
      </c>
      <c r="D268" t="s">
        <v>804</v>
      </c>
    </row>
    <row r="269" spans="1:16" x14ac:dyDescent="0.25">
      <c r="A269" t="s">
        <v>805</v>
      </c>
      <c r="B269" t="s">
        <v>806</v>
      </c>
      <c r="C269" t="s">
        <v>807</v>
      </c>
      <c r="D269" t="s">
        <v>807</v>
      </c>
    </row>
    <row r="270" spans="1:16" x14ac:dyDescent="0.25">
      <c r="A270" t="s">
        <v>805</v>
      </c>
      <c r="B270" t="s">
        <v>777</v>
      </c>
      <c r="C270" t="s">
        <v>778</v>
      </c>
    </row>
    <row r="271" spans="1:16" x14ac:dyDescent="0.25">
      <c r="A271" t="s">
        <v>808</v>
      </c>
      <c r="B271" t="s">
        <v>809</v>
      </c>
      <c r="C271" t="s">
        <v>810</v>
      </c>
      <c r="D271" t="s">
        <v>810</v>
      </c>
    </row>
    <row r="272" spans="1:16" x14ac:dyDescent="0.25">
      <c r="A272" t="s">
        <v>808</v>
      </c>
      <c r="B272" t="s">
        <v>811</v>
      </c>
      <c r="C272" t="s">
        <v>812</v>
      </c>
      <c r="D272" t="s">
        <v>812</v>
      </c>
    </row>
    <row r="273" spans="1:4" x14ac:dyDescent="0.25">
      <c r="A273" t="s">
        <v>813</v>
      </c>
      <c r="B273" t="s">
        <v>799</v>
      </c>
      <c r="C273" t="s">
        <v>800</v>
      </c>
      <c r="D273" t="s">
        <v>800</v>
      </c>
    </row>
    <row r="274" spans="1:4" x14ac:dyDescent="0.25">
      <c r="A274" t="s">
        <v>813</v>
      </c>
      <c r="B274" t="s">
        <v>811</v>
      </c>
      <c r="C274" t="s">
        <v>812</v>
      </c>
      <c r="D274" t="s">
        <v>812</v>
      </c>
    </row>
    <row r="275" spans="1:4" x14ac:dyDescent="0.25">
      <c r="A275" t="s">
        <v>814</v>
      </c>
      <c r="B275" t="s">
        <v>714</v>
      </c>
      <c r="C275" t="s">
        <v>715</v>
      </c>
    </row>
    <row r="276" spans="1:4" x14ac:dyDescent="0.25">
      <c r="A276" t="s">
        <v>814</v>
      </c>
      <c r="B276" t="s">
        <v>803</v>
      </c>
      <c r="C276" t="s">
        <v>804</v>
      </c>
      <c r="D276" t="s">
        <v>804</v>
      </c>
    </row>
    <row r="277" spans="1:4" x14ac:dyDescent="0.25">
      <c r="A277" t="s">
        <v>815</v>
      </c>
      <c r="B277" t="s">
        <v>806</v>
      </c>
      <c r="C277" t="s">
        <v>807</v>
      </c>
      <c r="D277" t="s">
        <v>807</v>
      </c>
    </row>
    <row r="278" spans="1:4" x14ac:dyDescent="0.25">
      <c r="A278" t="s">
        <v>816</v>
      </c>
      <c r="B278" t="s">
        <v>809</v>
      </c>
      <c r="C278" t="s">
        <v>810</v>
      </c>
      <c r="D278" t="s">
        <v>810</v>
      </c>
    </row>
    <row r="279" spans="1:4" x14ac:dyDescent="0.25">
      <c r="A279" t="s">
        <v>817</v>
      </c>
      <c r="B279" t="s">
        <v>818</v>
      </c>
      <c r="C279" t="s">
        <v>819</v>
      </c>
      <c r="D279" t="s">
        <v>819</v>
      </c>
    </row>
    <row r="280" spans="1:4" x14ac:dyDescent="0.25">
      <c r="A280" t="s">
        <v>820</v>
      </c>
      <c r="B280" t="s">
        <v>821</v>
      </c>
      <c r="C280" t="s">
        <v>822</v>
      </c>
      <c r="D280" t="s">
        <v>822</v>
      </c>
    </row>
    <row r="281" spans="1:4" x14ac:dyDescent="0.25">
      <c r="A281" t="s">
        <v>823</v>
      </c>
      <c r="B281" t="s">
        <v>824</v>
      </c>
      <c r="C281" t="s">
        <v>825</v>
      </c>
      <c r="D281" t="s">
        <v>825</v>
      </c>
    </row>
    <row r="282" spans="1:4" x14ac:dyDescent="0.25">
      <c r="A282" t="s">
        <v>826</v>
      </c>
      <c r="B282" t="s">
        <v>768</v>
      </c>
      <c r="C282" t="s">
        <v>769</v>
      </c>
    </row>
    <row r="283" spans="1:4" x14ac:dyDescent="0.25">
      <c r="A283" t="s">
        <v>826</v>
      </c>
      <c r="B283" t="s">
        <v>827</v>
      </c>
      <c r="C283" t="s">
        <v>828</v>
      </c>
      <c r="D283" t="s">
        <v>829</v>
      </c>
    </row>
    <row r="284" spans="1:4" x14ac:dyDescent="0.25">
      <c r="A284" t="s">
        <v>830</v>
      </c>
      <c r="B284" t="s">
        <v>831</v>
      </c>
      <c r="C284" t="s">
        <v>832</v>
      </c>
      <c r="D284" t="s">
        <v>832</v>
      </c>
    </row>
    <row r="285" spans="1:4" x14ac:dyDescent="0.25">
      <c r="A285" t="s">
        <v>830</v>
      </c>
      <c r="B285" t="s">
        <v>793</v>
      </c>
      <c r="C285" t="s">
        <v>794</v>
      </c>
      <c r="D285" t="s">
        <v>795</v>
      </c>
    </row>
    <row r="286" spans="1:4" x14ac:dyDescent="0.25">
      <c r="A286" t="s">
        <v>833</v>
      </c>
      <c r="B286" t="s">
        <v>834</v>
      </c>
      <c r="C286" t="s">
        <v>835</v>
      </c>
      <c r="D286" t="s">
        <v>836</v>
      </c>
    </row>
    <row r="287" spans="1:4" x14ac:dyDescent="0.25">
      <c r="A287" t="s">
        <v>837</v>
      </c>
      <c r="B287" t="s">
        <v>838</v>
      </c>
      <c r="C287" t="s">
        <v>839</v>
      </c>
      <c r="D287" t="s">
        <v>839</v>
      </c>
    </row>
    <row r="288" spans="1:4" x14ac:dyDescent="0.25">
      <c r="A288" t="s">
        <v>840</v>
      </c>
      <c r="B288" t="s">
        <v>841</v>
      </c>
      <c r="C288" t="s">
        <v>842</v>
      </c>
      <c r="D288" t="s">
        <v>842</v>
      </c>
    </row>
    <row r="289" spans="1:19" x14ac:dyDescent="0.25">
      <c r="A289" t="s">
        <v>843</v>
      </c>
      <c r="B289" t="s">
        <v>844</v>
      </c>
      <c r="C289" t="s">
        <v>845</v>
      </c>
      <c r="D289" t="s">
        <v>845</v>
      </c>
    </row>
    <row r="290" spans="1:19" x14ac:dyDescent="0.25">
      <c r="A290" t="s">
        <v>846</v>
      </c>
      <c r="B290" t="s">
        <v>847</v>
      </c>
      <c r="C290" t="s">
        <v>848</v>
      </c>
      <c r="D290" t="s">
        <v>848</v>
      </c>
    </row>
    <row r="291" spans="1:19" x14ac:dyDescent="0.25">
      <c r="A291" t="s">
        <v>849</v>
      </c>
      <c r="B291" t="s">
        <v>850</v>
      </c>
      <c r="C291" t="s">
        <v>851</v>
      </c>
      <c r="D291" t="s">
        <v>851</v>
      </c>
    </row>
    <row r="292" spans="1:19" x14ac:dyDescent="0.25">
      <c r="A292" t="s">
        <v>852</v>
      </c>
      <c r="B292" t="s">
        <v>853</v>
      </c>
      <c r="C292" t="s">
        <v>854</v>
      </c>
      <c r="D292" t="s">
        <v>854</v>
      </c>
    </row>
    <row r="293" spans="1:19" x14ac:dyDescent="0.25">
      <c r="A293" t="s">
        <v>855</v>
      </c>
      <c r="B293" t="s">
        <v>856</v>
      </c>
      <c r="C293" t="s">
        <v>857</v>
      </c>
      <c r="D293" t="s">
        <v>857</v>
      </c>
      <c r="P293">
        <v>0</v>
      </c>
    </row>
    <row r="294" spans="1:19" x14ac:dyDescent="0.25">
      <c r="A294" t="s">
        <v>858</v>
      </c>
      <c r="B294" t="s">
        <v>859</v>
      </c>
      <c r="C294" t="s">
        <v>860</v>
      </c>
      <c r="D294" t="s">
        <v>860</v>
      </c>
    </row>
    <row r="295" spans="1:19" x14ac:dyDescent="0.25">
      <c r="A295" t="s">
        <v>861</v>
      </c>
      <c r="B295" t="s">
        <v>862</v>
      </c>
      <c r="C295" t="s">
        <v>863</v>
      </c>
      <c r="D295" t="s">
        <v>863</v>
      </c>
    </row>
    <row r="296" spans="1:19" x14ac:dyDescent="0.25">
      <c r="A296" t="s">
        <v>864</v>
      </c>
      <c r="B296" t="s">
        <v>856</v>
      </c>
      <c r="C296" t="s">
        <v>857</v>
      </c>
      <c r="D296" t="s">
        <v>857</v>
      </c>
      <c r="F296">
        <v>2022</v>
      </c>
      <c r="I296">
        <v>2016</v>
      </c>
      <c r="O296" s="2">
        <v>44562</v>
      </c>
      <c r="P296">
        <v>0.54</v>
      </c>
      <c r="S296">
        <v>23.79</v>
      </c>
    </row>
    <row r="297" spans="1:19" x14ac:dyDescent="0.25">
      <c r="A297" t="s">
        <v>865</v>
      </c>
      <c r="B297" t="s">
        <v>856</v>
      </c>
      <c r="C297" t="s">
        <v>857</v>
      </c>
      <c r="D297" t="s">
        <v>857</v>
      </c>
      <c r="F297">
        <v>2025</v>
      </c>
      <c r="I297">
        <v>2016</v>
      </c>
      <c r="O297" s="2">
        <v>45742</v>
      </c>
      <c r="P297">
        <v>0.42249999999999999</v>
      </c>
      <c r="S297">
        <v>20.72</v>
      </c>
    </row>
    <row r="298" spans="1:19" x14ac:dyDescent="0.25">
      <c r="A298" t="s">
        <v>866</v>
      </c>
      <c r="B298" t="s">
        <v>867</v>
      </c>
      <c r="C298" t="s">
        <v>868</v>
      </c>
      <c r="D298" t="s">
        <v>868</v>
      </c>
      <c r="F298">
        <v>2025</v>
      </c>
      <c r="I298">
        <v>2016</v>
      </c>
      <c r="O298" s="2">
        <v>45727</v>
      </c>
      <c r="P298">
        <v>0.87770000000000004</v>
      </c>
      <c r="S298">
        <v>33.68</v>
      </c>
    </row>
    <row r="299" spans="1:19" x14ac:dyDescent="0.25">
      <c r="A299" t="s">
        <v>869</v>
      </c>
      <c r="B299" t="s">
        <v>870</v>
      </c>
      <c r="C299" t="s">
        <v>871</v>
      </c>
      <c r="D299" t="s">
        <v>871</v>
      </c>
    </row>
    <row r="300" spans="1:19" x14ac:dyDescent="0.25">
      <c r="A300" t="s">
        <v>872</v>
      </c>
      <c r="B300" t="s">
        <v>873</v>
      </c>
      <c r="C300" t="s">
        <v>874</v>
      </c>
      <c r="D300" t="s">
        <v>874</v>
      </c>
      <c r="F300">
        <v>2025</v>
      </c>
      <c r="I300">
        <v>2016</v>
      </c>
      <c r="O300" s="2">
        <v>45720</v>
      </c>
      <c r="P300">
        <v>0</v>
      </c>
    </row>
    <row r="301" spans="1:19" x14ac:dyDescent="0.25">
      <c r="A301" t="s">
        <v>875</v>
      </c>
      <c r="B301" t="s">
        <v>876</v>
      </c>
      <c r="C301" t="s">
        <v>877</v>
      </c>
      <c r="D301" t="s">
        <v>877</v>
      </c>
      <c r="F301">
        <v>2022</v>
      </c>
      <c r="I301">
        <v>2016</v>
      </c>
      <c r="O301" s="2">
        <v>44562</v>
      </c>
      <c r="P301">
        <v>0.91300000000000003</v>
      </c>
      <c r="S301">
        <v>15.83</v>
      </c>
    </row>
    <row r="302" spans="1:19" x14ac:dyDescent="0.25">
      <c r="A302" t="s">
        <v>878</v>
      </c>
      <c r="B302" t="s">
        <v>879</v>
      </c>
      <c r="C302" t="s">
        <v>880</v>
      </c>
      <c r="D302" t="s">
        <v>880</v>
      </c>
    </row>
    <row r="303" spans="1:19" x14ac:dyDescent="0.25">
      <c r="A303" t="s">
        <v>881</v>
      </c>
      <c r="B303" t="s">
        <v>882</v>
      </c>
      <c r="C303" t="s">
        <v>883</v>
      </c>
      <c r="D303" t="s">
        <v>883</v>
      </c>
      <c r="F303">
        <v>2024</v>
      </c>
      <c r="I303">
        <v>2016</v>
      </c>
      <c r="P303">
        <v>0.1218361218361219</v>
      </c>
    </row>
    <row r="304" spans="1:19" x14ac:dyDescent="0.25">
      <c r="A304" t="s">
        <v>884</v>
      </c>
      <c r="B304" t="s">
        <v>885</v>
      </c>
      <c r="C304" t="s">
        <v>886</v>
      </c>
      <c r="D304" t="s">
        <v>886</v>
      </c>
    </row>
    <row r="305" spans="1:19" x14ac:dyDescent="0.25">
      <c r="A305" t="s">
        <v>887</v>
      </c>
      <c r="B305" t="s">
        <v>888</v>
      </c>
      <c r="C305" t="s">
        <v>889</v>
      </c>
      <c r="D305" t="s">
        <v>889</v>
      </c>
    </row>
    <row r="306" spans="1:19" x14ac:dyDescent="0.25">
      <c r="A306" t="s">
        <v>890</v>
      </c>
      <c r="B306" t="s">
        <v>891</v>
      </c>
      <c r="C306" t="s">
        <v>892</v>
      </c>
      <c r="D306" t="s">
        <v>893</v>
      </c>
      <c r="F306">
        <v>2025</v>
      </c>
      <c r="I306">
        <v>2016</v>
      </c>
      <c r="O306" s="2">
        <v>45728</v>
      </c>
      <c r="P306">
        <v>0.97870000000000001</v>
      </c>
      <c r="S306">
        <v>41.33</v>
      </c>
    </row>
    <row r="307" spans="1:19" x14ac:dyDescent="0.25">
      <c r="A307" t="s">
        <v>894</v>
      </c>
      <c r="B307" t="s">
        <v>895</v>
      </c>
      <c r="C307" t="s">
        <v>896</v>
      </c>
      <c r="D307" t="s">
        <v>897</v>
      </c>
    </row>
    <row r="308" spans="1:19" x14ac:dyDescent="0.25">
      <c r="A308" t="s">
        <v>898</v>
      </c>
      <c r="B308" t="s">
        <v>899</v>
      </c>
      <c r="C308" t="s">
        <v>900</v>
      </c>
      <c r="D308" t="s">
        <v>900</v>
      </c>
    </row>
    <row r="309" spans="1:19" x14ac:dyDescent="0.25">
      <c r="A309" t="s">
        <v>901</v>
      </c>
      <c r="B309" t="s">
        <v>902</v>
      </c>
      <c r="C309" t="s">
        <v>903</v>
      </c>
      <c r="D309" t="s">
        <v>903</v>
      </c>
    </row>
    <row r="310" spans="1:19" x14ac:dyDescent="0.25">
      <c r="A310" t="s">
        <v>904</v>
      </c>
      <c r="B310" t="s">
        <v>905</v>
      </c>
      <c r="C310" t="s">
        <v>906</v>
      </c>
      <c r="D310" t="s">
        <v>907</v>
      </c>
    </row>
    <row r="311" spans="1:19" x14ac:dyDescent="0.25">
      <c r="A311" t="s">
        <v>908</v>
      </c>
      <c r="B311" t="s">
        <v>909</v>
      </c>
      <c r="C311" t="s">
        <v>910</v>
      </c>
      <c r="D311" t="s">
        <v>910</v>
      </c>
    </row>
    <row r="312" spans="1:19" x14ac:dyDescent="0.25">
      <c r="A312" t="s">
        <v>911</v>
      </c>
      <c r="B312" t="s">
        <v>912</v>
      </c>
      <c r="C312" t="s">
        <v>913</v>
      </c>
      <c r="D312" t="s">
        <v>913</v>
      </c>
    </row>
    <row r="313" spans="1:19" x14ac:dyDescent="0.25">
      <c r="A313" t="s">
        <v>914</v>
      </c>
      <c r="B313" t="s">
        <v>915</v>
      </c>
      <c r="C313" t="s">
        <v>916</v>
      </c>
      <c r="D313" t="s">
        <v>916</v>
      </c>
    </row>
    <row r="314" spans="1:19" x14ac:dyDescent="0.25">
      <c r="A314" t="s">
        <v>917</v>
      </c>
      <c r="B314" t="s">
        <v>918</v>
      </c>
      <c r="C314" t="s">
        <v>919</v>
      </c>
      <c r="D314" t="s">
        <v>920</v>
      </c>
      <c r="F314">
        <v>2025</v>
      </c>
      <c r="I314">
        <v>2018</v>
      </c>
      <c r="O314" s="2">
        <v>45714</v>
      </c>
      <c r="P314">
        <v>0.26250000000000001</v>
      </c>
      <c r="S314">
        <v>24.49</v>
      </c>
    </row>
    <row r="315" spans="1:19" x14ac:dyDescent="0.25">
      <c r="A315" t="s">
        <v>921</v>
      </c>
      <c r="B315" t="s">
        <v>873</v>
      </c>
      <c r="C315" t="s">
        <v>874</v>
      </c>
      <c r="D315" t="s">
        <v>874</v>
      </c>
      <c r="F315">
        <v>2025</v>
      </c>
      <c r="I315">
        <v>2018</v>
      </c>
      <c r="O315" s="2">
        <v>45720</v>
      </c>
      <c r="P315">
        <v>1</v>
      </c>
      <c r="S315">
        <v>44.7</v>
      </c>
    </row>
    <row r="316" spans="1:19" x14ac:dyDescent="0.25">
      <c r="A316" t="s">
        <v>922</v>
      </c>
      <c r="B316" t="s">
        <v>923</v>
      </c>
      <c r="C316" t="s">
        <v>924</v>
      </c>
      <c r="D316" t="s">
        <v>925</v>
      </c>
      <c r="F316">
        <v>2025</v>
      </c>
      <c r="I316">
        <v>2018</v>
      </c>
      <c r="O316" s="2">
        <v>45722</v>
      </c>
      <c r="P316">
        <v>0.50260000000000005</v>
      </c>
      <c r="S316">
        <v>21.63</v>
      </c>
    </row>
    <row r="317" spans="1:19" x14ac:dyDescent="0.25">
      <c r="A317" t="s">
        <v>926</v>
      </c>
      <c r="B317" t="s">
        <v>927</v>
      </c>
      <c r="C317" t="s">
        <v>928</v>
      </c>
      <c r="D317" t="s">
        <v>928</v>
      </c>
      <c r="F317">
        <v>2021</v>
      </c>
      <c r="I317">
        <v>2018</v>
      </c>
      <c r="O317" s="2">
        <v>44197</v>
      </c>
      <c r="P317">
        <v>0.9667</v>
      </c>
      <c r="S317">
        <v>5.5</v>
      </c>
    </row>
    <row r="318" spans="1:19" x14ac:dyDescent="0.25">
      <c r="A318" t="s">
        <v>929</v>
      </c>
      <c r="B318" t="s">
        <v>930</v>
      </c>
      <c r="C318" t="s">
        <v>931</v>
      </c>
      <c r="D318" t="s">
        <v>931</v>
      </c>
    </row>
    <row r="319" spans="1:19" x14ac:dyDescent="0.25">
      <c r="A319" t="s">
        <v>932</v>
      </c>
      <c r="B319" t="s">
        <v>905</v>
      </c>
      <c r="C319" t="s">
        <v>906</v>
      </c>
      <c r="D319" t="s">
        <v>907</v>
      </c>
    </row>
    <row r="320" spans="1:19" x14ac:dyDescent="0.25">
      <c r="A320" t="s">
        <v>933</v>
      </c>
      <c r="B320" t="s">
        <v>934</v>
      </c>
      <c r="C320" t="s">
        <v>935</v>
      </c>
      <c r="D320" t="s">
        <v>935</v>
      </c>
      <c r="F320">
        <v>2025</v>
      </c>
      <c r="I320">
        <v>2018</v>
      </c>
      <c r="O320" s="2">
        <v>45722</v>
      </c>
      <c r="P320">
        <v>1</v>
      </c>
      <c r="S320">
        <v>23.28</v>
      </c>
    </row>
    <row r="321" spans="1:19" x14ac:dyDescent="0.25">
      <c r="A321" t="s">
        <v>936</v>
      </c>
      <c r="B321" t="s">
        <v>937</v>
      </c>
      <c r="C321" t="s">
        <v>938</v>
      </c>
      <c r="D321" t="s">
        <v>938</v>
      </c>
      <c r="F321">
        <v>2021</v>
      </c>
      <c r="I321">
        <v>2018</v>
      </c>
      <c r="O321" s="2">
        <v>44197</v>
      </c>
      <c r="P321">
        <v>1</v>
      </c>
      <c r="S321">
        <v>6.3</v>
      </c>
    </row>
    <row r="322" spans="1:19" x14ac:dyDescent="0.25">
      <c r="A322" t="s">
        <v>939</v>
      </c>
      <c r="B322" t="s">
        <v>940</v>
      </c>
      <c r="C322" t="s">
        <v>941</v>
      </c>
      <c r="D322" t="s">
        <v>941</v>
      </c>
      <c r="F322">
        <v>2025</v>
      </c>
      <c r="I322">
        <v>2018</v>
      </c>
      <c r="O322" s="2">
        <v>45722</v>
      </c>
      <c r="P322">
        <v>0.87970000000000004</v>
      </c>
      <c r="S322">
        <v>22.8</v>
      </c>
    </row>
    <row r="323" spans="1:19" x14ac:dyDescent="0.25">
      <c r="A323" t="s">
        <v>942</v>
      </c>
      <c r="B323" t="s">
        <v>943</v>
      </c>
      <c r="C323" t="s">
        <v>944</v>
      </c>
      <c r="D323" t="s">
        <v>944</v>
      </c>
      <c r="F323">
        <v>2025</v>
      </c>
      <c r="I323">
        <v>2018</v>
      </c>
      <c r="O323" s="2">
        <v>45695</v>
      </c>
      <c r="P323">
        <v>0.80559999999999998</v>
      </c>
      <c r="S323">
        <v>28.42</v>
      </c>
    </row>
    <row r="324" spans="1:19" x14ac:dyDescent="0.25">
      <c r="A324" t="s">
        <v>945</v>
      </c>
      <c r="B324" t="s">
        <v>946</v>
      </c>
      <c r="C324" t="s">
        <v>947</v>
      </c>
      <c r="D324" t="s">
        <v>948</v>
      </c>
      <c r="F324">
        <v>2025</v>
      </c>
      <c r="I324">
        <v>2018</v>
      </c>
      <c r="O324" s="2">
        <v>45722</v>
      </c>
      <c r="P324">
        <v>0.8851</v>
      </c>
      <c r="S324">
        <v>13.65</v>
      </c>
    </row>
    <row r="325" spans="1:19" x14ac:dyDescent="0.25">
      <c r="A325" t="s">
        <v>949</v>
      </c>
      <c r="B325" t="s">
        <v>950</v>
      </c>
      <c r="C325" t="s">
        <v>951</v>
      </c>
      <c r="D325" t="s">
        <v>951</v>
      </c>
    </row>
    <row r="326" spans="1:19" x14ac:dyDescent="0.25">
      <c r="A326" t="s">
        <v>952</v>
      </c>
      <c r="B326" t="s">
        <v>953</v>
      </c>
      <c r="C326" t="s">
        <v>954</v>
      </c>
      <c r="D326" t="s">
        <v>955</v>
      </c>
      <c r="F326">
        <v>2022</v>
      </c>
      <c r="I326">
        <v>2019</v>
      </c>
      <c r="O326" s="2">
        <v>44562</v>
      </c>
      <c r="P326">
        <v>0.99070000000000003</v>
      </c>
      <c r="S326">
        <v>24.47</v>
      </c>
    </row>
    <row r="327" spans="1:19" x14ac:dyDescent="0.25">
      <c r="A327" t="s">
        <v>956</v>
      </c>
      <c r="B327" t="s">
        <v>953</v>
      </c>
      <c r="C327" t="s">
        <v>954</v>
      </c>
      <c r="D327" t="s">
        <v>955</v>
      </c>
      <c r="F327">
        <v>2024</v>
      </c>
      <c r="I327">
        <v>2019</v>
      </c>
      <c r="P327">
        <v>0.1521739130434783</v>
      </c>
    </row>
    <row r="328" spans="1:19" x14ac:dyDescent="0.25">
      <c r="A328" t="s">
        <v>957</v>
      </c>
      <c r="B328" t="s">
        <v>953</v>
      </c>
      <c r="C328" t="s">
        <v>954</v>
      </c>
      <c r="D328" t="s">
        <v>955</v>
      </c>
    </row>
    <row r="329" spans="1:19" x14ac:dyDescent="0.25">
      <c r="A329" t="s">
        <v>958</v>
      </c>
      <c r="B329" t="s">
        <v>959</v>
      </c>
      <c r="C329" t="s">
        <v>960</v>
      </c>
      <c r="D329" t="s">
        <v>960</v>
      </c>
      <c r="P329">
        <v>0.98399999999999987</v>
      </c>
    </row>
    <row r="330" spans="1:19" x14ac:dyDescent="0.25">
      <c r="A330" t="s">
        <v>961</v>
      </c>
      <c r="B330" t="s">
        <v>962</v>
      </c>
      <c r="C330" t="s">
        <v>963</v>
      </c>
      <c r="D330" t="s">
        <v>964</v>
      </c>
      <c r="P330">
        <v>0.625</v>
      </c>
    </row>
    <row r="331" spans="1:19" x14ac:dyDescent="0.25">
      <c r="A331" t="s">
        <v>965</v>
      </c>
      <c r="B331" t="s">
        <v>966</v>
      </c>
      <c r="C331" t="s">
        <v>967</v>
      </c>
      <c r="D331" t="s">
        <v>967</v>
      </c>
      <c r="F331">
        <v>2025</v>
      </c>
      <c r="I331">
        <v>2019</v>
      </c>
      <c r="O331" s="2">
        <v>45727</v>
      </c>
      <c r="P331">
        <v>0.97370000000000001</v>
      </c>
      <c r="S331">
        <v>33.42</v>
      </c>
    </row>
    <row r="332" spans="1:19" x14ac:dyDescent="0.25">
      <c r="A332" t="s">
        <v>968</v>
      </c>
      <c r="B332" t="s">
        <v>969</v>
      </c>
      <c r="C332" t="s">
        <v>970</v>
      </c>
      <c r="D332" t="s">
        <v>970</v>
      </c>
      <c r="F332">
        <v>2024</v>
      </c>
      <c r="I332">
        <v>2019</v>
      </c>
      <c r="P332">
        <v>0.93502418363529483</v>
      </c>
    </row>
    <row r="333" spans="1:19" x14ac:dyDescent="0.25">
      <c r="A333" t="s">
        <v>971</v>
      </c>
      <c r="B333" t="s">
        <v>972</v>
      </c>
      <c r="C333" t="s">
        <v>973</v>
      </c>
      <c r="D333" t="s">
        <v>973</v>
      </c>
      <c r="P333">
        <v>0.79071177226813594</v>
      </c>
    </row>
    <row r="334" spans="1:19" x14ac:dyDescent="0.25">
      <c r="A334" t="s">
        <v>974</v>
      </c>
      <c r="B334" t="s">
        <v>923</v>
      </c>
      <c r="C334" t="s">
        <v>924</v>
      </c>
      <c r="D334" t="s">
        <v>925</v>
      </c>
      <c r="F334">
        <v>2024</v>
      </c>
      <c r="I334">
        <v>2019</v>
      </c>
      <c r="P334">
        <v>0.4152352481607674</v>
      </c>
    </row>
    <row r="335" spans="1:19" x14ac:dyDescent="0.25">
      <c r="A335" t="s">
        <v>975</v>
      </c>
      <c r="B335" t="s">
        <v>976</v>
      </c>
      <c r="C335" t="s">
        <v>977</v>
      </c>
      <c r="D335" t="s">
        <v>977</v>
      </c>
      <c r="P335">
        <v>0.97915080314732228</v>
      </c>
    </row>
    <row r="336" spans="1:19" x14ac:dyDescent="0.25">
      <c r="A336" t="s">
        <v>978</v>
      </c>
      <c r="B336" t="s">
        <v>979</v>
      </c>
      <c r="C336" t="s">
        <v>980</v>
      </c>
      <c r="D336" t="s">
        <v>980</v>
      </c>
    </row>
    <row r="337" spans="1:19" x14ac:dyDescent="0.25">
      <c r="A337" t="s">
        <v>981</v>
      </c>
      <c r="B337" t="s">
        <v>982</v>
      </c>
      <c r="C337" t="s">
        <v>983</v>
      </c>
      <c r="D337" t="s">
        <v>983</v>
      </c>
      <c r="P337">
        <v>0.84739022435897426</v>
      </c>
    </row>
    <row r="338" spans="1:19" x14ac:dyDescent="0.25">
      <c r="A338" t="s">
        <v>984</v>
      </c>
      <c r="B338" t="s">
        <v>985</v>
      </c>
      <c r="C338" t="s">
        <v>986</v>
      </c>
      <c r="D338" t="s">
        <v>987</v>
      </c>
      <c r="F338">
        <v>2022</v>
      </c>
      <c r="I338">
        <v>2019</v>
      </c>
      <c r="O338" s="2">
        <v>44562</v>
      </c>
      <c r="P338">
        <v>0.89470000000000005</v>
      </c>
      <c r="S338">
        <v>24.29</v>
      </c>
    </row>
    <row r="339" spans="1:19" x14ac:dyDescent="0.25">
      <c r="A339" t="s">
        <v>988</v>
      </c>
      <c r="B339" t="s">
        <v>989</v>
      </c>
      <c r="C339" t="s">
        <v>990</v>
      </c>
      <c r="D339" t="s">
        <v>990</v>
      </c>
      <c r="F339">
        <v>2024</v>
      </c>
      <c r="I339">
        <v>2019</v>
      </c>
      <c r="P339">
        <v>0.97496103896103914</v>
      </c>
    </row>
    <row r="340" spans="1:19" x14ac:dyDescent="0.25">
      <c r="A340" t="s">
        <v>991</v>
      </c>
      <c r="B340" t="s">
        <v>992</v>
      </c>
      <c r="C340" t="s">
        <v>993</v>
      </c>
      <c r="D340" t="s">
        <v>993</v>
      </c>
    </row>
    <row r="341" spans="1:19" x14ac:dyDescent="0.25">
      <c r="A341" t="s">
        <v>994</v>
      </c>
      <c r="B341" t="s">
        <v>995</v>
      </c>
      <c r="C341" t="s">
        <v>996</v>
      </c>
      <c r="D341" t="s">
        <v>996</v>
      </c>
      <c r="P341">
        <v>1</v>
      </c>
    </row>
    <row r="342" spans="1:19" x14ac:dyDescent="0.25">
      <c r="A342" t="s">
        <v>997</v>
      </c>
      <c r="B342" t="s">
        <v>998</v>
      </c>
      <c r="C342" t="s">
        <v>999</v>
      </c>
      <c r="D342" t="s">
        <v>999</v>
      </c>
    </row>
    <row r="343" spans="1:19" x14ac:dyDescent="0.25">
      <c r="A343" t="s">
        <v>1000</v>
      </c>
      <c r="B343" t="s">
        <v>1001</v>
      </c>
      <c r="C343" t="s">
        <v>1002</v>
      </c>
      <c r="D343" t="s">
        <v>1002</v>
      </c>
      <c r="F343">
        <v>2024</v>
      </c>
      <c r="I343">
        <v>2019</v>
      </c>
      <c r="P343">
        <v>0.35181818181818181</v>
      </c>
    </row>
    <row r="344" spans="1:19" x14ac:dyDescent="0.25">
      <c r="A344" t="s">
        <v>1003</v>
      </c>
      <c r="B344" t="s">
        <v>1004</v>
      </c>
      <c r="C344" t="s">
        <v>1005</v>
      </c>
      <c r="D344" t="s">
        <v>1005</v>
      </c>
      <c r="P344">
        <v>0.82499999999999996</v>
      </c>
    </row>
    <row r="345" spans="1:19" x14ac:dyDescent="0.25">
      <c r="A345" t="s">
        <v>1006</v>
      </c>
      <c r="B345" t="s">
        <v>1007</v>
      </c>
      <c r="C345" t="s">
        <v>1008</v>
      </c>
      <c r="D345" t="s">
        <v>1009</v>
      </c>
    </row>
    <row r="346" spans="1:19" x14ac:dyDescent="0.25">
      <c r="A346" t="s">
        <v>1010</v>
      </c>
      <c r="B346" t="s">
        <v>1011</v>
      </c>
      <c r="C346" t="s">
        <v>1012</v>
      </c>
      <c r="D346" t="s">
        <v>1012</v>
      </c>
      <c r="P346">
        <v>1</v>
      </c>
    </row>
    <row r="347" spans="1:19" x14ac:dyDescent="0.25">
      <c r="A347" t="s">
        <v>1013</v>
      </c>
      <c r="B347" t="s">
        <v>1014</v>
      </c>
      <c r="C347" t="s">
        <v>1015</v>
      </c>
      <c r="D347" t="s">
        <v>1015</v>
      </c>
      <c r="F347">
        <v>2025</v>
      </c>
      <c r="I347">
        <v>2020</v>
      </c>
      <c r="O347" s="2">
        <v>45693</v>
      </c>
      <c r="P347">
        <v>1</v>
      </c>
      <c r="S347">
        <v>16.93</v>
      </c>
    </row>
    <row r="348" spans="1:19" x14ac:dyDescent="0.25">
      <c r="A348" t="s">
        <v>1016</v>
      </c>
      <c r="B348" t="s">
        <v>953</v>
      </c>
      <c r="C348" t="s">
        <v>954</v>
      </c>
      <c r="D348" t="s">
        <v>955</v>
      </c>
      <c r="F348">
        <v>2024</v>
      </c>
      <c r="I348">
        <v>2020</v>
      </c>
      <c r="P348">
        <v>0.96</v>
      </c>
    </row>
    <row r="349" spans="1:19" x14ac:dyDescent="0.25">
      <c r="A349" t="s">
        <v>1017</v>
      </c>
      <c r="B349" t="s">
        <v>1018</v>
      </c>
      <c r="C349" t="s">
        <v>1019</v>
      </c>
      <c r="D349" t="s">
        <v>1019</v>
      </c>
      <c r="F349">
        <v>2024</v>
      </c>
      <c r="I349">
        <v>2020</v>
      </c>
      <c r="P349">
        <v>0.96</v>
      </c>
    </row>
    <row r="350" spans="1:19" x14ac:dyDescent="0.25">
      <c r="A350" t="s">
        <v>1020</v>
      </c>
      <c r="B350" t="s">
        <v>1021</v>
      </c>
      <c r="C350" t="s">
        <v>1022</v>
      </c>
      <c r="D350" t="s">
        <v>1023</v>
      </c>
      <c r="P350">
        <v>0.98818181818181816</v>
      </c>
    </row>
    <row r="351" spans="1:19" x14ac:dyDescent="0.25">
      <c r="A351" t="s">
        <v>1024</v>
      </c>
      <c r="B351" t="s">
        <v>1025</v>
      </c>
      <c r="C351" t="s">
        <v>1026</v>
      </c>
      <c r="D351" t="s">
        <v>1027</v>
      </c>
      <c r="F351">
        <v>2024</v>
      </c>
      <c r="I351">
        <v>2020</v>
      </c>
      <c r="P351">
        <v>0.99</v>
      </c>
    </row>
    <row r="352" spans="1:19" x14ac:dyDescent="0.25">
      <c r="A352" t="s">
        <v>1028</v>
      </c>
      <c r="B352" t="s">
        <v>1029</v>
      </c>
      <c r="C352" t="s">
        <v>1030</v>
      </c>
      <c r="D352" t="s">
        <v>1030</v>
      </c>
    </row>
    <row r="353" spans="1:19" x14ac:dyDescent="0.25">
      <c r="A353" t="s">
        <v>1031</v>
      </c>
      <c r="B353" t="s">
        <v>1032</v>
      </c>
      <c r="C353" t="s">
        <v>1033</v>
      </c>
      <c r="D353" t="s">
        <v>1033</v>
      </c>
      <c r="P353">
        <v>1</v>
      </c>
    </row>
    <row r="354" spans="1:19" x14ac:dyDescent="0.25">
      <c r="A354" t="s">
        <v>1034</v>
      </c>
      <c r="B354" t="s">
        <v>966</v>
      </c>
      <c r="C354" t="s">
        <v>967</v>
      </c>
      <c r="D354" t="s">
        <v>967</v>
      </c>
      <c r="F354">
        <v>2025</v>
      </c>
      <c r="I354">
        <v>2020</v>
      </c>
      <c r="O354" s="2">
        <v>45727</v>
      </c>
      <c r="P354">
        <v>0.76670000000000005</v>
      </c>
      <c r="S354">
        <v>23</v>
      </c>
    </row>
    <row r="355" spans="1:19" x14ac:dyDescent="0.25">
      <c r="A355" t="s">
        <v>1035</v>
      </c>
      <c r="B355" t="s">
        <v>972</v>
      </c>
      <c r="C355" t="s">
        <v>973</v>
      </c>
      <c r="D355" t="s">
        <v>973</v>
      </c>
      <c r="F355">
        <v>2024</v>
      </c>
      <c r="I355">
        <v>2020</v>
      </c>
      <c r="P355">
        <v>0.41</v>
      </c>
    </row>
    <row r="356" spans="1:19" x14ac:dyDescent="0.25">
      <c r="A356" t="s">
        <v>1036</v>
      </c>
      <c r="B356" t="s">
        <v>1037</v>
      </c>
      <c r="C356" t="s">
        <v>1038</v>
      </c>
      <c r="D356" t="s">
        <v>1038</v>
      </c>
      <c r="P356">
        <v>1</v>
      </c>
    </row>
    <row r="357" spans="1:19" x14ac:dyDescent="0.25">
      <c r="A357" t="s">
        <v>1039</v>
      </c>
      <c r="B357" t="s">
        <v>1040</v>
      </c>
      <c r="C357" t="s">
        <v>1041</v>
      </c>
      <c r="D357" t="s">
        <v>1042</v>
      </c>
      <c r="F357">
        <v>2024</v>
      </c>
      <c r="I357">
        <v>2020</v>
      </c>
      <c r="P357">
        <v>0.98818181818181816</v>
      </c>
    </row>
    <row r="358" spans="1:19" x14ac:dyDescent="0.25">
      <c r="A358" t="s">
        <v>1043</v>
      </c>
      <c r="B358" t="s">
        <v>1044</v>
      </c>
      <c r="C358" t="s">
        <v>1045</v>
      </c>
      <c r="D358" t="s">
        <v>1045</v>
      </c>
    </row>
    <row r="359" spans="1:19" x14ac:dyDescent="0.25">
      <c r="A359" t="s">
        <v>1046</v>
      </c>
      <c r="B359" t="s">
        <v>1047</v>
      </c>
      <c r="C359" t="s">
        <v>1048</v>
      </c>
      <c r="D359" t="s">
        <v>1048</v>
      </c>
      <c r="F359">
        <v>2024</v>
      </c>
      <c r="I359">
        <v>2020</v>
      </c>
      <c r="P359">
        <v>0.65</v>
      </c>
    </row>
    <row r="360" spans="1:19" x14ac:dyDescent="0.25">
      <c r="A360" t="s">
        <v>1049</v>
      </c>
      <c r="B360" t="s">
        <v>1050</v>
      </c>
      <c r="C360" t="s">
        <v>1051</v>
      </c>
      <c r="D360" t="s">
        <v>1052</v>
      </c>
      <c r="F360">
        <v>2024</v>
      </c>
      <c r="I360">
        <v>2020</v>
      </c>
      <c r="P360">
        <v>0.62</v>
      </c>
    </row>
    <row r="361" spans="1:19" x14ac:dyDescent="0.25">
      <c r="A361" t="s">
        <v>1053</v>
      </c>
      <c r="B361" t="s">
        <v>1054</v>
      </c>
      <c r="C361" t="s">
        <v>1055</v>
      </c>
      <c r="D361" t="s">
        <v>1055</v>
      </c>
      <c r="P361">
        <v>1</v>
      </c>
    </row>
    <row r="362" spans="1:19" x14ac:dyDescent="0.25">
      <c r="A362" t="s">
        <v>1056</v>
      </c>
      <c r="B362" t="s">
        <v>1057</v>
      </c>
      <c r="C362" t="s">
        <v>1058</v>
      </c>
      <c r="D362" t="s">
        <v>1059</v>
      </c>
      <c r="F362">
        <v>2024</v>
      </c>
      <c r="I362">
        <v>2020</v>
      </c>
      <c r="P362">
        <v>0.78</v>
      </c>
    </row>
    <row r="363" spans="1:19" x14ac:dyDescent="0.25">
      <c r="A363" t="s">
        <v>1060</v>
      </c>
      <c r="B363" t="s">
        <v>1061</v>
      </c>
      <c r="C363" t="s">
        <v>1062</v>
      </c>
      <c r="D363" t="s">
        <v>1062</v>
      </c>
      <c r="F363">
        <v>2025</v>
      </c>
      <c r="I363">
        <v>2020</v>
      </c>
      <c r="O363" s="2">
        <v>45714</v>
      </c>
      <c r="P363">
        <v>1</v>
      </c>
      <c r="S363">
        <v>16.22</v>
      </c>
    </row>
    <row r="364" spans="1:19" x14ac:dyDescent="0.25">
      <c r="A364" t="s">
        <v>1063</v>
      </c>
      <c r="B364" t="s">
        <v>1064</v>
      </c>
      <c r="C364" t="s">
        <v>1065</v>
      </c>
      <c r="D364" t="s">
        <v>1066</v>
      </c>
    </row>
    <row r="365" spans="1:19" x14ac:dyDescent="0.25">
      <c r="A365" t="s">
        <v>1067</v>
      </c>
      <c r="B365" t="s">
        <v>1068</v>
      </c>
      <c r="C365" t="s">
        <v>1069</v>
      </c>
      <c r="D365" t="s">
        <v>1069</v>
      </c>
      <c r="F365">
        <v>2024</v>
      </c>
      <c r="I365">
        <v>2020</v>
      </c>
      <c r="P365">
        <v>0.98818181818181816</v>
      </c>
    </row>
    <row r="366" spans="1:19" x14ac:dyDescent="0.25">
      <c r="A366" t="s">
        <v>1070</v>
      </c>
      <c r="B366" t="s">
        <v>1071</v>
      </c>
      <c r="C366" t="s">
        <v>1072</v>
      </c>
      <c r="D366" t="s">
        <v>1072</v>
      </c>
      <c r="P366">
        <v>0.95</v>
      </c>
    </row>
    <row r="367" spans="1:19" x14ac:dyDescent="0.25">
      <c r="A367" t="s">
        <v>1073</v>
      </c>
      <c r="B367" t="s">
        <v>1074</v>
      </c>
      <c r="C367" t="s">
        <v>1075</v>
      </c>
      <c r="D367" t="s">
        <v>1075</v>
      </c>
      <c r="F367">
        <v>2024</v>
      </c>
      <c r="I367">
        <v>2020</v>
      </c>
      <c r="P367">
        <v>0.96</v>
      </c>
    </row>
    <row r="368" spans="1:19" x14ac:dyDescent="0.25">
      <c r="A368" t="s">
        <v>1076</v>
      </c>
      <c r="B368" t="s">
        <v>1077</v>
      </c>
      <c r="C368" t="s">
        <v>1078</v>
      </c>
      <c r="D368" t="s">
        <v>1078</v>
      </c>
      <c r="P368">
        <v>0.96499999999999997</v>
      </c>
    </row>
    <row r="369" spans="1:19" x14ac:dyDescent="0.25">
      <c r="A369" t="s">
        <v>1079</v>
      </c>
      <c r="B369" t="s">
        <v>1080</v>
      </c>
      <c r="C369" t="s">
        <v>1081</v>
      </c>
      <c r="D369" t="s">
        <v>1082</v>
      </c>
      <c r="F369">
        <v>2025</v>
      </c>
      <c r="I369">
        <v>2020</v>
      </c>
      <c r="O369" s="2">
        <v>45699</v>
      </c>
      <c r="P369">
        <v>5.8400000000000001E-2</v>
      </c>
      <c r="S369">
        <v>4.62</v>
      </c>
    </row>
    <row r="370" spans="1:19" x14ac:dyDescent="0.25">
      <c r="A370" t="s">
        <v>1083</v>
      </c>
      <c r="B370" t="s">
        <v>1084</v>
      </c>
      <c r="C370" t="s">
        <v>1085</v>
      </c>
      <c r="D370" t="s">
        <v>1085</v>
      </c>
      <c r="F370">
        <v>2024</v>
      </c>
      <c r="I370">
        <v>2020</v>
      </c>
      <c r="P370">
        <v>0</v>
      </c>
    </row>
    <row r="371" spans="1:19" x14ac:dyDescent="0.25">
      <c r="A371" t="s">
        <v>1086</v>
      </c>
      <c r="B371" t="s">
        <v>1087</v>
      </c>
      <c r="C371" t="s">
        <v>1088</v>
      </c>
      <c r="D371" t="s">
        <v>1088</v>
      </c>
      <c r="P371">
        <v>1</v>
      </c>
    </row>
    <row r="372" spans="1:19" x14ac:dyDescent="0.25">
      <c r="A372" t="s">
        <v>1089</v>
      </c>
      <c r="B372" t="s">
        <v>1090</v>
      </c>
      <c r="C372" t="s">
        <v>1091</v>
      </c>
      <c r="D372" t="s">
        <v>1091</v>
      </c>
      <c r="P372">
        <v>1</v>
      </c>
    </row>
    <row r="373" spans="1:19" x14ac:dyDescent="0.25">
      <c r="A373" t="s">
        <v>1092</v>
      </c>
      <c r="B373" t="s">
        <v>1093</v>
      </c>
      <c r="C373" t="s">
        <v>1094</v>
      </c>
      <c r="D373" t="s">
        <v>1094</v>
      </c>
      <c r="F373">
        <v>2024</v>
      </c>
      <c r="I373">
        <v>2020</v>
      </c>
      <c r="P373">
        <v>0.2</v>
      </c>
    </row>
    <row r="374" spans="1:19" x14ac:dyDescent="0.25">
      <c r="A374" t="s">
        <v>1095</v>
      </c>
      <c r="B374" t="s">
        <v>1096</v>
      </c>
      <c r="C374" t="s">
        <v>1097</v>
      </c>
      <c r="D374" t="s">
        <v>1097</v>
      </c>
      <c r="F374">
        <v>2024</v>
      </c>
      <c r="I374">
        <v>2020</v>
      </c>
      <c r="P374">
        <v>0.98</v>
      </c>
    </row>
    <row r="375" spans="1:19" x14ac:dyDescent="0.25">
      <c r="A375" t="s">
        <v>1098</v>
      </c>
      <c r="B375" t="s">
        <v>1099</v>
      </c>
      <c r="C375" t="s">
        <v>1100</v>
      </c>
      <c r="D375" t="s">
        <v>1100</v>
      </c>
      <c r="F375">
        <v>2024</v>
      </c>
      <c r="I375">
        <v>2020</v>
      </c>
      <c r="P375">
        <v>0.98</v>
      </c>
    </row>
    <row r="376" spans="1:19" x14ac:dyDescent="0.25">
      <c r="A376" t="s">
        <v>1101</v>
      </c>
      <c r="B376" t="s">
        <v>1102</v>
      </c>
      <c r="C376" t="s">
        <v>1103</v>
      </c>
      <c r="D376" t="s">
        <v>1103</v>
      </c>
      <c r="P376">
        <v>0.82499999999999996</v>
      </c>
    </row>
    <row r="377" spans="1:19" x14ac:dyDescent="0.25">
      <c r="A377" t="s">
        <v>1104</v>
      </c>
      <c r="B377" t="s">
        <v>1105</v>
      </c>
      <c r="C377" t="s">
        <v>1106</v>
      </c>
      <c r="D377" t="s">
        <v>1107</v>
      </c>
      <c r="P377">
        <v>0.82499999999999996</v>
      </c>
    </row>
    <row r="378" spans="1:19" x14ac:dyDescent="0.25">
      <c r="A378" t="s">
        <v>1108</v>
      </c>
      <c r="B378" t="s">
        <v>995</v>
      </c>
      <c r="C378" t="s">
        <v>996</v>
      </c>
      <c r="D378" t="s">
        <v>996</v>
      </c>
      <c r="F378">
        <v>2024</v>
      </c>
      <c r="I378">
        <v>2020</v>
      </c>
      <c r="P378">
        <v>0.93</v>
      </c>
    </row>
    <row r="379" spans="1:19" x14ac:dyDescent="0.25">
      <c r="A379" t="s">
        <v>1109</v>
      </c>
      <c r="B379" t="s">
        <v>995</v>
      </c>
      <c r="C379" t="s">
        <v>996</v>
      </c>
      <c r="D379" t="s">
        <v>996</v>
      </c>
      <c r="F379">
        <v>2024</v>
      </c>
      <c r="I379">
        <v>2020</v>
      </c>
      <c r="P379">
        <v>0.91</v>
      </c>
    </row>
    <row r="380" spans="1:19" x14ac:dyDescent="0.25">
      <c r="A380" t="s">
        <v>1110</v>
      </c>
      <c r="B380" t="s">
        <v>1111</v>
      </c>
      <c r="C380" t="s">
        <v>1112</v>
      </c>
      <c r="D380" t="s">
        <v>1112</v>
      </c>
    </row>
    <row r="381" spans="1:19" x14ac:dyDescent="0.25">
      <c r="A381" t="s">
        <v>1113</v>
      </c>
      <c r="B381" t="s">
        <v>1114</v>
      </c>
      <c r="C381" t="s">
        <v>1115</v>
      </c>
      <c r="D381" t="s">
        <v>1116</v>
      </c>
    </row>
    <row r="382" spans="1:19" x14ac:dyDescent="0.25">
      <c r="A382" t="s">
        <v>1117</v>
      </c>
      <c r="B382" t="s">
        <v>1118</v>
      </c>
      <c r="C382" t="s">
        <v>1119</v>
      </c>
      <c r="D382" t="s">
        <v>1120</v>
      </c>
      <c r="F382">
        <v>2021</v>
      </c>
      <c r="I382">
        <v>2021</v>
      </c>
      <c r="O382" s="2">
        <v>44197</v>
      </c>
      <c r="P382">
        <v>0.73769999999999991</v>
      </c>
      <c r="S382">
        <v>3.8</v>
      </c>
    </row>
    <row r="383" spans="1:19" x14ac:dyDescent="0.25">
      <c r="A383" t="s">
        <v>1121</v>
      </c>
      <c r="B383" t="s">
        <v>1122</v>
      </c>
      <c r="C383" t="s">
        <v>1123</v>
      </c>
      <c r="D383" t="s">
        <v>1123</v>
      </c>
      <c r="F383">
        <v>2025</v>
      </c>
      <c r="I383">
        <v>2021</v>
      </c>
      <c r="O383" s="2">
        <v>45686</v>
      </c>
      <c r="P383">
        <v>0.97319999999999995</v>
      </c>
      <c r="S383">
        <v>15.49</v>
      </c>
    </row>
    <row r="384" spans="1:19" x14ac:dyDescent="0.25">
      <c r="A384" t="s">
        <v>1124</v>
      </c>
      <c r="B384" t="s">
        <v>1014</v>
      </c>
      <c r="C384" t="s">
        <v>1015</v>
      </c>
      <c r="D384" t="s">
        <v>1015</v>
      </c>
      <c r="F384">
        <v>2025</v>
      </c>
      <c r="I384">
        <v>2021</v>
      </c>
      <c r="O384" s="2">
        <v>45693</v>
      </c>
      <c r="P384">
        <v>0.69140000000000001</v>
      </c>
      <c r="S384">
        <v>12.79</v>
      </c>
    </row>
    <row r="385" spans="1:19" x14ac:dyDescent="0.25">
      <c r="A385" t="s">
        <v>1125</v>
      </c>
      <c r="B385" t="s">
        <v>953</v>
      </c>
      <c r="C385" t="s">
        <v>954</v>
      </c>
      <c r="D385" t="s">
        <v>955</v>
      </c>
    </row>
    <row r="386" spans="1:19" x14ac:dyDescent="0.25">
      <c r="A386" t="s">
        <v>1126</v>
      </c>
      <c r="B386" t="s">
        <v>1127</v>
      </c>
      <c r="C386" t="s">
        <v>1128</v>
      </c>
      <c r="D386" t="s">
        <v>1128</v>
      </c>
      <c r="F386">
        <v>2025</v>
      </c>
      <c r="I386">
        <v>2021</v>
      </c>
      <c r="P386">
        <v>0</v>
      </c>
    </row>
    <row r="387" spans="1:19" x14ac:dyDescent="0.25">
      <c r="A387" t="s">
        <v>1129</v>
      </c>
      <c r="B387" t="s">
        <v>1130</v>
      </c>
      <c r="C387" t="s">
        <v>1131</v>
      </c>
      <c r="D387" t="s">
        <v>1132</v>
      </c>
      <c r="F387">
        <v>2025</v>
      </c>
      <c r="I387">
        <v>2021</v>
      </c>
      <c r="O387" s="2">
        <v>45688</v>
      </c>
      <c r="P387">
        <v>0.2475</v>
      </c>
      <c r="S387">
        <v>7.02</v>
      </c>
    </row>
    <row r="388" spans="1:19" x14ac:dyDescent="0.25">
      <c r="A388" t="s">
        <v>1133</v>
      </c>
      <c r="B388" t="s">
        <v>1134</v>
      </c>
      <c r="C388" t="s">
        <v>1135</v>
      </c>
      <c r="D388" t="s">
        <v>1135</v>
      </c>
      <c r="F388">
        <v>2025</v>
      </c>
      <c r="I388">
        <v>2021</v>
      </c>
      <c r="O388" s="2">
        <v>45693</v>
      </c>
      <c r="P388">
        <v>0.98880000000000001</v>
      </c>
      <c r="S388">
        <v>17.86</v>
      </c>
    </row>
    <row r="389" spans="1:19" x14ac:dyDescent="0.25">
      <c r="A389" t="s">
        <v>1136</v>
      </c>
      <c r="B389" t="s">
        <v>1137</v>
      </c>
      <c r="C389" t="s">
        <v>1138</v>
      </c>
      <c r="D389" t="s">
        <v>1139</v>
      </c>
      <c r="F389">
        <v>2025</v>
      </c>
      <c r="I389">
        <v>2021</v>
      </c>
      <c r="O389" s="2">
        <v>45728</v>
      </c>
      <c r="P389">
        <v>0.51959999999999995</v>
      </c>
      <c r="S389">
        <v>4.5199999999999996</v>
      </c>
    </row>
    <row r="390" spans="1:19" x14ac:dyDescent="0.25">
      <c r="A390" t="s">
        <v>1140</v>
      </c>
      <c r="B390" t="s">
        <v>1141</v>
      </c>
      <c r="C390" t="s">
        <v>1142</v>
      </c>
      <c r="D390" t="s">
        <v>1143</v>
      </c>
    </row>
    <row r="391" spans="1:19" x14ac:dyDescent="0.25">
      <c r="A391" t="s">
        <v>1144</v>
      </c>
      <c r="B391" t="s">
        <v>1145</v>
      </c>
      <c r="C391" t="s">
        <v>1146</v>
      </c>
      <c r="D391" t="s">
        <v>1147</v>
      </c>
      <c r="F391">
        <v>2025</v>
      </c>
      <c r="I391">
        <v>2021</v>
      </c>
      <c r="O391" s="2">
        <v>45695</v>
      </c>
      <c r="P391">
        <v>0.29630000000000001</v>
      </c>
      <c r="S391">
        <v>13.27</v>
      </c>
    </row>
    <row r="392" spans="1:19" x14ac:dyDescent="0.25">
      <c r="A392" t="s">
        <v>1148</v>
      </c>
      <c r="B392" t="s">
        <v>1149</v>
      </c>
      <c r="C392" t="s">
        <v>1150</v>
      </c>
      <c r="D392" t="s">
        <v>1151</v>
      </c>
      <c r="F392">
        <v>2025</v>
      </c>
      <c r="I392">
        <v>2021</v>
      </c>
      <c r="O392" s="2">
        <v>45706</v>
      </c>
      <c r="P392">
        <v>0.94440000000000002</v>
      </c>
      <c r="S392">
        <v>22.59</v>
      </c>
    </row>
    <row r="393" spans="1:19" x14ac:dyDescent="0.25">
      <c r="A393" t="s">
        <v>1152</v>
      </c>
      <c r="B393" t="s">
        <v>1153</v>
      </c>
      <c r="C393" t="s">
        <v>1154</v>
      </c>
      <c r="D393" t="s">
        <v>1155</v>
      </c>
      <c r="F393">
        <v>2025</v>
      </c>
      <c r="I393">
        <v>2021</v>
      </c>
      <c r="O393" s="2">
        <v>45706</v>
      </c>
      <c r="P393">
        <v>0.75900000000000001</v>
      </c>
      <c r="S393">
        <v>14.53</v>
      </c>
    </row>
    <row r="394" spans="1:19" x14ac:dyDescent="0.25">
      <c r="A394" t="s">
        <v>1156</v>
      </c>
      <c r="B394" t="s">
        <v>1157</v>
      </c>
      <c r="C394" t="s">
        <v>1158</v>
      </c>
      <c r="D394" t="s">
        <v>1159</v>
      </c>
      <c r="F394">
        <v>2025</v>
      </c>
      <c r="I394">
        <v>2021</v>
      </c>
      <c r="O394" s="2">
        <v>45706</v>
      </c>
      <c r="P394">
        <v>0.8</v>
      </c>
      <c r="S394">
        <v>15.24</v>
      </c>
    </row>
    <row r="395" spans="1:19" x14ac:dyDescent="0.25">
      <c r="A395" t="s">
        <v>1160</v>
      </c>
      <c r="B395" t="s">
        <v>1161</v>
      </c>
      <c r="C395" t="s">
        <v>1162</v>
      </c>
      <c r="D395" t="s">
        <v>1163</v>
      </c>
      <c r="F395">
        <v>2025</v>
      </c>
      <c r="I395">
        <v>2021</v>
      </c>
      <c r="O395" s="2">
        <v>45692</v>
      </c>
      <c r="P395">
        <v>0.87960000000000005</v>
      </c>
      <c r="S395">
        <v>11.98</v>
      </c>
    </row>
    <row r="396" spans="1:19" x14ac:dyDescent="0.25">
      <c r="A396" t="s">
        <v>1164</v>
      </c>
      <c r="B396" t="s">
        <v>1165</v>
      </c>
      <c r="C396" t="s">
        <v>1166</v>
      </c>
      <c r="D396" t="s">
        <v>1166</v>
      </c>
      <c r="F396">
        <v>2025</v>
      </c>
      <c r="I396">
        <v>2021</v>
      </c>
      <c r="O396" s="2">
        <v>45706</v>
      </c>
      <c r="P396">
        <v>0.95960000000000001</v>
      </c>
      <c r="S396">
        <v>16.05</v>
      </c>
    </row>
    <row r="397" spans="1:19" x14ac:dyDescent="0.25">
      <c r="A397" t="s">
        <v>1167</v>
      </c>
      <c r="B397" t="s">
        <v>1064</v>
      </c>
      <c r="C397" t="s">
        <v>1065</v>
      </c>
      <c r="D397" t="s">
        <v>1066</v>
      </c>
    </row>
    <row r="398" spans="1:19" x14ac:dyDescent="0.25">
      <c r="A398" t="s">
        <v>1168</v>
      </c>
      <c r="B398" t="s">
        <v>1169</v>
      </c>
      <c r="C398" t="s">
        <v>1170</v>
      </c>
      <c r="D398" t="s">
        <v>1170</v>
      </c>
      <c r="F398">
        <v>2025</v>
      </c>
      <c r="I398">
        <v>2021</v>
      </c>
      <c r="O398" s="2">
        <v>45681</v>
      </c>
      <c r="P398">
        <v>0.96230000000000004</v>
      </c>
      <c r="S398">
        <v>15.77</v>
      </c>
    </row>
    <row r="399" spans="1:19" x14ac:dyDescent="0.25">
      <c r="A399" t="s">
        <v>1171</v>
      </c>
      <c r="B399" t="s">
        <v>1172</v>
      </c>
      <c r="C399" t="s">
        <v>1173</v>
      </c>
      <c r="D399" t="s">
        <v>1173</v>
      </c>
    </row>
    <row r="400" spans="1:19" x14ac:dyDescent="0.25">
      <c r="A400" t="s">
        <v>1174</v>
      </c>
      <c r="B400" t="s">
        <v>1172</v>
      </c>
      <c r="C400" t="s">
        <v>1173</v>
      </c>
      <c r="D400" t="s">
        <v>1173</v>
      </c>
    </row>
    <row r="401" spans="1:19" x14ac:dyDescent="0.25">
      <c r="A401" t="s">
        <v>1175</v>
      </c>
      <c r="B401" t="s">
        <v>1176</v>
      </c>
      <c r="C401" t="s">
        <v>1177</v>
      </c>
      <c r="D401" t="s">
        <v>1178</v>
      </c>
      <c r="F401">
        <v>2025</v>
      </c>
      <c r="I401">
        <v>2021</v>
      </c>
      <c r="O401" s="2">
        <v>45685</v>
      </c>
      <c r="P401">
        <v>0.87</v>
      </c>
      <c r="S401">
        <v>14.76</v>
      </c>
    </row>
    <row r="402" spans="1:19" x14ac:dyDescent="0.25">
      <c r="A402" t="s">
        <v>1179</v>
      </c>
      <c r="B402" t="s">
        <v>1180</v>
      </c>
      <c r="C402" t="s">
        <v>1181</v>
      </c>
      <c r="D402" t="s">
        <v>1181</v>
      </c>
      <c r="F402">
        <v>2024</v>
      </c>
      <c r="I402">
        <v>2021</v>
      </c>
      <c r="P402">
        <v>0</v>
      </c>
    </row>
    <row r="403" spans="1:19" x14ac:dyDescent="0.25">
      <c r="A403" t="s">
        <v>1182</v>
      </c>
      <c r="B403" t="s">
        <v>1183</v>
      </c>
      <c r="C403" t="s">
        <v>1184</v>
      </c>
      <c r="D403" t="s">
        <v>1185</v>
      </c>
    </row>
    <row r="404" spans="1:19" x14ac:dyDescent="0.25">
      <c r="A404" t="s">
        <v>1186</v>
      </c>
      <c r="B404" t="s">
        <v>1187</v>
      </c>
      <c r="C404" t="s">
        <v>1188</v>
      </c>
      <c r="D404" t="s">
        <v>1189</v>
      </c>
      <c r="P404">
        <v>1</v>
      </c>
    </row>
    <row r="405" spans="1:19" x14ac:dyDescent="0.25">
      <c r="A405" t="s">
        <v>1190</v>
      </c>
      <c r="B405" t="s">
        <v>1191</v>
      </c>
      <c r="C405" t="s">
        <v>1192</v>
      </c>
      <c r="D405" t="s">
        <v>1193</v>
      </c>
      <c r="F405">
        <v>2025</v>
      </c>
      <c r="I405">
        <v>2021</v>
      </c>
      <c r="O405" s="2">
        <v>45722</v>
      </c>
      <c r="P405">
        <v>0.90700000000000003</v>
      </c>
      <c r="S405">
        <v>11.58</v>
      </c>
    </row>
    <row r="406" spans="1:19" x14ac:dyDescent="0.25">
      <c r="A406" t="s">
        <v>1194</v>
      </c>
      <c r="B406" t="s">
        <v>1195</v>
      </c>
      <c r="C406" t="s">
        <v>1196</v>
      </c>
      <c r="D406" t="s">
        <v>1197</v>
      </c>
      <c r="F406">
        <v>2025</v>
      </c>
      <c r="I406">
        <v>2021</v>
      </c>
      <c r="O406" s="2">
        <v>45722</v>
      </c>
      <c r="P406">
        <v>1</v>
      </c>
      <c r="S406">
        <v>29.69</v>
      </c>
    </row>
    <row r="407" spans="1:19" x14ac:dyDescent="0.25">
      <c r="A407" t="s">
        <v>1198</v>
      </c>
      <c r="B407" t="s">
        <v>1199</v>
      </c>
      <c r="C407" t="s">
        <v>1200</v>
      </c>
      <c r="D407" t="s">
        <v>1201</v>
      </c>
      <c r="F407">
        <v>2025</v>
      </c>
      <c r="I407">
        <v>2021</v>
      </c>
      <c r="O407" s="2">
        <v>45691</v>
      </c>
      <c r="P407">
        <v>0.5413</v>
      </c>
      <c r="S407">
        <v>6.3</v>
      </c>
    </row>
    <row r="408" spans="1:19" x14ac:dyDescent="0.25">
      <c r="A408" t="s">
        <v>1202</v>
      </c>
      <c r="B408" t="s">
        <v>1080</v>
      </c>
      <c r="C408" t="s">
        <v>1081</v>
      </c>
      <c r="D408" t="s">
        <v>1082</v>
      </c>
      <c r="F408">
        <v>2025</v>
      </c>
      <c r="I408">
        <v>2021</v>
      </c>
      <c r="P408">
        <v>0.87009999999999998</v>
      </c>
    </row>
    <row r="409" spans="1:19" x14ac:dyDescent="0.25">
      <c r="A409" t="s">
        <v>1203</v>
      </c>
      <c r="B409" t="s">
        <v>1096</v>
      </c>
      <c r="C409" t="s">
        <v>1097</v>
      </c>
      <c r="D409" t="s">
        <v>1097</v>
      </c>
      <c r="F409">
        <v>2025</v>
      </c>
      <c r="I409">
        <v>2021</v>
      </c>
      <c r="O409" s="2">
        <v>45714</v>
      </c>
      <c r="P409">
        <v>0.85289999999999999</v>
      </c>
      <c r="S409">
        <v>19.579999999999998</v>
      </c>
    </row>
    <row r="410" spans="1:19" x14ac:dyDescent="0.25">
      <c r="A410" t="s">
        <v>1204</v>
      </c>
      <c r="B410" t="s">
        <v>1205</v>
      </c>
      <c r="C410" t="s">
        <v>1206</v>
      </c>
      <c r="D410" t="s">
        <v>1207</v>
      </c>
      <c r="F410">
        <v>2025</v>
      </c>
      <c r="I410">
        <v>2021</v>
      </c>
      <c r="O410" s="2">
        <v>45716</v>
      </c>
      <c r="P410">
        <v>0.89670000000000005</v>
      </c>
      <c r="S410">
        <v>23.6</v>
      </c>
    </row>
    <row r="411" spans="1:19" x14ac:dyDescent="0.25">
      <c r="A411" t="s">
        <v>1208</v>
      </c>
      <c r="B411" t="s">
        <v>1105</v>
      </c>
      <c r="C411" t="s">
        <v>1106</v>
      </c>
      <c r="D411" t="s">
        <v>1107</v>
      </c>
    </row>
    <row r="412" spans="1:19" x14ac:dyDescent="0.25">
      <c r="A412" t="s">
        <v>1209</v>
      </c>
      <c r="B412" t="s">
        <v>1210</v>
      </c>
      <c r="C412" t="s">
        <v>1211</v>
      </c>
      <c r="D412" t="s">
        <v>1212</v>
      </c>
      <c r="F412">
        <v>2025</v>
      </c>
      <c r="I412">
        <v>2021</v>
      </c>
      <c r="O412" s="2">
        <v>45695</v>
      </c>
      <c r="P412">
        <v>0.47249999999999998</v>
      </c>
      <c r="S412">
        <v>34.32</v>
      </c>
    </row>
    <row r="413" spans="1:19" x14ac:dyDescent="0.25">
      <c r="A413" t="s">
        <v>1213</v>
      </c>
      <c r="B413" t="s">
        <v>1214</v>
      </c>
      <c r="C413" t="s">
        <v>1215</v>
      </c>
      <c r="D413" t="s">
        <v>1215</v>
      </c>
      <c r="F413">
        <v>2025</v>
      </c>
      <c r="I413">
        <v>2021</v>
      </c>
      <c r="O413" s="2">
        <v>45681</v>
      </c>
      <c r="P413">
        <v>0.97199999999999998</v>
      </c>
      <c r="S413">
        <v>7.37</v>
      </c>
    </row>
    <row r="414" spans="1:19" x14ac:dyDescent="0.25">
      <c r="A414" t="s">
        <v>1216</v>
      </c>
      <c r="B414" t="s">
        <v>1217</v>
      </c>
      <c r="C414" t="s">
        <v>1218</v>
      </c>
      <c r="D414" t="s">
        <v>1219</v>
      </c>
    </row>
    <row r="415" spans="1:19" x14ac:dyDescent="0.25">
      <c r="A415" t="s">
        <v>1220</v>
      </c>
      <c r="B415" t="s">
        <v>1221</v>
      </c>
      <c r="C415" t="s">
        <v>1222</v>
      </c>
      <c r="D415" t="s">
        <v>1223</v>
      </c>
      <c r="F415">
        <v>2025</v>
      </c>
      <c r="I415">
        <v>2021</v>
      </c>
      <c r="O415" s="2">
        <v>45699</v>
      </c>
      <c r="P415">
        <v>0.71060000000000001</v>
      </c>
      <c r="S415">
        <v>9.94</v>
      </c>
    </row>
    <row r="416" spans="1:19" x14ac:dyDescent="0.25">
      <c r="A416" t="s">
        <v>1224</v>
      </c>
      <c r="B416" t="s">
        <v>1225</v>
      </c>
      <c r="C416" t="s">
        <v>1226</v>
      </c>
      <c r="D416" t="s">
        <v>1227</v>
      </c>
      <c r="F416">
        <v>2025</v>
      </c>
      <c r="I416">
        <v>2021</v>
      </c>
      <c r="O416" s="2">
        <v>45713</v>
      </c>
      <c r="P416">
        <v>0.6623</v>
      </c>
      <c r="S416">
        <v>24.26</v>
      </c>
    </row>
    <row r="417" spans="1:19" x14ac:dyDescent="0.25">
      <c r="A417" t="s">
        <v>1228</v>
      </c>
      <c r="B417" t="s">
        <v>1229</v>
      </c>
      <c r="C417" t="s">
        <v>1230</v>
      </c>
      <c r="D417" t="s">
        <v>1231</v>
      </c>
    </row>
    <row r="418" spans="1:19" x14ac:dyDescent="0.25">
      <c r="A418" t="s">
        <v>1232</v>
      </c>
      <c r="B418" t="s">
        <v>1233</v>
      </c>
      <c r="C418" t="s">
        <v>1234</v>
      </c>
      <c r="D418" t="s">
        <v>1234</v>
      </c>
      <c r="F418">
        <v>2025</v>
      </c>
      <c r="I418">
        <v>2021</v>
      </c>
      <c r="O418" s="2">
        <v>45688</v>
      </c>
      <c r="P418">
        <v>0.93979999999999997</v>
      </c>
      <c r="S418">
        <v>10.48</v>
      </c>
    </row>
    <row r="419" spans="1:19" x14ac:dyDescent="0.25">
      <c r="A419" t="s">
        <v>1235</v>
      </c>
      <c r="B419" t="s">
        <v>1236</v>
      </c>
      <c r="C419" t="s">
        <v>1237</v>
      </c>
      <c r="D419" t="s">
        <v>1237</v>
      </c>
      <c r="F419">
        <v>2025</v>
      </c>
      <c r="I419">
        <v>2021</v>
      </c>
      <c r="O419" s="2">
        <v>45720</v>
      </c>
      <c r="P419">
        <v>0.93420000000000003</v>
      </c>
      <c r="S419">
        <v>14.14</v>
      </c>
    </row>
    <row r="420" spans="1:19" x14ac:dyDescent="0.25">
      <c r="A420" t="s">
        <v>1238</v>
      </c>
      <c r="B420" t="s">
        <v>1239</v>
      </c>
      <c r="C420" t="s">
        <v>1240</v>
      </c>
      <c r="D420" t="s">
        <v>1240</v>
      </c>
      <c r="F420">
        <v>2024</v>
      </c>
      <c r="I420">
        <v>2022</v>
      </c>
      <c r="P420">
        <v>0.94299999999999995</v>
      </c>
    </row>
    <row r="421" spans="1:19" x14ac:dyDescent="0.25">
      <c r="A421" t="s">
        <v>1241</v>
      </c>
      <c r="B421" t="s">
        <v>1127</v>
      </c>
      <c r="C421" t="s">
        <v>1128</v>
      </c>
      <c r="D421" t="s">
        <v>1128</v>
      </c>
      <c r="F421">
        <v>2022</v>
      </c>
      <c r="I421">
        <v>2022</v>
      </c>
      <c r="O421" s="2">
        <v>44562</v>
      </c>
      <c r="P421">
        <v>0.75</v>
      </c>
      <c r="S421">
        <v>2.11</v>
      </c>
    </row>
    <row r="422" spans="1:19" x14ac:dyDescent="0.25">
      <c r="A422" t="s">
        <v>1242</v>
      </c>
      <c r="B422" t="s">
        <v>1134</v>
      </c>
      <c r="C422" t="s">
        <v>1135</v>
      </c>
      <c r="D422" t="s">
        <v>1135</v>
      </c>
      <c r="F422">
        <v>2022</v>
      </c>
      <c r="I422">
        <v>2022</v>
      </c>
      <c r="O422" s="2">
        <v>44562</v>
      </c>
      <c r="P422">
        <v>0.99080000000000001</v>
      </c>
      <c r="S422">
        <v>4.7</v>
      </c>
    </row>
    <row r="423" spans="1:19" x14ac:dyDescent="0.25">
      <c r="A423" t="s">
        <v>1243</v>
      </c>
      <c r="B423" t="s">
        <v>1244</v>
      </c>
      <c r="C423" t="s">
        <v>1245</v>
      </c>
      <c r="D423" t="s">
        <v>1245</v>
      </c>
      <c r="F423">
        <v>2024</v>
      </c>
      <c r="I423">
        <v>2022</v>
      </c>
      <c r="P423">
        <v>0.98</v>
      </c>
    </row>
    <row r="424" spans="1:19" x14ac:dyDescent="0.25">
      <c r="A424" t="s">
        <v>1246</v>
      </c>
      <c r="B424" t="s">
        <v>1247</v>
      </c>
      <c r="C424" t="s">
        <v>1248</v>
      </c>
      <c r="D424" t="s">
        <v>1248</v>
      </c>
      <c r="F424">
        <v>2024</v>
      </c>
      <c r="I424">
        <v>2022</v>
      </c>
      <c r="P424">
        <v>0.98</v>
      </c>
    </row>
    <row r="425" spans="1:19" x14ac:dyDescent="0.25">
      <c r="A425" t="s">
        <v>1249</v>
      </c>
      <c r="B425" t="s">
        <v>1250</v>
      </c>
      <c r="C425" t="s">
        <v>1251</v>
      </c>
      <c r="D425" t="s">
        <v>1251</v>
      </c>
      <c r="P425">
        <v>0</v>
      </c>
    </row>
    <row r="426" spans="1:19" x14ac:dyDescent="0.25">
      <c r="A426" t="s">
        <v>1252</v>
      </c>
      <c r="B426" t="s">
        <v>1253</v>
      </c>
      <c r="C426" t="s">
        <v>1254</v>
      </c>
      <c r="D426" t="s">
        <v>1254</v>
      </c>
      <c r="F426">
        <v>2024</v>
      </c>
      <c r="I426">
        <v>2022</v>
      </c>
      <c r="P426">
        <v>0.67</v>
      </c>
    </row>
    <row r="427" spans="1:19" x14ac:dyDescent="0.25">
      <c r="A427" t="s">
        <v>1255</v>
      </c>
      <c r="B427" t="s">
        <v>1180</v>
      </c>
      <c r="C427" t="s">
        <v>1181</v>
      </c>
      <c r="D427" t="s">
        <v>1181</v>
      </c>
      <c r="F427">
        <v>2022</v>
      </c>
      <c r="I427">
        <v>2022</v>
      </c>
      <c r="O427" s="2">
        <v>44562</v>
      </c>
      <c r="P427">
        <v>0.90739999999999998</v>
      </c>
      <c r="S427">
        <v>1.62</v>
      </c>
    </row>
    <row r="428" spans="1:19" x14ac:dyDescent="0.25">
      <c r="A428" t="s">
        <v>1256</v>
      </c>
      <c r="B428" t="s">
        <v>1257</v>
      </c>
      <c r="C428" t="s">
        <v>1258</v>
      </c>
      <c r="D428" t="s">
        <v>1258</v>
      </c>
      <c r="F428">
        <v>2022</v>
      </c>
      <c r="I428">
        <v>2022</v>
      </c>
      <c r="O428" s="2">
        <v>44562</v>
      </c>
      <c r="P428">
        <v>0.95330000000000004</v>
      </c>
      <c r="S428">
        <v>4.5999999999999996</v>
      </c>
    </row>
    <row r="429" spans="1:19" x14ac:dyDescent="0.25">
      <c r="A429" t="s">
        <v>1259</v>
      </c>
      <c r="B429" t="s">
        <v>1084</v>
      </c>
      <c r="C429" t="s">
        <v>1085</v>
      </c>
      <c r="D429" t="s">
        <v>1085</v>
      </c>
      <c r="F429">
        <v>2022</v>
      </c>
      <c r="I429">
        <v>2022</v>
      </c>
      <c r="O429" s="2">
        <v>44562</v>
      </c>
      <c r="P429">
        <v>0.66100000000000003</v>
      </c>
      <c r="S429">
        <v>1</v>
      </c>
    </row>
    <row r="430" spans="1:19" x14ac:dyDescent="0.25">
      <c r="A430" t="s">
        <v>1260</v>
      </c>
      <c r="B430" t="s">
        <v>1261</v>
      </c>
      <c r="C430" t="s">
        <v>1262</v>
      </c>
      <c r="D430" t="s">
        <v>1263</v>
      </c>
      <c r="F430">
        <v>2024</v>
      </c>
      <c r="I430">
        <v>2022</v>
      </c>
      <c r="P430">
        <v>0</v>
      </c>
    </row>
    <row r="431" spans="1:19" x14ac:dyDescent="0.25">
      <c r="A431" t="s">
        <v>1264</v>
      </c>
      <c r="B431" t="s">
        <v>1265</v>
      </c>
      <c r="C431" t="s">
        <v>1266</v>
      </c>
      <c r="D431" t="s">
        <v>1266</v>
      </c>
      <c r="F431">
        <v>2024</v>
      </c>
      <c r="I431">
        <v>2022</v>
      </c>
      <c r="P431">
        <v>0.41</v>
      </c>
    </row>
    <row r="432" spans="1:19" x14ac:dyDescent="0.25">
      <c r="A432" t="s">
        <v>1267</v>
      </c>
      <c r="B432" t="s">
        <v>1268</v>
      </c>
      <c r="C432" t="s">
        <v>1269</v>
      </c>
      <c r="D432" t="s">
        <v>1269</v>
      </c>
      <c r="P432">
        <v>1</v>
      </c>
    </row>
    <row r="433" spans="1:19" x14ac:dyDescent="0.25">
      <c r="A433" t="s">
        <v>1270</v>
      </c>
      <c r="B433" t="s">
        <v>1214</v>
      </c>
      <c r="C433" t="s">
        <v>1215</v>
      </c>
      <c r="D433" t="s">
        <v>1215</v>
      </c>
      <c r="F433">
        <v>2024</v>
      </c>
      <c r="I433">
        <v>2022</v>
      </c>
      <c r="P433">
        <v>0.73</v>
      </c>
    </row>
    <row r="434" spans="1:19" x14ac:dyDescent="0.25">
      <c r="A434" t="s">
        <v>1271</v>
      </c>
      <c r="B434" t="s">
        <v>1221</v>
      </c>
      <c r="C434" t="s">
        <v>1222</v>
      </c>
      <c r="D434" t="s">
        <v>1223</v>
      </c>
      <c r="F434">
        <v>2024</v>
      </c>
      <c r="I434">
        <v>2022</v>
      </c>
      <c r="P434">
        <v>0.06</v>
      </c>
    </row>
    <row r="435" spans="1:19" x14ac:dyDescent="0.25">
      <c r="A435" t="s">
        <v>1272</v>
      </c>
      <c r="B435" t="s">
        <v>1273</v>
      </c>
      <c r="C435" t="s">
        <v>1274</v>
      </c>
      <c r="D435" t="s">
        <v>1274</v>
      </c>
      <c r="F435">
        <v>2024</v>
      </c>
      <c r="I435">
        <v>2022</v>
      </c>
      <c r="P435">
        <v>0.99170000000000003</v>
      </c>
    </row>
    <row r="436" spans="1:19" x14ac:dyDescent="0.25">
      <c r="A436" t="s">
        <v>1275</v>
      </c>
      <c r="B436" t="s">
        <v>1276</v>
      </c>
      <c r="C436" t="s">
        <v>1277</v>
      </c>
      <c r="D436" t="s">
        <v>1277</v>
      </c>
      <c r="F436">
        <v>2022</v>
      </c>
      <c r="I436">
        <v>2022</v>
      </c>
      <c r="P436">
        <v>1</v>
      </c>
    </row>
    <row r="437" spans="1:19" x14ac:dyDescent="0.25">
      <c r="A437" t="s">
        <v>1278</v>
      </c>
      <c r="B437" t="s">
        <v>1279</v>
      </c>
      <c r="C437" t="s">
        <v>1280</v>
      </c>
      <c r="D437" t="s">
        <v>1280</v>
      </c>
    </row>
    <row r="438" spans="1:19" x14ac:dyDescent="0.25">
      <c r="A438" t="s">
        <v>1281</v>
      </c>
      <c r="B438" t="s">
        <v>1282</v>
      </c>
      <c r="C438" t="s">
        <v>1283</v>
      </c>
      <c r="D438" t="s">
        <v>1284</v>
      </c>
      <c r="F438">
        <v>2025</v>
      </c>
      <c r="I438">
        <v>2023</v>
      </c>
      <c r="O438" s="2">
        <v>45685</v>
      </c>
      <c r="P438">
        <v>0.9</v>
      </c>
      <c r="S438">
        <v>12.25</v>
      </c>
    </row>
    <row r="439" spans="1:19" x14ac:dyDescent="0.25">
      <c r="A439" t="s">
        <v>1285</v>
      </c>
      <c r="B439" t="s">
        <v>1286</v>
      </c>
      <c r="C439" t="s">
        <v>1287</v>
      </c>
      <c r="D439" t="s">
        <v>1287</v>
      </c>
      <c r="F439">
        <v>2025</v>
      </c>
      <c r="I439">
        <v>2023</v>
      </c>
      <c r="O439" s="2">
        <v>45681</v>
      </c>
      <c r="P439">
        <v>0.99150000000000005</v>
      </c>
      <c r="S439">
        <v>15.32</v>
      </c>
    </row>
    <row r="440" spans="1:19" x14ac:dyDescent="0.25">
      <c r="A440" t="s">
        <v>1288</v>
      </c>
      <c r="B440" t="s">
        <v>1244</v>
      </c>
      <c r="C440" t="s">
        <v>1245</v>
      </c>
      <c r="D440" t="s">
        <v>1245</v>
      </c>
      <c r="F440">
        <v>2025</v>
      </c>
      <c r="I440">
        <v>2023</v>
      </c>
      <c r="O440" s="2">
        <v>45721</v>
      </c>
      <c r="P440">
        <v>1</v>
      </c>
      <c r="S440">
        <v>18.899999999999999</v>
      </c>
    </row>
    <row r="441" spans="1:19" x14ac:dyDescent="0.25">
      <c r="A441" t="s">
        <v>1289</v>
      </c>
      <c r="B441" t="s">
        <v>1290</v>
      </c>
      <c r="C441" t="s">
        <v>1291</v>
      </c>
      <c r="D441" t="s">
        <v>1292</v>
      </c>
      <c r="F441">
        <v>2025</v>
      </c>
      <c r="I441">
        <v>2023</v>
      </c>
      <c r="O441" s="2">
        <v>45721</v>
      </c>
      <c r="P441">
        <v>0.9909</v>
      </c>
      <c r="S441">
        <v>3.37</v>
      </c>
    </row>
    <row r="442" spans="1:19" x14ac:dyDescent="0.25">
      <c r="A442" t="s">
        <v>1293</v>
      </c>
      <c r="B442" t="s">
        <v>1294</v>
      </c>
      <c r="C442" t="s">
        <v>1295</v>
      </c>
      <c r="D442" t="s">
        <v>1296</v>
      </c>
    </row>
    <row r="443" spans="1:19" x14ac:dyDescent="0.25">
      <c r="A443" t="s">
        <v>1297</v>
      </c>
      <c r="B443" t="s">
        <v>1061</v>
      </c>
      <c r="C443" t="s">
        <v>1062</v>
      </c>
      <c r="D443" t="s">
        <v>1062</v>
      </c>
      <c r="F443">
        <v>2025</v>
      </c>
      <c r="I443">
        <v>2023</v>
      </c>
      <c r="O443" s="2">
        <v>45706</v>
      </c>
      <c r="P443">
        <v>0.98699999999999999</v>
      </c>
      <c r="S443">
        <v>9.49</v>
      </c>
    </row>
    <row r="444" spans="1:19" x14ac:dyDescent="0.25">
      <c r="A444" t="s">
        <v>1298</v>
      </c>
      <c r="B444" t="s">
        <v>1180</v>
      </c>
      <c r="C444" t="s">
        <v>1181</v>
      </c>
      <c r="D444" t="s">
        <v>1181</v>
      </c>
      <c r="I444">
        <v>2023</v>
      </c>
      <c r="P444">
        <v>1</v>
      </c>
    </row>
    <row r="445" spans="1:19" x14ac:dyDescent="0.25">
      <c r="A445" t="s">
        <v>1299</v>
      </c>
      <c r="B445" t="s">
        <v>1265</v>
      </c>
      <c r="C445" t="s">
        <v>1266</v>
      </c>
      <c r="D445" t="s">
        <v>1266</v>
      </c>
      <c r="P445">
        <v>1</v>
      </c>
    </row>
    <row r="446" spans="1:19" x14ac:dyDescent="0.25">
      <c r="A446" t="s">
        <v>1300</v>
      </c>
      <c r="B446" t="s">
        <v>1301</v>
      </c>
      <c r="C446" t="s">
        <v>1302</v>
      </c>
      <c r="D446" t="s">
        <v>1302</v>
      </c>
    </row>
    <row r="447" spans="1:19" x14ac:dyDescent="0.25">
      <c r="A447" t="s">
        <v>1303</v>
      </c>
      <c r="B447" t="s">
        <v>1161</v>
      </c>
      <c r="C447" t="s">
        <v>1162</v>
      </c>
      <c r="D447" t="s">
        <v>1163</v>
      </c>
    </row>
    <row r="448" spans="1:19" x14ac:dyDescent="0.25">
      <c r="A448" t="s">
        <v>1304</v>
      </c>
      <c r="B448" t="s">
        <v>1305</v>
      </c>
      <c r="C448" t="s">
        <v>1306</v>
      </c>
      <c r="D448" t="s">
        <v>1307</v>
      </c>
    </row>
    <row r="449" spans="1:19" x14ac:dyDescent="0.25">
      <c r="A449" t="s">
        <v>1308</v>
      </c>
      <c r="B449" t="s">
        <v>1309</v>
      </c>
      <c r="C449" t="s">
        <v>1310</v>
      </c>
      <c r="D449" t="s">
        <v>1310</v>
      </c>
    </row>
    <row r="450" spans="1:19" x14ac:dyDescent="0.25">
      <c r="A450" t="s">
        <v>1311</v>
      </c>
      <c r="B450" t="s">
        <v>1312</v>
      </c>
      <c r="C450" t="s">
        <v>1313</v>
      </c>
      <c r="D450" t="s">
        <v>1314</v>
      </c>
      <c r="F450">
        <v>2025</v>
      </c>
      <c r="I450">
        <v>2024</v>
      </c>
      <c r="O450" s="2">
        <v>45688</v>
      </c>
      <c r="P450">
        <v>0.89290000000000003</v>
      </c>
      <c r="S450">
        <v>4.28</v>
      </c>
    </row>
    <row r="451" spans="1:19" x14ac:dyDescent="0.25">
      <c r="A451" t="s">
        <v>1315</v>
      </c>
      <c r="B451" t="s">
        <v>1290</v>
      </c>
      <c r="C451" t="s">
        <v>1291</v>
      </c>
      <c r="D451" t="s">
        <v>1292</v>
      </c>
      <c r="F451">
        <v>2025</v>
      </c>
      <c r="I451">
        <v>2024</v>
      </c>
      <c r="O451" s="2">
        <v>45721</v>
      </c>
      <c r="P451">
        <v>0.91139999999999999</v>
      </c>
      <c r="S451">
        <v>7.11</v>
      </c>
    </row>
    <row r="452" spans="1:19" x14ac:dyDescent="0.25">
      <c r="A452" t="s">
        <v>1316</v>
      </c>
      <c r="B452" t="s">
        <v>1317</v>
      </c>
      <c r="C452" t="s">
        <v>1318</v>
      </c>
      <c r="D452" t="s">
        <v>1318</v>
      </c>
      <c r="F452">
        <v>2025</v>
      </c>
      <c r="I452">
        <v>2024</v>
      </c>
      <c r="O452" s="2">
        <v>45721</v>
      </c>
      <c r="P452">
        <v>0.97370000000000001</v>
      </c>
      <c r="S452">
        <v>5.83</v>
      </c>
    </row>
    <row r="453" spans="1:19" x14ac:dyDescent="0.25">
      <c r="A453" t="s">
        <v>1319</v>
      </c>
      <c r="B453" t="s">
        <v>1320</v>
      </c>
      <c r="C453" t="s">
        <v>1321</v>
      </c>
      <c r="D453" t="s">
        <v>1321</v>
      </c>
    </row>
    <row r="454" spans="1:19" x14ac:dyDescent="0.25">
      <c r="A454" t="s">
        <v>1322</v>
      </c>
      <c r="B454" t="s">
        <v>1323</v>
      </c>
      <c r="C454" t="s">
        <v>1324</v>
      </c>
      <c r="D454" t="s">
        <v>1324</v>
      </c>
      <c r="F454">
        <v>2025</v>
      </c>
      <c r="I454">
        <v>2024</v>
      </c>
      <c r="O454" s="2">
        <v>45722</v>
      </c>
      <c r="P454">
        <v>0.2077</v>
      </c>
      <c r="S454">
        <v>2.0299999999999998</v>
      </c>
    </row>
    <row r="455" spans="1:19" x14ac:dyDescent="0.25">
      <c r="A455" t="s">
        <v>1325</v>
      </c>
      <c r="B455" t="s">
        <v>1261</v>
      </c>
      <c r="C455" t="s">
        <v>1262</v>
      </c>
      <c r="D455" t="s">
        <v>1263</v>
      </c>
    </row>
    <row r="456" spans="1:19" x14ac:dyDescent="0.25">
      <c r="A456" t="s">
        <v>1326</v>
      </c>
      <c r="B456" t="s">
        <v>1301</v>
      </c>
      <c r="C456" t="s">
        <v>1302</v>
      </c>
      <c r="D456" t="s">
        <v>1302</v>
      </c>
      <c r="F456">
        <v>2025</v>
      </c>
      <c r="I456">
        <v>2024</v>
      </c>
      <c r="O456" s="2">
        <v>45722</v>
      </c>
      <c r="P456">
        <v>0.72529999999999994</v>
      </c>
      <c r="S456">
        <v>0.68</v>
      </c>
    </row>
    <row r="457" spans="1:19" x14ac:dyDescent="0.25">
      <c r="A457" t="s">
        <v>1327</v>
      </c>
      <c r="B457" t="s">
        <v>1221</v>
      </c>
      <c r="C457" t="s">
        <v>1222</v>
      </c>
      <c r="D457" t="s">
        <v>1223</v>
      </c>
    </row>
    <row r="458" spans="1:19" x14ac:dyDescent="0.25">
      <c r="A458" t="s">
        <v>1328</v>
      </c>
      <c r="B458" t="s">
        <v>1320</v>
      </c>
      <c r="C458" t="s">
        <v>1321</v>
      </c>
      <c r="D458" t="s">
        <v>1321</v>
      </c>
      <c r="P458">
        <v>1</v>
      </c>
    </row>
    <row r="459" spans="1:19" x14ac:dyDescent="0.25">
      <c r="A459" t="s">
        <v>1329</v>
      </c>
      <c r="B459" t="s">
        <v>1080</v>
      </c>
      <c r="C459" t="s">
        <v>1081</v>
      </c>
      <c r="D459" t="s">
        <v>1082</v>
      </c>
      <c r="P459">
        <v>1</v>
      </c>
    </row>
    <row r="460" spans="1:19" x14ac:dyDescent="0.25">
      <c r="A460" t="s">
        <v>1330</v>
      </c>
      <c r="B460" t="s">
        <v>1331</v>
      </c>
      <c r="C460" t="s">
        <v>1332</v>
      </c>
      <c r="D460" t="s">
        <v>1333</v>
      </c>
      <c r="P460">
        <v>1</v>
      </c>
    </row>
    <row r="461" spans="1:19" x14ac:dyDescent="0.25">
      <c r="A461" t="s">
        <v>1334</v>
      </c>
      <c r="B461" t="s">
        <v>1335</v>
      </c>
      <c r="C461" t="s">
        <v>1336</v>
      </c>
      <c r="D461" t="s">
        <v>1337</v>
      </c>
      <c r="P461">
        <v>1</v>
      </c>
    </row>
    <row r="462" spans="1:19" x14ac:dyDescent="0.25">
      <c r="A462" t="s">
        <v>1338</v>
      </c>
      <c r="B462" t="s">
        <v>1339</v>
      </c>
      <c r="C462" t="s">
        <v>1340</v>
      </c>
      <c r="D462" t="s">
        <v>1341</v>
      </c>
      <c r="P46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8E57-E8E3-433E-A00C-593416A178A4}">
  <dimension ref="A1:F16"/>
  <sheetViews>
    <sheetView topLeftCell="B1" workbookViewId="0">
      <selection activeCell="E2" sqref="E2"/>
    </sheetView>
  </sheetViews>
  <sheetFormatPr baseColWidth="10" defaultRowHeight="15" x14ac:dyDescent="0.25"/>
  <cols>
    <col min="2" max="2" width="13.28515625" customWidth="1"/>
    <col min="3" max="3" width="26.85546875" bestFit="1" customWidth="1"/>
    <col min="4" max="5" width="18" customWidth="1"/>
    <col min="6" max="6" width="92" customWidth="1"/>
  </cols>
  <sheetData>
    <row r="1" spans="1:6" x14ac:dyDescent="0.25">
      <c r="A1" t="s">
        <v>3929</v>
      </c>
      <c r="B1" t="s">
        <v>3934</v>
      </c>
      <c r="C1" t="s">
        <v>3930</v>
      </c>
      <c r="D1" t="s">
        <v>3944</v>
      </c>
      <c r="E1" t="s">
        <v>3961</v>
      </c>
      <c r="F1" t="s">
        <v>3931</v>
      </c>
    </row>
    <row r="2" spans="1:6" ht="45" x14ac:dyDescent="0.25">
      <c r="A2" t="s">
        <v>3952</v>
      </c>
      <c r="B2" t="s">
        <v>3976</v>
      </c>
      <c r="C2" t="s">
        <v>3957</v>
      </c>
      <c r="D2" t="s">
        <v>3943</v>
      </c>
      <c r="E2" t="s">
        <v>3981</v>
      </c>
      <c r="F2" s="9" t="s">
        <v>3958</v>
      </c>
    </row>
    <row r="3" spans="1:6" ht="409.5" x14ac:dyDescent="0.25">
      <c r="A3" t="s">
        <v>3952</v>
      </c>
      <c r="B3" t="s">
        <v>3979</v>
      </c>
      <c r="C3" t="s">
        <v>3980</v>
      </c>
      <c r="D3" t="s">
        <v>3942</v>
      </c>
      <c r="E3" t="s">
        <v>3981</v>
      </c>
      <c r="F3" s="9" t="s">
        <v>3982</v>
      </c>
    </row>
    <row r="4" spans="1:6" ht="75" x14ac:dyDescent="0.25">
      <c r="A4" t="s">
        <v>4011</v>
      </c>
      <c r="B4" t="s">
        <v>4012</v>
      </c>
      <c r="C4" t="s">
        <v>4014</v>
      </c>
      <c r="D4" t="s">
        <v>3942</v>
      </c>
      <c r="E4" t="s">
        <v>4021</v>
      </c>
      <c r="F4" s="9" t="s">
        <v>4022</v>
      </c>
    </row>
    <row r="5" spans="1:6" ht="60" x14ac:dyDescent="0.25">
      <c r="A5" t="s">
        <v>4011</v>
      </c>
      <c r="B5" t="s">
        <v>4018</v>
      </c>
      <c r="C5" t="s">
        <v>4015</v>
      </c>
      <c r="D5" t="s">
        <v>3942</v>
      </c>
      <c r="E5" t="s">
        <v>4021</v>
      </c>
      <c r="F5" s="9" t="s">
        <v>4025</v>
      </c>
    </row>
    <row r="6" spans="1:6" ht="60" x14ac:dyDescent="0.25">
      <c r="A6" t="s">
        <v>4011</v>
      </c>
      <c r="B6" t="s">
        <v>4019</v>
      </c>
      <c r="C6" t="s">
        <v>4016</v>
      </c>
      <c r="D6" t="s">
        <v>3942</v>
      </c>
      <c r="E6" t="s">
        <v>4021</v>
      </c>
      <c r="F6" s="9" t="s">
        <v>4023</v>
      </c>
    </row>
    <row r="7" spans="1:6" ht="60" x14ac:dyDescent="0.25">
      <c r="A7" t="s">
        <v>4011</v>
      </c>
      <c r="B7" t="s">
        <v>4020</v>
      </c>
      <c r="C7" t="s">
        <v>4017</v>
      </c>
      <c r="D7" t="s">
        <v>3942</v>
      </c>
      <c r="E7" t="s">
        <v>4021</v>
      </c>
      <c r="F7" s="9" t="s">
        <v>4024</v>
      </c>
    </row>
    <row r="8" spans="1:6" ht="90" x14ac:dyDescent="0.25">
      <c r="A8" t="s">
        <v>3953</v>
      </c>
      <c r="B8" t="s">
        <v>3932</v>
      </c>
      <c r="C8" t="s">
        <v>3935</v>
      </c>
      <c r="D8" t="s">
        <v>3942</v>
      </c>
      <c r="E8" t="s">
        <v>3962</v>
      </c>
      <c r="F8" s="9" t="s">
        <v>3963</v>
      </c>
    </row>
    <row r="9" spans="1:6" ht="75" x14ac:dyDescent="0.25">
      <c r="A9" t="s">
        <v>3953</v>
      </c>
      <c r="B9" t="s">
        <v>3939</v>
      </c>
      <c r="C9" t="s">
        <v>3959</v>
      </c>
      <c r="D9" t="s">
        <v>3943</v>
      </c>
      <c r="E9" t="s">
        <v>3962</v>
      </c>
      <c r="F9" s="9" t="s">
        <v>3964</v>
      </c>
    </row>
    <row r="10" spans="1:6" ht="60" x14ac:dyDescent="0.25">
      <c r="A10" t="s">
        <v>3953</v>
      </c>
      <c r="B10" t="s">
        <v>3940</v>
      </c>
      <c r="C10" t="s">
        <v>3941</v>
      </c>
      <c r="D10" t="s">
        <v>3943</v>
      </c>
      <c r="E10" t="s">
        <v>3962</v>
      </c>
      <c r="F10" s="9" t="s">
        <v>3965</v>
      </c>
    </row>
    <row r="11" spans="1:6" ht="30" x14ac:dyDescent="0.25">
      <c r="A11" t="s">
        <v>3953</v>
      </c>
      <c r="B11" t="s">
        <v>3945</v>
      </c>
      <c r="C11" t="s">
        <v>3946</v>
      </c>
      <c r="D11" t="s">
        <v>3943</v>
      </c>
      <c r="E11" t="s">
        <v>3962</v>
      </c>
      <c r="F11" s="9" t="s">
        <v>3966</v>
      </c>
    </row>
    <row r="12" spans="1:6" ht="120" x14ac:dyDescent="0.25">
      <c r="A12" t="s">
        <v>3953</v>
      </c>
      <c r="B12" t="s">
        <v>3937</v>
      </c>
      <c r="C12" t="s">
        <v>3936</v>
      </c>
      <c r="D12" t="s">
        <v>3943</v>
      </c>
      <c r="E12" t="s">
        <v>3962</v>
      </c>
      <c r="F12" s="9" t="s">
        <v>3960</v>
      </c>
    </row>
    <row r="13" spans="1:6" ht="30" x14ac:dyDescent="0.25">
      <c r="A13" t="s">
        <v>3953</v>
      </c>
      <c r="B13" t="s">
        <v>3956</v>
      </c>
      <c r="C13" t="s">
        <v>3955</v>
      </c>
      <c r="D13" t="s">
        <v>3943</v>
      </c>
      <c r="E13" t="s">
        <v>3962</v>
      </c>
      <c r="F13" s="9" t="s">
        <v>3969</v>
      </c>
    </row>
    <row r="14" spans="1:6" ht="60" x14ac:dyDescent="0.25">
      <c r="A14" t="s">
        <v>3953</v>
      </c>
      <c r="B14" t="s">
        <v>3933</v>
      </c>
      <c r="C14" t="s">
        <v>3938</v>
      </c>
      <c r="D14" t="s">
        <v>3942</v>
      </c>
      <c r="E14" t="s">
        <v>3967</v>
      </c>
      <c r="F14" s="9" t="s">
        <v>3968</v>
      </c>
    </row>
    <row r="15" spans="1:6" ht="30" x14ac:dyDescent="0.25">
      <c r="A15" t="s">
        <v>3953</v>
      </c>
      <c r="B15" t="s">
        <v>3954</v>
      </c>
      <c r="C15" t="s">
        <v>3970</v>
      </c>
      <c r="D15" t="s">
        <v>3942</v>
      </c>
      <c r="E15" t="s">
        <v>3971</v>
      </c>
      <c r="F15" s="9" t="s">
        <v>3972</v>
      </c>
    </row>
    <row r="16" spans="1:6" x14ac:dyDescent="0.25">
      <c r="A16" t="s">
        <v>3953</v>
      </c>
      <c r="B16" t="s">
        <v>3975</v>
      </c>
      <c r="C16" t="s">
        <v>3973</v>
      </c>
      <c r="D16" t="s">
        <v>3943</v>
      </c>
      <c r="E16" t="s">
        <v>3971</v>
      </c>
      <c r="F16" s="9" t="s">
        <v>3974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468"/>
  <sheetViews>
    <sheetView zoomScaleNormal="100" workbookViewId="0">
      <selection activeCell="E14" sqref="E14"/>
    </sheetView>
  </sheetViews>
  <sheetFormatPr baseColWidth="10" defaultColWidth="9.140625" defaultRowHeight="15" x14ac:dyDescent="0.25"/>
  <cols>
    <col min="1" max="1" width="22.140625" customWidth="1"/>
    <col min="2" max="2" width="15.5703125" customWidth="1"/>
    <col min="3" max="3" width="21.140625" bestFit="1" customWidth="1"/>
    <col min="4" max="4" width="11" customWidth="1"/>
    <col min="5" max="5" width="14.5703125" customWidth="1"/>
    <col min="6" max="6" width="36.140625" customWidth="1"/>
    <col min="7" max="7" width="22.5703125" customWidth="1"/>
    <col min="8" max="8" width="20.42578125" customWidth="1"/>
    <col min="9" max="9" width="15.28515625" customWidth="1"/>
    <col min="11" max="11" width="9.7109375" customWidth="1"/>
    <col min="13" max="13" width="15.85546875" customWidth="1"/>
    <col min="14" max="14" width="15.42578125" customWidth="1"/>
    <col min="17" max="17" width="19.140625" customWidth="1"/>
    <col min="18" max="18" width="17.140625" customWidth="1"/>
  </cols>
  <sheetData>
    <row r="2" spans="1:18" x14ac:dyDescent="0.25">
      <c r="D2" s="4"/>
      <c r="E2" t="s">
        <v>3947</v>
      </c>
    </row>
    <row r="3" spans="1:18" x14ac:dyDescent="0.25">
      <c r="D3" s="5"/>
      <c r="E3" t="s">
        <v>3948</v>
      </c>
    </row>
    <row r="4" spans="1:18" x14ac:dyDescent="0.25">
      <c r="D4" s="8"/>
      <c r="E4" t="s">
        <v>3949</v>
      </c>
    </row>
    <row r="5" spans="1:18" x14ac:dyDescent="0.25">
      <c r="D5" s="13"/>
      <c r="E5" t="s">
        <v>3978</v>
      </c>
    </row>
    <row r="6" spans="1:18" x14ac:dyDescent="0.25">
      <c r="D6" s="7"/>
      <c r="E6" t="s">
        <v>3922</v>
      </c>
    </row>
    <row r="7" spans="1:18" x14ac:dyDescent="0.25">
      <c r="D7" s="6"/>
      <c r="E7" t="s">
        <v>3950</v>
      </c>
    </row>
    <row r="8" spans="1:18" x14ac:dyDescent="0.25">
      <c r="D8" s="11"/>
      <c r="E8" t="s">
        <v>3951</v>
      </c>
    </row>
    <row r="9" spans="1:18" x14ac:dyDescent="0.25">
      <c r="G9" t="s">
        <v>3928</v>
      </c>
      <c r="N9" t="s">
        <v>3928</v>
      </c>
      <c r="O9" t="s">
        <v>3928</v>
      </c>
    </row>
    <row r="10" spans="1:18" x14ac:dyDescent="0.25">
      <c r="B10" t="s">
        <v>3927</v>
      </c>
      <c r="E10" t="s">
        <v>3927</v>
      </c>
      <c r="F10" t="s">
        <v>3927</v>
      </c>
      <c r="G10" t="s">
        <v>3927</v>
      </c>
      <c r="H10" t="s">
        <v>3926</v>
      </c>
      <c r="I10" t="s">
        <v>3927</v>
      </c>
      <c r="K10" t="s">
        <v>3927</v>
      </c>
      <c r="L10" t="s">
        <v>3927</v>
      </c>
      <c r="M10" t="s">
        <v>3927</v>
      </c>
      <c r="N10" t="s">
        <v>3927</v>
      </c>
      <c r="O10" t="s">
        <v>3927</v>
      </c>
    </row>
    <row r="11" spans="1:18" x14ac:dyDescent="0.25">
      <c r="A11" s="11" t="s">
        <v>1342</v>
      </c>
      <c r="B11" s="5" t="s">
        <v>0</v>
      </c>
      <c r="C11" s="7" t="s">
        <v>3923</v>
      </c>
      <c r="D11" s="8" t="s">
        <v>5</v>
      </c>
      <c r="E11" s="8" t="s">
        <v>1343</v>
      </c>
      <c r="F11" s="4" t="s">
        <v>1344</v>
      </c>
      <c r="G11" s="10" t="s">
        <v>6</v>
      </c>
      <c r="H11" s="7" t="s">
        <v>7</v>
      </c>
      <c r="I11" s="10" t="s">
        <v>8</v>
      </c>
      <c r="J11" s="8" t="s">
        <v>9</v>
      </c>
      <c r="K11" s="4" t="s">
        <v>10</v>
      </c>
      <c r="L11" s="11" t="s">
        <v>11</v>
      </c>
      <c r="M11" s="4" t="s">
        <v>12</v>
      </c>
      <c r="N11" s="10" t="s">
        <v>13</v>
      </c>
      <c r="O11" s="10" t="s">
        <v>4</v>
      </c>
      <c r="P11" s="7" t="s">
        <v>1346</v>
      </c>
      <c r="Q11" s="8" t="s">
        <v>1347</v>
      </c>
      <c r="R11" s="5" t="s">
        <v>1</v>
      </c>
    </row>
    <row r="12" spans="1:18" x14ac:dyDescent="0.25">
      <c r="A12" s="11"/>
      <c r="B12" t="s">
        <v>19</v>
      </c>
      <c r="C12" t="s">
        <v>3924</v>
      </c>
      <c r="D12">
        <v>2015</v>
      </c>
      <c r="E1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2" t="s">
        <v>1771</v>
      </c>
      <c r="G12">
        <v>1000</v>
      </c>
      <c r="I12">
        <v>2016</v>
      </c>
      <c r="J12" t="s">
        <v>1440</v>
      </c>
      <c r="K12" t="s">
        <v>1441</v>
      </c>
      <c r="L12" s="11"/>
      <c r="M12">
        <v>1000</v>
      </c>
      <c r="N12" s="2">
        <v>42552</v>
      </c>
      <c r="O12" t="s">
        <v>1405</v>
      </c>
      <c r="Q12" t="s">
        <v>1772</v>
      </c>
      <c r="R12" t="s">
        <v>20</v>
      </c>
    </row>
    <row r="13" spans="1:18" x14ac:dyDescent="0.25">
      <c r="A13" s="11"/>
      <c r="B13" t="s">
        <v>23</v>
      </c>
      <c r="C13" t="s">
        <v>3924</v>
      </c>
      <c r="D13">
        <v>2015</v>
      </c>
      <c r="E13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3" t="s">
        <v>1773</v>
      </c>
      <c r="G13">
        <v>100</v>
      </c>
      <c r="I13">
        <v>2016</v>
      </c>
      <c r="J13" t="s">
        <v>1440</v>
      </c>
      <c r="K13" t="s">
        <v>1441</v>
      </c>
      <c r="L13" s="11"/>
      <c r="M13">
        <v>100</v>
      </c>
      <c r="N13" s="2">
        <v>42552</v>
      </c>
      <c r="O13" t="s">
        <v>1405</v>
      </c>
      <c r="Q13" t="s">
        <v>1774</v>
      </c>
      <c r="R13" t="s">
        <v>24</v>
      </c>
    </row>
    <row r="14" spans="1:18" x14ac:dyDescent="0.25">
      <c r="A14" s="11"/>
      <c r="B14" t="s">
        <v>26</v>
      </c>
      <c r="C14" t="s">
        <v>3924</v>
      </c>
      <c r="D14">
        <v>2015</v>
      </c>
      <c r="E14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4" t="s">
        <v>1775</v>
      </c>
      <c r="G14">
        <v>1750</v>
      </c>
      <c r="I14">
        <v>2016</v>
      </c>
      <c r="J14" t="s">
        <v>1440</v>
      </c>
      <c r="K14" t="s">
        <v>1441</v>
      </c>
      <c r="L14" s="11"/>
      <c r="M14">
        <v>1750</v>
      </c>
      <c r="N14" s="2">
        <v>42552</v>
      </c>
      <c r="O14" t="s">
        <v>1405</v>
      </c>
      <c r="Q14" t="s">
        <v>1776</v>
      </c>
      <c r="R14" t="s">
        <v>27</v>
      </c>
    </row>
    <row r="15" spans="1:18" x14ac:dyDescent="0.25">
      <c r="A15" s="11"/>
      <c r="B15" t="s">
        <v>30</v>
      </c>
      <c r="C15" t="s">
        <v>3924</v>
      </c>
      <c r="D15">
        <v>2015</v>
      </c>
      <c r="E15" s="8">
        <f>IF(
    AND(
        NOT(LEFT(Tabla1[[#This Row],[status]])="Pending"),
        NOT(ISBLANK(Tabla1[[#This Row],[planted]])),
        NOT(ISBLANK(Tabla1[[#This Row],[planting_date]]))
    ),
    Tabla1[[#This Row],[planting_year]]+10,
    "Not active contract"
)</f>
        <v>2026</v>
      </c>
      <c r="F15" t="s">
        <v>1458</v>
      </c>
      <c r="G15">
        <v>1000</v>
      </c>
      <c r="I15">
        <v>2016</v>
      </c>
      <c r="J15" t="s">
        <v>1440</v>
      </c>
      <c r="K15" t="s">
        <v>1441</v>
      </c>
      <c r="L15" s="11"/>
      <c r="M15">
        <v>1000</v>
      </c>
      <c r="N15" s="2">
        <v>42552</v>
      </c>
      <c r="O15" t="s">
        <v>1405</v>
      </c>
      <c r="Q15" s="8" t="str">
        <f>IF(Tabla1[[#This Row],[land_location]]&lt;&gt;"None",_xlfn.CONCAT("POINT(",Tabla1[[#This Row],[land_location]],")"),"No land location info")</f>
        <v>POINT( 9.637013, -83.9480)</v>
      </c>
      <c r="R15" t="s">
        <v>31</v>
      </c>
    </row>
    <row r="16" spans="1:18" x14ac:dyDescent="0.25">
      <c r="A16" s="11"/>
      <c r="B16" t="s">
        <v>34</v>
      </c>
      <c r="C16" t="s">
        <v>3924</v>
      </c>
      <c r="D16">
        <v>2015</v>
      </c>
      <c r="E1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6" t="s">
        <v>1777</v>
      </c>
      <c r="G16">
        <v>500</v>
      </c>
      <c r="I16">
        <v>2016</v>
      </c>
      <c r="J16" t="s">
        <v>1440</v>
      </c>
      <c r="K16" t="s">
        <v>1441</v>
      </c>
      <c r="L16" s="11"/>
      <c r="M16">
        <v>500</v>
      </c>
      <c r="N16" s="2">
        <v>42552</v>
      </c>
      <c r="O16" t="s">
        <v>1405</v>
      </c>
      <c r="Q16" t="s">
        <v>1778</v>
      </c>
      <c r="R16" t="s">
        <v>35</v>
      </c>
    </row>
    <row r="17" spans="1:18" x14ac:dyDescent="0.25">
      <c r="A17" s="11"/>
      <c r="B17" t="s">
        <v>38</v>
      </c>
      <c r="C17" t="s">
        <v>3924</v>
      </c>
      <c r="D17">
        <v>2015</v>
      </c>
      <c r="E17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7" t="s">
        <v>1779</v>
      </c>
      <c r="G17">
        <v>500</v>
      </c>
      <c r="I17">
        <v>2016</v>
      </c>
      <c r="J17" t="s">
        <v>1440</v>
      </c>
      <c r="K17" t="s">
        <v>1441</v>
      </c>
      <c r="L17" s="11"/>
      <c r="M17">
        <v>500</v>
      </c>
      <c r="N17" s="2">
        <v>42552</v>
      </c>
      <c r="O17" t="s">
        <v>1405</v>
      </c>
      <c r="Q17" t="s">
        <v>1780</v>
      </c>
      <c r="R17" t="s">
        <v>39</v>
      </c>
    </row>
    <row r="18" spans="1:18" x14ac:dyDescent="0.25">
      <c r="A18" s="11"/>
      <c r="B18" t="s">
        <v>42</v>
      </c>
      <c r="C18" t="s">
        <v>3924</v>
      </c>
      <c r="D18">
        <v>2015</v>
      </c>
      <c r="E18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8" t="s">
        <v>1781</v>
      </c>
      <c r="G18">
        <v>400</v>
      </c>
      <c r="I18">
        <v>2016</v>
      </c>
      <c r="J18" t="s">
        <v>1440</v>
      </c>
      <c r="K18" t="s">
        <v>1441</v>
      </c>
      <c r="L18" s="11"/>
      <c r="M18">
        <v>400</v>
      </c>
      <c r="N18" s="2">
        <v>42552</v>
      </c>
      <c r="O18" t="s">
        <v>1405</v>
      </c>
      <c r="Q18" t="s">
        <v>1782</v>
      </c>
      <c r="R18" t="s">
        <v>43</v>
      </c>
    </row>
    <row r="19" spans="1:18" hidden="1" x14ac:dyDescent="0.25">
      <c r="A19" s="11"/>
      <c r="B19" t="s">
        <v>46</v>
      </c>
      <c r="C19" t="s">
        <v>3924</v>
      </c>
      <c r="D19">
        <v>2016</v>
      </c>
      <c r="E19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19" t="s">
        <v>1756</v>
      </c>
      <c r="G19">
        <v>1200</v>
      </c>
      <c r="I19">
        <v>2017</v>
      </c>
      <c r="J19" t="s">
        <v>1440</v>
      </c>
      <c r="K19" t="s">
        <v>1441</v>
      </c>
      <c r="L19" s="11"/>
      <c r="M19">
        <v>1200</v>
      </c>
      <c r="N19" s="2">
        <v>42917</v>
      </c>
      <c r="O19" t="s">
        <v>1405</v>
      </c>
      <c r="Q19" t="s">
        <v>1757</v>
      </c>
      <c r="R19" t="s">
        <v>47</v>
      </c>
    </row>
    <row r="20" spans="1:18" hidden="1" x14ac:dyDescent="0.25">
      <c r="A20" s="11"/>
      <c r="B20" t="s">
        <v>49</v>
      </c>
      <c r="C20" t="s">
        <v>3924</v>
      </c>
      <c r="D20">
        <v>2016</v>
      </c>
      <c r="E20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20" t="s">
        <v>1565</v>
      </c>
      <c r="G20">
        <v>500</v>
      </c>
      <c r="I20">
        <v>2017</v>
      </c>
      <c r="J20" t="s">
        <v>1440</v>
      </c>
      <c r="K20" t="s">
        <v>1441</v>
      </c>
      <c r="L20" s="11"/>
      <c r="M20">
        <v>500</v>
      </c>
      <c r="N20" s="2">
        <v>42917</v>
      </c>
      <c r="O20" t="s">
        <v>1405</v>
      </c>
      <c r="Q20" t="s">
        <v>1566</v>
      </c>
      <c r="R20" t="s">
        <v>50</v>
      </c>
    </row>
    <row r="21" spans="1:18" hidden="1" x14ac:dyDescent="0.25">
      <c r="A21" s="11"/>
      <c r="B21" t="s">
        <v>53</v>
      </c>
      <c r="C21" t="s">
        <v>3924</v>
      </c>
      <c r="D21">
        <v>2016</v>
      </c>
      <c r="E2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21" t="s">
        <v>1783</v>
      </c>
      <c r="G21">
        <v>500</v>
      </c>
      <c r="I21">
        <v>2017</v>
      </c>
      <c r="J21" t="s">
        <v>1440</v>
      </c>
      <c r="K21" t="s">
        <v>1441</v>
      </c>
      <c r="L21" s="11"/>
      <c r="M21">
        <v>500</v>
      </c>
      <c r="N21" s="2">
        <v>42917</v>
      </c>
      <c r="O21" t="s">
        <v>1405</v>
      </c>
      <c r="Q21" t="s">
        <v>1784</v>
      </c>
      <c r="R21" t="s">
        <v>54</v>
      </c>
    </row>
    <row r="22" spans="1:18" hidden="1" x14ac:dyDescent="0.25">
      <c r="A22" s="11"/>
      <c r="B22" t="s">
        <v>56</v>
      </c>
      <c r="C22" t="s">
        <v>3924</v>
      </c>
      <c r="D22">
        <v>2016</v>
      </c>
      <c r="E2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22" t="s">
        <v>1785</v>
      </c>
      <c r="G22">
        <v>13000</v>
      </c>
      <c r="I22">
        <v>2017</v>
      </c>
      <c r="J22" t="s">
        <v>1440</v>
      </c>
      <c r="K22" t="s">
        <v>1441</v>
      </c>
      <c r="L22" s="11"/>
      <c r="M22">
        <v>13000</v>
      </c>
      <c r="N22" s="2">
        <v>42917</v>
      </c>
      <c r="O22" t="s">
        <v>1405</v>
      </c>
      <c r="Q22" t="s">
        <v>1786</v>
      </c>
      <c r="R22" t="s">
        <v>57</v>
      </c>
    </row>
    <row r="23" spans="1:18" hidden="1" x14ac:dyDescent="0.25">
      <c r="A23" s="11"/>
      <c r="B23" t="s">
        <v>59</v>
      </c>
      <c r="C23" t="s">
        <v>3924</v>
      </c>
      <c r="D23">
        <v>2016</v>
      </c>
      <c r="E23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23" t="s">
        <v>1998</v>
      </c>
      <c r="G23">
        <v>2000</v>
      </c>
      <c r="I23">
        <v>2017</v>
      </c>
      <c r="J23" t="s">
        <v>1440</v>
      </c>
      <c r="K23" t="s">
        <v>1441</v>
      </c>
      <c r="L23" s="11"/>
      <c r="M23">
        <v>2000</v>
      </c>
      <c r="N23" s="2">
        <v>42917</v>
      </c>
      <c r="O23" t="s">
        <v>1405</v>
      </c>
      <c r="Q23" t="s">
        <v>1999</v>
      </c>
      <c r="R23" t="s">
        <v>60</v>
      </c>
    </row>
    <row r="24" spans="1:18" x14ac:dyDescent="0.25">
      <c r="A24" s="11"/>
      <c r="B24" t="s">
        <v>63</v>
      </c>
      <c r="C24" t="s">
        <v>3924</v>
      </c>
      <c r="D24">
        <v>2016</v>
      </c>
      <c r="E24">
        <v>2026</v>
      </c>
      <c r="F24" t="s">
        <v>2049</v>
      </c>
      <c r="G24">
        <v>1000</v>
      </c>
      <c r="I24">
        <v>2017</v>
      </c>
      <c r="J24" t="s">
        <v>1440</v>
      </c>
      <c r="K24" t="s">
        <v>1441</v>
      </c>
      <c r="L24" s="11"/>
      <c r="M24">
        <v>1000</v>
      </c>
      <c r="N24" s="2">
        <v>42917</v>
      </c>
      <c r="O24" t="s">
        <v>1405</v>
      </c>
      <c r="Q24" t="s">
        <v>2050</v>
      </c>
      <c r="R24" t="s">
        <v>64</v>
      </c>
    </row>
    <row r="25" spans="1:18" hidden="1" x14ac:dyDescent="0.25">
      <c r="A25" s="11"/>
      <c r="B25" t="s">
        <v>1438</v>
      </c>
      <c r="C25" t="s">
        <v>3924</v>
      </c>
      <c r="D25">
        <v>2016</v>
      </c>
      <c r="E2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25" t="s">
        <v>1439</v>
      </c>
      <c r="G25">
        <v>1000</v>
      </c>
      <c r="I25">
        <v>2017</v>
      </c>
      <c r="J25" t="s">
        <v>1440</v>
      </c>
      <c r="K25" t="s">
        <v>1441</v>
      </c>
      <c r="L25" s="11"/>
      <c r="M25">
        <v>1000</v>
      </c>
      <c r="N25" s="2">
        <v>42917</v>
      </c>
      <c r="O25" t="s">
        <v>1405</v>
      </c>
      <c r="Q25" t="s">
        <v>1442</v>
      </c>
      <c r="R25" t="s">
        <v>3347</v>
      </c>
    </row>
    <row r="26" spans="1:18" hidden="1" x14ac:dyDescent="0.25">
      <c r="A26" s="11"/>
      <c r="B26" t="s">
        <v>66</v>
      </c>
      <c r="C26" t="s">
        <v>3924</v>
      </c>
      <c r="D26">
        <v>2016</v>
      </c>
      <c r="E2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26" t="s">
        <v>1777</v>
      </c>
      <c r="G26">
        <v>1000</v>
      </c>
      <c r="I26">
        <v>2017</v>
      </c>
      <c r="J26" t="s">
        <v>1440</v>
      </c>
      <c r="K26" t="s">
        <v>1441</v>
      </c>
      <c r="L26" s="11"/>
      <c r="M26">
        <v>1000</v>
      </c>
      <c r="N26" s="2">
        <v>42917</v>
      </c>
      <c r="O26" t="s">
        <v>1405</v>
      </c>
      <c r="Q26" t="s">
        <v>1778</v>
      </c>
      <c r="R26" t="s">
        <v>35</v>
      </c>
    </row>
    <row r="27" spans="1:18" hidden="1" x14ac:dyDescent="0.25">
      <c r="A27" s="11"/>
      <c r="B27" t="s">
        <v>67</v>
      </c>
      <c r="C27" t="s">
        <v>3924</v>
      </c>
      <c r="D27">
        <v>2016</v>
      </c>
      <c r="E27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27" t="s">
        <v>2012</v>
      </c>
      <c r="G27">
        <v>600</v>
      </c>
      <c r="I27">
        <v>2017</v>
      </c>
      <c r="J27" t="s">
        <v>1440</v>
      </c>
      <c r="K27" t="s">
        <v>1441</v>
      </c>
      <c r="L27" s="11"/>
      <c r="M27">
        <v>600</v>
      </c>
      <c r="N27" s="2">
        <v>42917</v>
      </c>
      <c r="O27" t="s">
        <v>1405</v>
      </c>
      <c r="Q27" t="s">
        <v>2013</v>
      </c>
      <c r="R27" t="s">
        <v>68</v>
      </c>
    </row>
    <row r="28" spans="1:18" hidden="1" x14ac:dyDescent="0.25">
      <c r="A28" s="11"/>
      <c r="B28" t="s">
        <v>70</v>
      </c>
      <c r="C28" t="s">
        <v>3924</v>
      </c>
      <c r="D28">
        <v>2016</v>
      </c>
      <c r="E28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28" t="s">
        <v>2019</v>
      </c>
      <c r="G28">
        <v>1000</v>
      </c>
      <c r="I28">
        <v>2017</v>
      </c>
      <c r="J28" t="s">
        <v>1440</v>
      </c>
      <c r="K28" t="s">
        <v>1441</v>
      </c>
      <c r="L28" s="11"/>
      <c r="M28">
        <v>1000</v>
      </c>
      <c r="N28" s="2">
        <v>42917</v>
      </c>
      <c r="O28" t="s">
        <v>1405</v>
      </c>
      <c r="Q28" t="s">
        <v>2020</v>
      </c>
      <c r="R28" t="s">
        <v>71</v>
      </c>
    </row>
    <row r="29" spans="1:18" hidden="1" x14ac:dyDescent="0.25">
      <c r="A29" s="11"/>
      <c r="B29" t="s">
        <v>74</v>
      </c>
      <c r="C29" t="s">
        <v>3924</v>
      </c>
      <c r="D29">
        <v>2016</v>
      </c>
      <c r="E29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29" t="s">
        <v>1639</v>
      </c>
      <c r="G29">
        <v>250</v>
      </c>
      <c r="I29">
        <v>2017</v>
      </c>
      <c r="J29" t="s">
        <v>1440</v>
      </c>
      <c r="K29" t="s">
        <v>1441</v>
      </c>
      <c r="L29" s="11"/>
      <c r="M29">
        <v>250</v>
      </c>
      <c r="N29" s="2">
        <v>42917</v>
      </c>
      <c r="O29" t="s">
        <v>1405</v>
      </c>
      <c r="Q29" t="s">
        <v>1640</v>
      </c>
      <c r="R29" t="s">
        <v>75</v>
      </c>
    </row>
    <row r="30" spans="1:18" hidden="1" x14ac:dyDescent="0.25">
      <c r="A30" s="11"/>
      <c r="B30" t="s">
        <v>77</v>
      </c>
      <c r="C30" t="s">
        <v>3924</v>
      </c>
      <c r="D30">
        <v>2016</v>
      </c>
      <c r="E30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30" t="s">
        <v>1641</v>
      </c>
      <c r="G30">
        <v>500</v>
      </c>
      <c r="I30">
        <v>2017</v>
      </c>
      <c r="J30" t="s">
        <v>1440</v>
      </c>
      <c r="K30" t="s">
        <v>1441</v>
      </c>
      <c r="L30" s="11"/>
      <c r="M30">
        <v>500</v>
      </c>
      <c r="N30" s="2">
        <v>42917</v>
      </c>
      <c r="O30" t="s">
        <v>1405</v>
      </c>
      <c r="Q30" t="s">
        <v>1642</v>
      </c>
      <c r="R30" t="s">
        <v>78</v>
      </c>
    </row>
    <row r="31" spans="1:18" hidden="1" x14ac:dyDescent="0.25">
      <c r="A31" s="11"/>
      <c r="B31" t="s">
        <v>81</v>
      </c>
      <c r="C31" t="s">
        <v>3924</v>
      </c>
      <c r="D31">
        <v>2016</v>
      </c>
      <c r="E31" s="8">
        <f>IF(
    AND(
        NOT(LEFT(Tabla1[[#This Row],[status]])="Pending"),
        NOT(ISBLANK(Tabla1[[#This Row],[planted]])),
        NOT(ISBLANK(Tabla1[[#This Row],[planting_date]]))
    ),
    Tabla1[[#This Row],[planting_year]]+10,
    "Not active contract"
)</f>
        <v>2027</v>
      </c>
      <c r="F31" t="s">
        <v>1458</v>
      </c>
      <c r="G31">
        <v>300</v>
      </c>
      <c r="I31">
        <v>2017</v>
      </c>
      <c r="J31" t="s">
        <v>1440</v>
      </c>
      <c r="K31" t="s">
        <v>1441</v>
      </c>
      <c r="L31" s="11"/>
      <c r="M31">
        <v>300</v>
      </c>
      <c r="N31" s="2">
        <v>42917</v>
      </c>
      <c r="O31" t="s">
        <v>1405</v>
      </c>
      <c r="Q31" s="8" t="str">
        <f>IF(Tabla1[[#This Row],[land_location]]&lt;&gt;"None",_xlfn.CONCAT("POINT(",Tabla1[[#This Row],[land_location]],")"),"No land location info")</f>
        <v>POINT( 9.637013, -83.9480)</v>
      </c>
      <c r="R31" t="s">
        <v>82</v>
      </c>
    </row>
    <row r="32" spans="1:18" hidden="1" x14ac:dyDescent="0.25">
      <c r="A32" s="11"/>
      <c r="B32" t="s">
        <v>85</v>
      </c>
      <c r="C32" t="s">
        <v>3924</v>
      </c>
      <c r="D32">
        <v>2016</v>
      </c>
      <c r="E3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32" t="s">
        <v>1451</v>
      </c>
      <c r="G32">
        <v>1000</v>
      </c>
      <c r="I32">
        <v>2017</v>
      </c>
      <c r="J32" t="s">
        <v>1440</v>
      </c>
      <c r="K32" t="s">
        <v>1441</v>
      </c>
      <c r="L32" s="11"/>
      <c r="M32">
        <v>1000</v>
      </c>
      <c r="N32" s="2">
        <v>42917</v>
      </c>
      <c r="O32" t="s">
        <v>1405</v>
      </c>
      <c r="Q32" t="s">
        <v>1453</v>
      </c>
      <c r="R32" t="s">
        <v>86</v>
      </c>
    </row>
    <row r="33" spans="1:18" hidden="1" x14ac:dyDescent="0.25">
      <c r="A33" s="11"/>
      <c r="B33" t="s">
        <v>89</v>
      </c>
      <c r="C33" t="s">
        <v>3924</v>
      </c>
      <c r="D33">
        <v>2016</v>
      </c>
      <c r="E33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33" t="s">
        <v>1643</v>
      </c>
      <c r="G33">
        <v>250</v>
      </c>
      <c r="I33">
        <v>2017</v>
      </c>
      <c r="J33" t="s">
        <v>1440</v>
      </c>
      <c r="K33" t="s">
        <v>1441</v>
      </c>
      <c r="L33" s="11"/>
      <c r="M33">
        <v>250</v>
      </c>
      <c r="N33" s="2">
        <v>42917</v>
      </c>
      <c r="O33" t="s">
        <v>1405</v>
      </c>
      <c r="Q33" t="s">
        <v>1644</v>
      </c>
      <c r="R33" t="s">
        <v>90</v>
      </c>
    </row>
    <row r="34" spans="1:18" hidden="1" x14ac:dyDescent="0.25">
      <c r="A34" s="11"/>
      <c r="B34" t="s">
        <v>92</v>
      </c>
      <c r="C34" t="s">
        <v>3924</v>
      </c>
      <c r="D34">
        <v>2016</v>
      </c>
      <c r="E34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34" t="s">
        <v>1456</v>
      </c>
      <c r="G34">
        <v>750</v>
      </c>
      <c r="I34">
        <v>2018</v>
      </c>
      <c r="J34" t="s">
        <v>1440</v>
      </c>
      <c r="K34" t="s">
        <v>1441</v>
      </c>
      <c r="L34" s="11"/>
      <c r="M34">
        <v>750</v>
      </c>
      <c r="N34" s="2">
        <v>43282</v>
      </c>
      <c r="O34" t="s">
        <v>1405</v>
      </c>
      <c r="Q34" t="s">
        <v>1457</v>
      </c>
      <c r="R34" t="s">
        <v>93</v>
      </c>
    </row>
    <row r="35" spans="1:18" hidden="1" x14ac:dyDescent="0.25">
      <c r="A35" s="11"/>
      <c r="B35" t="s">
        <v>95</v>
      </c>
      <c r="C35" t="s">
        <v>3924</v>
      </c>
      <c r="D35">
        <v>2016</v>
      </c>
      <c r="E3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35" t="s">
        <v>1754</v>
      </c>
      <c r="G35">
        <v>2500</v>
      </c>
      <c r="I35">
        <v>2018</v>
      </c>
      <c r="J35" t="s">
        <v>1440</v>
      </c>
      <c r="K35" t="s">
        <v>1441</v>
      </c>
      <c r="L35" s="11"/>
      <c r="M35">
        <v>2500</v>
      </c>
      <c r="N35" s="2">
        <v>43282</v>
      </c>
      <c r="O35" t="s">
        <v>1405</v>
      </c>
      <c r="Q35" t="s">
        <v>1755</v>
      </c>
      <c r="R35" t="s">
        <v>96</v>
      </c>
    </row>
    <row r="36" spans="1:18" hidden="1" x14ac:dyDescent="0.25">
      <c r="A36" s="11"/>
      <c r="B36" t="s">
        <v>98</v>
      </c>
      <c r="C36" t="s">
        <v>3924</v>
      </c>
      <c r="D36">
        <v>2016</v>
      </c>
      <c r="E3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36" t="s">
        <v>1756</v>
      </c>
      <c r="G36">
        <v>350</v>
      </c>
      <c r="I36">
        <v>2018</v>
      </c>
      <c r="J36" t="s">
        <v>1440</v>
      </c>
      <c r="K36" t="s">
        <v>1441</v>
      </c>
      <c r="L36" s="11"/>
      <c r="M36">
        <v>350</v>
      </c>
      <c r="N36" s="2">
        <v>43282</v>
      </c>
      <c r="O36" t="s">
        <v>1405</v>
      </c>
      <c r="Q36" t="s">
        <v>1757</v>
      </c>
      <c r="R36" t="s">
        <v>47</v>
      </c>
    </row>
    <row r="37" spans="1:18" hidden="1" x14ac:dyDescent="0.25">
      <c r="A37" s="11"/>
      <c r="B37" t="s">
        <v>99</v>
      </c>
      <c r="C37" t="s">
        <v>3924</v>
      </c>
      <c r="D37">
        <v>2016</v>
      </c>
      <c r="E37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37" t="s">
        <v>1758</v>
      </c>
      <c r="G37">
        <v>500</v>
      </c>
      <c r="I37">
        <v>2018</v>
      </c>
      <c r="J37" t="s">
        <v>1440</v>
      </c>
      <c r="K37" t="s">
        <v>1441</v>
      </c>
      <c r="L37" s="11"/>
      <c r="M37">
        <v>500</v>
      </c>
      <c r="N37" s="2">
        <v>43282</v>
      </c>
      <c r="O37" t="s">
        <v>1405</v>
      </c>
      <c r="Q37" t="s">
        <v>1759</v>
      </c>
      <c r="R37" t="s">
        <v>50</v>
      </c>
    </row>
    <row r="38" spans="1:18" hidden="1" x14ac:dyDescent="0.25">
      <c r="A38" s="11"/>
      <c r="B38" t="s">
        <v>100</v>
      </c>
      <c r="C38" t="s">
        <v>3924</v>
      </c>
      <c r="D38">
        <v>2016</v>
      </c>
      <c r="E38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38" t="s">
        <v>1760</v>
      </c>
      <c r="G38">
        <v>500</v>
      </c>
      <c r="I38">
        <v>2018</v>
      </c>
      <c r="J38" t="s">
        <v>1440</v>
      </c>
      <c r="K38" t="s">
        <v>1441</v>
      </c>
      <c r="L38" s="11"/>
      <c r="M38">
        <v>500</v>
      </c>
      <c r="N38" s="2">
        <v>43282</v>
      </c>
      <c r="O38" t="s">
        <v>1405</v>
      </c>
      <c r="Q38" t="s">
        <v>1761</v>
      </c>
      <c r="R38" t="s">
        <v>101</v>
      </c>
    </row>
    <row r="39" spans="1:18" hidden="1" x14ac:dyDescent="0.25">
      <c r="A39" s="11"/>
      <c r="B39" t="s">
        <v>103</v>
      </c>
      <c r="C39" t="s">
        <v>3924</v>
      </c>
      <c r="D39">
        <v>2016</v>
      </c>
      <c r="E39">
        <v>2027</v>
      </c>
      <c r="F39" t="s">
        <v>2021</v>
      </c>
      <c r="G39">
        <v>2000</v>
      </c>
      <c r="I39">
        <v>2018</v>
      </c>
      <c r="J39" t="s">
        <v>1440</v>
      </c>
      <c r="K39" t="s">
        <v>1441</v>
      </c>
      <c r="L39" s="11"/>
      <c r="M39">
        <v>2000</v>
      </c>
      <c r="N39" s="2">
        <v>43282</v>
      </c>
      <c r="O39" t="s">
        <v>1405</v>
      </c>
      <c r="Q39" t="s">
        <v>2022</v>
      </c>
      <c r="R39" t="s">
        <v>104</v>
      </c>
    </row>
    <row r="40" spans="1:18" hidden="1" x14ac:dyDescent="0.25">
      <c r="A40" s="11"/>
      <c r="B40" t="s">
        <v>107</v>
      </c>
      <c r="C40" t="s">
        <v>3924</v>
      </c>
      <c r="D40">
        <v>2016</v>
      </c>
      <c r="E40">
        <v>2027</v>
      </c>
      <c r="F40" t="s">
        <v>1486</v>
      </c>
      <c r="G40">
        <v>500</v>
      </c>
      <c r="I40">
        <v>2018</v>
      </c>
      <c r="J40" t="s">
        <v>1440</v>
      </c>
      <c r="K40" t="s">
        <v>1449</v>
      </c>
      <c r="L40" s="11"/>
      <c r="M40">
        <v>500</v>
      </c>
      <c r="N40" s="2">
        <v>43282</v>
      </c>
      <c r="O40" t="s">
        <v>1405</v>
      </c>
      <c r="Q40" t="s">
        <v>1487</v>
      </c>
      <c r="R40" t="s">
        <v>108</v>
      </c>
    </row>
    <row r="41" spans="1:18" hidden="1" x14ac:dyDescent="0.25">
      <c r="A41" s="11"/>
      <c r="B41" t="s">
        <v>110</v>
      </c>
      <c r="C41" t="s">
        <v>3924</v>
      </c>
      <c r="D41">
        <v>2016</v>
      </c>
      <c r="E41">
        <v>2027</v>
      </c>
      <c r="F41" t="s">
        <v>1448</v>
      </c>
      <c r="G41">
        <v>1000</v>
      </c>
      <c r="I41">
        <v>2018</v>
      </c>
      <c r="J41" t="s">
        <v>1440</v>
      </c>
      <c r="K41" t="s">
        <v>1449</v>
      </c>
      <c r="L41" s="11"/>
      <c r="M41">
        <v>1000</v>
      </c>
      <c r="N41" s="2">
        <v>43282</v>
      </c>
      <c r="O41" t="s">
        <v>1354</v>
      </c>
      <c r="Q41" t="s">
        <v>1450</v>
      </c>
      <c r="R41" t="s">
        <v>111</v>
      </c>
    </row>
    <row r="42" spans="1:18" hidden="1" x14ac:dyDescent="0.25">
      <c r="A42" s="11"/>
      <c r="B42" t="s">
        <v>113</v>
      </c>
      <c r="C42" t="s">
        <v>3924</v>
      </c>
      <c r="D42">
        <v>2016</v>
      </c>
      <c r="E4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42" t="s">
        <v>1451</v>
      </c>
      <c r="G42">
        <v>1000</v>
      </c>
      <c r="I42">
        <v>2018</v>
      </c>
      <c r="J42" t="s">
        <v>1440</v>
      </c>
      <c r="K42" t="s">
        <v>1452</v>
      </c>
      <c r="L42" s="11"/>
      <c r="M42">
        <v>1000</v>
      </c>
      <c r="N42" s="2">
        <v>43282</v>
      </c>
      <c r="O42" t="s">
        <v>1405</v>
      </c>
      <c r="Q42" t="s">
        <v>1453</v>
      </c>
      <c r="R42" t="s">
        <v>86</v>
      </c>
    </row>
    <row r="43" spans="1:18" hidden="1" x14ac:dyDescent="0.25">
      <c r="A43" s="11"/>
      <c r="B43" t="s">
        <v>114</v>
      </c>
      <c r="C43" t="s">
        <v>3924</v>
      </c>
      <c r="D43">
        <v>2016</v>
      </c>
      <c r="E43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43" t="s">
        <v>1454</v>
      </c>
      <c r="G43">
        <v>1000</v>
      </c>
      <c r="I43">
        <v>2018</v>
      </c>
      <c r="J43" t="s">
        <v>1440</v>
      </c>
      <c r="K43" t="s">
        <v>1449</v>
      </c>
      <c r="L43" s="11"/>
      <c r="M43">
        <v>1000</v>
      </c>
      <c r="N43" s="2">
        <v>43282</v>
      </c>
      <c r="O43" t="s">
        <v>1405</v>
      </c>
      <c r="Q43" t="s">
        <v>1455</v>
      </c>
      <c r="R43" t="s">
        <v>115</v>
      </c>
    </row>
    <row r="44" spans="1:18" hidden="1" x14ac:dyDescent="0.25">
      <c r="A44" s="11"/>
      <c r="B44" t="s">
        <v>118</v>
      </c>
      <c r="C44" t="s">
        <v>3924</v>
      </c>
      <c r="D44">
        <v>2016</v>
      </c>
      <c r="E44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44" t="s">
        <v>1464</v>
      </c>
      <c r="G44">
        <v>1100</v>
      </c>
      <c r="I44">
        <v>2018</v>
      </c>
      <c r="J44" t="s">
        <v>1440</v>
      </c>
      <c r="K44" t="s">
        <v>1452</v>
      </c>
      <c r="L44" s="11"/>
      <c r="M44">
        <v>1100</v>
      </c>
      <c r="N44" s="2">
        <v>43282</v>
      </c>
      <c r="O44" t="s">
        <v>1405</v>
      </c>
      <c r="Q44" t="s">
        <v>1465</v>
      </c>
      <c r="R44" t="s">
        <v>119</v>
      </c>
    </row>
    <row r="45" spans="1:18" hidden="1" x14ac:dyDescent="0.25">
      <c r="A45" s="11"/>
      <c r="B45" t="s">
        <v>121</v>
      </c>
      <c r="C45" t="s">
        <v>3924</v>
      </c>
      <c r="D45">
        <v>2016</v>
      </c>
      <c r="E4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45" t="s">
        <v>1439</v>
      </c>
      <c r="G45">
        <v>1100</v>
      </c>
      <c r="I45">
        <v>2018</v>
      </c>
      <c r="J45" t="s">
        <v>1440</v>
      </c>
      <c r="K45" t="s">
        <v>1452</v>
      </c>
      <c r="L45" s="11"/>
      <c r="M45">
        <v>1100</v>
      </c>
      <c r="N45" s="2">
        <v>43282</v>
      </c>
      <c r="O45" t="s">
        <v>1405</v>
      </c>
      <c r="Q45" t="s">
        <v>1442</v>
      </c>
      <c r="R45" t="s">
        <v>122</v>
      </c>
    </row>
    <row r="46" spans="1:18" hidden="1" x14ac:dyDescent="0.25">
      <c r="A46" s="11"/>
      <c r="B46" t="s">
        <v>124</v>
      </c>
      <c r="C46" t="s">
        <v>3924</v>
      </c>
      <c r="D46">
        <v>2020</v>
      </c>
      <c r="E46">
        <v>2029</v>
      </c>
      <c r="F46" t="s">
        <v>1490</v>
      </c>
      <c r="G46">
        <v>1200</v>
      </c>
      <c r="I46">
        <v>2020</v>
      </c>
      <c r="J46" t="s">
        <v>1440</v>
      </c>
      <c r="K46" t="s">
        <v>1471</v>
      </c>
      <c r="L46" s="11"/>
      <c r="M46">
        <v>1200</v>
      </c>
      <c r="N46" s="2">
        <v>44013</v>
      </c>
      <c r="O46" t="s">
        <v>1354</v>
      </c>
      <c r="Q46" t="s">
        <v>1491</v>
      </c>
      <c r="R46" t="s">
        <v>125</v>
      </c>
    </row>
    <row r="47" spans="1:18" hidden="1" x14ac:dyDescent="0.25">
      <c r="A47" s="11"/>
      <c r="B47" t="s">
        <v>127</v>
      </c>
      <c r="C47" t="s">
        <v>3924</v>
      </c>
      <c r="D47">
        <v>2020</v>
      </c>
      <c r="E47">
        <v>2029</v>
      </c>
      <c r="F47" t="s">
        <v>1477</v>
      </c>
      <c r="G47">
        <v>5200</v>
      </c>
      <c r="I47">
        <v>2020</v>
      </c>
      <c r="J47" t="s">
        <v>1440</v>
      </c>
      <c r="K47" t="s">
        <v>1471</v>
      </c>
      <c r="L47" s="11"/>
      <c r="M47">
        <v>5200</v>
      </c>
      <c r="N47" s="2">
        <v>44013</v>
      </c>
      <c r="O47" t="s">
        <v>1405</v>
      </c>
      <c r="Q47" t="s">
        <v>1478</v>
      </c>
      <c r="R47" t="s">
        <v>128</v>
      </c>
    </row>
    <row r="48" spans="1:18" hidden="1" x14ac:dyDescent="0.25">
      <c r="A48" s="11"/>
      <c r="B48" t="s">
        <v>131</v>
      </c>
      <c r="C48" t="s">
        <v>3924</v>
      </c>
      <c r="D48">
        <v>2020</v>
      </c>
      <c r="E48">
        <v>2029</v>
      </c>
      <c r="F48" t="s">
        <v>1470</v>
      </c>
      <c r="G48">
        <v>4000</v>
      </c>
      <c r="I48">
        <v>2020</v>
      </c>
      <c r="J48" t="s">
        <v>1440</v>
      </c>
      <c r="K48" t="s">
        <v>1471</v>
      </c>
      <c r="L48" s="11"/>
      <c r="M48">
        <v>4000</v>
      </c>
      <c r="N48" s="2">
        <v>44013</v>
      </c>
      <c r="O48" t="s">
        <v>1354</v>
      </c>
      <c r="Q48" t="s">
        <v>1472</v>
      </c>
      <c r="R48" t="s">
        <v>132</v>
      </c>
    </row>
    <row r="49" spans="1:18" hidden="1" x14ac:dyDescent="0.25">
      <c r="A49" s="11"/>
      <c r="B49" t="s">
        <v>135</v>
      </c>
      <c r="C49" t="s">
        <v>3924</v>
      </c>
      <c r="D49">
        <v>2020</v>
      </c>
      <c r="E49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49" t="s">
        <v>1473</v>
      </c>
      <c r="G49">
        <v>1200</v>
      </c>
      <c r="I49">
        <v>2020</v>
      </c>
      <c r="J49" t="s">
        <v>1440</v>
      </c>
      <c r="K49" t="s">
        <v>1471</v>
      </c>
      <c r="L49" s="11"/>
      <c r="M49">
        <v>1200</v>
      </c>
      <c r="N49" s="2">
        <v>44013</v>
      </c>
      <c r="O49" t="s">
        <v>1405</v>
      </c>
      <c r="Q49" t="s">
        <v>1474</v>
      </c>
      <c r="R49" t="s">
        <v>136</v>
      </c>
    </row>
    <row r="50" spans="1:18" hidden="1" x14ac:dyDescent="0.25">
      <c r="A50" s="11"/>
      <c r="B50" t="s">
        <v>138</v>
      </c>
      <c r="C50" t="s">
        <v>3924</v>
      </c>
      <c r="D50">
        <v>2020</v>
      </c>
      <c r="E50">
        <v>2029</v>
      </c>
      <c r="F50" t="s">
        <v>1475</v>
      </c>
      <c r="G50">
        <v>700</v>
      </c>
      <c r="I50">
        <v>2020</v>
      </c>
      <c r="J50" t="s">
        <v>1440</v>
      </c>
      <c r="K50" t="s">
        <v>1471</v>
      </c>
      <c r="L50" s="11"/>
      <c r="M50">
        <v>700</v>
      </c>
      <c r="N50" s="2">
        <v>44013</v>
      </c>
      <c r="O50" t="s">
        <v>1405</v>
      </c>
      <c r="Q50" t="s">
        <v>1476</v>
      </c>
      <c r="R50" t="s">
        <v>139</v>
      </c>
    </row>
    <row r="51" spans="1:18" hidden="1" x14ac:dyDescent="0.25">
      <c r="A51" s="11"/>
      <c r="B51" t="s">
        <v>142</v>
      </c>
      <c r="C51" t="s">
        <v>3924</v>
      </c>
      <c r="D51">
        <v>2020</v>
      </c>
      <c r="E51">
        <v>2029</v>
      </c>
      <c r="F51" t="s">
        <v>1479</v>
      </c>
      <c r="G51">
        <v>730</v>
      </c>
      <c r="I51">
        <v>2020</v>
      </c>
      <c r="J51" t="s">
        <v>1440</v>
      </c>
      <c r="K51" t="s">
        <v>1471</v>
      </c>
      <c r="L51" s="11"/>
      <c r="M51">
        <v>730</v>
      </c>
      <c r="N51" s="2">
        <v>44013</v>
      </c>
      <c r="O51" t="s">
        <v>1354</v>
      </c>
      <c r="Q51" t="s">
        <v>1480</v>
      </c>
      <c r="R51" t="s">
        <v>143</v>
      </c>
    </row>
    <row r="52" spans="1:18" hidden="1" x14ac:dyDescent="0.25">
      <c r="A52" s="11"/>
      <c r="B52" t="s">
        <v>146</v>
      </c>
      <c r="C52" t="s">
        <v>3924</v>
      </c>
      <c r="D52">
        <v>2020</v>
      </c>
      <c r="E5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52" t="s">
        <v>1481</v>
      </c>
      <c r="G52">
        <v>2000</v>
      </c>
      <c r="I52">
        <v>2020</v>
      </c>
      <c r="J52" t="s">
        <v>1440</v>
      </c>
      <c r="K52" t="s">
        <v>1471</v>
      </c>
      <c r="L52" s="11"/>
      <c r="M52">
        <v>2000</v>
      </c>
      <c r="N52" s="2">
        <v>44013</v>
      </c>
      <c r="O52" t="s">
        <v>1405</v>
      </c>
      <c r="Q52" t="s">
        <v>1482</v>
      </c>
      <c r="R52" t="s">
        <v>147</v>
      </c>
    </row>
    <row r="53" spans="1:18" hidden="1" x14ac:dyDescent="0.25">
      <c r="A53" s="11"/>
      <c r="B53" t="s">
        <v>149</v>
      </c>
      <c r="C53" t="s">
        <v>3924</v>
      </c>
      <c r="D53">
        <v>2020</v>
      </c>
      <c r="E53">
        <v>2029</v>
      </c>
      <c r="F53" t="s">
        <v>1801</v>
      </c>
      <c r="G53">
        <v>2980</v>
      </c>
      <c r="I53">
        <v>2020</v>
      </c>
      <c r="J53" t="s">
        <v>1440</v>
      </c>
      <c r="K53" t="s">
        <v>1471</v>
      </c>
      <c r="L53" s="11"/>
      <c r="M53">
        <v>2980</v>
      </c>
      <c r="N53" s="2">
        <v>44013</v>
      </c>
      <c r="O53" t="s">
        <v>1354</v>
      </c>
      <c r="Q53" t="s">
        <v>1802</v>
      </c>
      <c r="R53" t="s">
        <v>150</v>
      </c>
    </row>
    <row r="54" spans="1:18" hidden="1" x14ac:dyDescent="0.25">
      <c r="A54" s="11"/>
      <c r="B54" t="s">
        <v>153</v>
      </c>
      <c r="C54" t="s">
        <v>3924</v>
      </c>
      <c r="D54">
        <v>2020</v>
      </c>
      <c r="E54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54" t="s">
        <v>1803</v>
      </c>
      <c r="G54">
        <v>1200</v>
      </c>
      <c r="I54">
        <v>2020</v>
      </c>
      <c r="J54" t="s">
        <v>1440</v>
      </c>
      <c r="K54" t="s">
        <v>1471</v>
      </c>
      <c r="L54" s="11"/>
      <c r="M54">
        <v>1200</v>
      </c>
      <c r="N54" s="2">
        <v>44013</v>
      </c>
      <c r="O54" t="s">
        <v>1405</v>
      </c>
      <c r="Q54" t="s">
        <v>1804</v>
      </c>
      <c r="R54" t="s">
        <v>154</v>
      </c>
    </row>
    <row r="55" spans="1:18" hidden="1" x14ac:dyDescent="0.25">
      <c r="A55" s="11"/>
      <c r="B55" t="s">
        <v>156</v>
      </c>
      <c r="C55" t="s">
        <v>3924</v>
      </c>
      <c r="D55">
        <v>2020</v>
      </c>
      <c r="E55">
        <v>2029</v>
      </c>
      <c r="F55" t="s">
        <v>1563</v>
      </c>
      <c r="G55">
        <v>1000</v>
      </c>
      <c r="I55">
        <v>2020</v>
      </c>
      <c r="J55" t="s">
        <v>1440</v>
      </c>
      <c r="K55" t="s">
        <v>1471</v>
      </c>
      <c r="L55" s="11"/>
      <c r="M55">
        <v>1000</v>
      </c>
      <c r="N55" s="2">
        <v>44013</v>
      </c>
      <c r="O55" t="s">
        <v>1354</v>
      </c>
      <c r="Q55" t="s">
        <v>1564</v>
      </c>
      <c r="R55" t="s">
        <v>157</v>
      </c>
    </row>
    <row r="56" spans="1:18" hidden="1" x14ac:dyDescent="0.25">
      <c r="A56" s="11"/>
      <c r="B56" t="s">
        <v>159</v>
      </c>
      <c r="C56" t="s">
        <v>3924</v>
      </c>
      <c r="D56">
        <v>2020</v>
      </c>
      <c r="E56">
        <v>2029</v>
      </c>
      <c r="F56" t="s">
        <v>1922</v>
      </c>
      <c r="G56">
        <v>4500</v>
      </c>
      <c r="I56">
        <v>2020</v>
      </c>
      <c r="J56" t="s">
        <v>1440</v>
      </c>
      <c r="K56" t="s">
        <v>1471</v>
      </c>
      <c r="L56" s="11"/>
      <c r="M56">
        <v>4500</v>
      </c>
      <c r="N56" s="2">
        <v>44013</v>
      </c>
      <c r="O56" t="s">
        <v>1394</v>
      </c>
      <c r="Q56" t="s">
        <v>1923</v>
      </c>
      <c r="R56" t="s">
        <v>160</v>
      </c>
    </row>
    <row r="57" spans="1:18" hidden="1" x14ac:dyDescent="0.25">
      <c r="A57" s="11"/>
      <c r="B57" t="s">
        <v>162</v>
      </c>
      <c r="C57" t="s">
        <v>3924</v>
      </c>
      <c r="D57">
        <v>2020</v>
      </c>
      <c r="E57">
        <v>2029</v>
      </c>
      <c r="F57" t="s">
        <v>1924</v>
      </c>
      <c r="G57">
        <v>2000</v>
      </c>
      <c r="I57">
        <v>2020</v>
      </c>
      <c r="J57" t="s">
        <v>1440</v>
      </c>
      <c r="K57" t="s">
        <v>1471</v>
      </c>
      <c r="L57" s="11"/>
      <c r="M57">
        <v>2000</v>
      </c>
      <c r="N57" s="2">
        <v>44013</v>
      </c>
      <c r="O57" t="s">
        <v>1354</v>
      </c>
      <c r="Q57" t="s">
        <v>1925</v>
      </c>
      <c r="R57" t="s">
        <v>163</v>
      </c>
    </row>
    <row r="58" spans="1:18" hidden="1" x14ac:dyDescent="0.25">
      <c r="A58" s="11"/>
      <c r="B58" t="s">
        <v>166</v>
      </c>
      <c r="C58" t="s">
        <v>3924</v>
      </c>
      <c r="D58">
        <v>2020</v>
      </c>
      <c r="E58">
        <v>2029</v>
      </c>
      <c r="F58" t="s">
        <v>1926</v>
      </c>
      <c r="G58">
        <v>1200</v>
      </c>
      <c r="I58">
        <v>2020</v>
      </c>
      <c r="J58" t="s">
        <v>1440</v>
      </c>
      <c r="K58" t="s">
        <v>1471</v>
      </c>
      <c r="L58" s="11"/>
      <c r="M58">
        <v>1200</v>
      </c>
      <c r="N58" s="2">
        <v>44013</v>
      </c>
      <c r="O58" t="s">
        <v>1354</v>
      </c>
      <c r="Q58" t="s">
        <v>1927</v>
      </c>
      <c r="R58" t="s">
        <v>167</v>
      </c>
    </row>
    <row r="59" spans="1:18" hidden="1" x14ac:dyDescent="0.25">
      <c r="A59" s="11"/>
      <c r="B59" t="s">
        <v>170</v>
      </c>
      <c r="C59" t="s">
        <v>3924</v>
      </c>
      <c r="D59">
        <v>2020</v>
      </c>
      <c r="E59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59" t="s">
        <v>1569</v>
      </c>
      <c r="G59">
        <v>3600</v>
      </c>
      <c r="I59">
        <v>2020</v>
      </c>
      <c r="J59" t="s">
        <v>1440</v>
      </c>
      <c r="K59" t="s">
        <v>1471</v>
      </c>
      <c r="L59" s="11"/>
      <c r="M59">
        <v>3600</v>
      </c>
      <c r="N59" s="2">
        <v>44013</v>
      </c>
      <c r="O59" t="s">
        <v>1405</v>
      </c>
      <c r="Q59" t="s">
        <v>1570</v>
      </c>
      <c r="R59" t="s">
        <v>171</v>
      </c>
    </row>
    <row r="60" spans="1:18" hidden="1" x14ac:dyDescent="0.25">
      <c r="A60" s="11"/>
      <c r="B60" t="s">
        <v>174</v>
      </c>
      <c r="C60" t="s">
        <v>3924</v>
      </c>
      <c r="D60">
        <v>2020</v>
      </c>
      <c r="E60">
        <v>2029</v>
      </c>
      <c r="F60" t="s">
        <v>1571</v>
      </c>
      <c r="G60">
        <v>1200</v>
      </c>
      <c r="I60">
        <v>2020</v>
      </c>
      <c r="J60" t="s">
        <v>1440</v>
      </c>
      <c r="K60" t="s">
        <v>1471</v>
      </c>
      <c r="L60" s="11"/>
      <c r="M60">
        <v>1200</v>
      </c>
      <c r="N60" s="2">
        <v>44013</v>
      </c>
      <c r="O60" t="s">
        <v>1354</v>
      </c>
      <c r="Q60" t="s">
        <v>1572</v>
      </c>
      <c r="R60" t="s">
        <v>175</v>
      </c>
    </row>
    <row r="61" spans="1:18" hidden="1" x14ac:dyDescent="0.25">
      <c r="A61" s="11"/>
      <c r="B61" t="s">
        <v>177</v>
      </c>
      <c r="C61" t="s">
        <v>3924</v>
      </c>
      <c r="D61">
        <v>2020</v>
      </c>
      <c r="E6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61" t="s">
        <v>1573</v>
      </c>
      <c r="G61">
        <v>3440</v>
      </c>
      <c r="I61">
        <v>2020</v>
      </c>
      <c r="J61" t="s">
        <v>1440</v>
      </c>
      <c r="K61" t="s">
        <v>1471</v>
      </c>
      <c r="L61" s="11"/>
      <c r="M61">
        <v>3440</v>
      </c>
      <c r="N61" s="2">
        <v>44013</v>
      </c>
      <c r="O61" t="s">
        <v>1405</v>
      </c>
      <c r="Q61" t="s">
        <v>1574</v>
      </c>
      <c r="R61" t="s">
        <v>178</v>
      </c>
    </row>
    <row r="62" spans="1:18" hidden="1" x14ac:dyDescent="0.25">
      <c r="A62" s="11"/>
      <c r="B62" t="s">
        <v>180</v>
      </c>
      <c r="C62" t="s">
        <v>3924</v>
      </c>
      <c r="D62">
        <v>2020</v>
      </c>
      <c r="E62">
        <v>2029</v>
      </c>
      <c r="F62" t="s">
        <v>1575</v>
      </c>
      <c r="G62">
        <v>1300</v>
      </c>
      <c r="I62">
        <v>2020</v>
      </c>
      <c r="J62" t="s">
        <v>1440</v>
      </c>
      <c r="K62" t="s">
        <v>1471</v>
      </c>
      <c r="L62" s="11"/>
      <c r="M62">
        <v>1300</v>
      </c>
      <c r="N62" s="2">
        <v>44013</v>
      </c>
      <c r="O62" t="s">
        <v>1354</v>
      </c>
      <c r="Q62" t="s">
        <v>1576</v>
      </c>
      <c r="R62" t="s">
        <v>181</v>
      </c>
    </row>
    <row r="63" spans="1:18" hidden="1" x14ac:dyDescent="0.25">
      <c r="A63" s="11"/>
      <c r="B63" t="s">
        <v>183</v>
      </c>
      <c r="C63" t="s">
        <v>3924</v>
      </c>
      <c r="D63">
        <v>2020</v>
      </c>
      <c r="E63">
        <v>2029</v>
      </c>
      <c r="F63" t="s">
        <v>1814</v>
      </c>
      <c r="G63">
        <v>2400</v>
      </c>
      <c r="I63">
        <v>2020</v>
      </c>
      <c r="J63" t="s">
        <v>1440</v>
      </c>
      <c r="K63" t="s">
        <v>1471</v>
      </c>
      <c r="L63" s="11"/>
      <c r="M63">
        <v>2400</v>
      </c>
      <c r="N63" s="2">
        <v>44013</v>
      </c>
      <c r="O63" t="s">
        <v>1354</v>
      </c>
      <c r="Q63" t="s">
        <v>1815</v>
      </c>
      <c r="R63" t="s">
        <v>184</v>
      </c>
    </row>
    <row r="64" spans="1:18" hidden="1" x14ac:dyDescent="0.25">
      <c r="A64" s="11"/>
      <c r="B64" t="s">
        <v>187</v>
      </c>
      <c r="C64" t="s">
        <v>3924</v>
      </c>
      <c r="D64">
        <v>2020</v>
      </c>
      <c r="E64">
        <v>2029</v>
      </c>
      <c r="F64" t="s">
        <v>1839</v>
      </c>
      <c r="G64">
        <v>1000</v>
      </c>
      <c r="I64">
        <v>2020</v>
      </c>
      <c r="J64" t="s">
        <v>1440</v>
      </c>
      <c r="K64" t="s">
        <v>1471</v>
      </c>
      <c r="L64" s="11"/>
      <c r="M64">
        <v>1000</v>
      </c>
      <c r="N64" s="2">
        <v>44013</v>
      </c>
      <c r="O64" t="s">
        <v>1354</v>
      </c>
      <c r="Q64" t="s">
        <v>1840</v>
      </c>
      <c r="R64" t="s">
        <v>188</v>
      </c>
    </row>
    <row r="65" spans="1:18" hidden="1" x14ac:dyDescent="0.25">
      <c r="A65" s="11"/>
      <c r="B65" t="s">
        <v>190</v>
      </c>
      <c r="C65" t="s">
        <v>3924</v>
      </c>
      <c r="D65">
        <v>2020</v>
      </c>
      <c r="E6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65" t="s">
        <v>1841</v>
      </c>
      <c r="G65">
        <v>800</v>
      </c>
      <c r="I65">
        <v>2020</v>
      </c>
      <c r="J65" t="s">
        <v>1440</v>
      </c>
      <c r="K65" t="s">
        <v>1471</v>
      </c>
      <c r="L65" s="11"/>
      <c r="M65">
        <v>800</v>
      </c>
      <c r="N65" s="2">
        <v>44013</v>
      </c>
      <c r="O65" t="s">
        <v>1405</v>
      </c>
      <c r="Q65" t="s">
        <v>1842</v>
      </c>
      <c r="R65" t="s">
        <v>191</v>
      </c>
    </row>
    <row r="66" spans="1:18" hidden="1" x14ac:dyDescent="0.25">
      <c r="A66" s="11"/>
      <c r="B66" t="s">
        <v>193</v>
      </c>
      <c r="C66" t="s">
        <v>3924</v>
      </c>
      <c r="D66">
        <v>2020</v>
      </c>
      <c r="E66">
        <v>2029</v>
      </c>
      <c r="F66" t="s">
        <v>1555</v>
      </c>
      <c r="G66">
        <v>1000</v>
      </c>
      <c r="I66">
        <v>2020</v>
      </c>
      <c r="J66" t="s">
        <v>1440</v>
      </c>
      <c r="K66" t="s">
        <v>1471</v>
      </c>
      <c r="L66" s="11"/>
      <c r="M66">
        <v>1000</v>
      </c>
      <c r="N66" s="2">
        <v>44013</v>
      </c>
      <c r="O66" t="s">
        <v>1405</v>
      </c>
      <c r="Q66" t="s">
        <v>1556</v>
      </c>
      <c r="R66" t="s">
        <v>194</v>
      </c>
    </row>
    <row r="67" spans="1:18" hidden="1" x14ac:dyDescent="0.25">
      <c r="A67" s="11"/>
      <c r="B67" t="s">
        <v>196</v>
      </c>
      <c r="C67" t="s">
        <v>3924</v>
      </c>
      <c r="D67">
        <v>2020</v>
      </c>
      <c r="E67">
        <v>2029</v>
      </c>
      <c r="F67" t="s">
        <v>1857</v>
      </c>
      <c r="G67">
        <v>4000</v>
      </c>
      <c r="I67">
        <v>2020</v>
      </c>
      <c r="J67" t="s">
        <v>1440</v>
      </c>
      <c r="K67" t="s">
        <v>1471</v>
      </c>
      <c r="L67" s="11"/>
      <c r="M67">
        <v>4000</v>
      </c>
      <c r="N67" s="2">
        <v>44013</v>
      </c>
      <c r="O67" t="s">
        <v>1405</v>
      </c>
      <c r="Q67" t="s">
        <v>1858</v>
      </c>
      <c r="R67" t="s">
        <v>197</v>
      </c>
    </row>
    <row r="68" spans="1:18" hidden="1" x14ac:dyDescent="0.25">
      <c r="A68" s="11"/>
      <c r="B68" t="s">
        <v>200</v>
      </c>
      <c r="C68" t="s">
        <v>3924</v>
      </c>
      <c r="D68">
        <v>2020</v>
      </c>
      <c r="E68">
        <v>2029</v>
      </c>
      <c r="F68" t="s">
        <v>1859</v>
      </c>
      <c r="G68">
        <v>2000</v>
      </c>
      <c r="I68">
        <v>2020</v>
      </c>
      <c r="J68" t="s">
        <v>1440</v>
      </c>
      <c r="K68" t="s">
        <v>1471</v>
      </c>
      <c r="L68" s="11"/>
      <c r="M68">
        <v>2000</v>
      </c>
      <c r="N68" s="2">
        <v>44013</v>
      </c>
      <c r="O68" t="s">
        <v>1405</v>
      </c>
      <c r="Q68" t="s">
        <v>1860</v>
      </c>
      <c r="R68" t="s">
        <v>201</v>
      </c>
    </row>
    <row r="69" spans="1:18" hidden="1" x14ac:dyDescent="0.25">
      <c r="A69" s="11"/>
      <c r="B69" t="s">
        <v>203</v>
      </c>
      <c r="C69" t="s">
        <v>3924</v>
      </c>
      <c r="D69">
        <v>2020</v>
      </c>
      <c r="E69">
        <v>2029</v>
      </c>
      <c r="F69" t="s">
        <v>1553</v>
      </c>
      <c r="G69">
        <v>2000</v>
      </c>
      <c r="I69">
        <v>2020</v>
      </c>
      <c r="J69" t="s">
        <v>1440</v>
      </c>
      <c r="K69" t="s">
        <v>1471</v>
      </c>
      <c r="L69" s="11"/>
      <c r="M69">
        <v>2000</v>
      </c>
      <c r="N69" s="2">
        <v>44013</v>
      </c>
      <c r="O69" t="s">
        <v>1405</v>
      </c>
      <c r="Q69" t="s">
        <v>1554</v>
      </c>
      <c r="R69" t="s">
        <v>204</v>
      </c>
    </row>
    <row r="70" spans="1:18" hidden="1" x14ac:dyDescent="0.25">
      <c r="A70" s="11"/>
      <c r="B70" t="s">
        <v>206</v>
      </c>
      <c r="C70" t="s">
        <v>3924</v>
      </c>
      <c r="D70">
        <v>2020</v>
      </c>
      <c r="E70">
        <v>2029</v>
      </c>
      <c r="F70" t="s">
        <v>1843</v>
      </c>
      <c r="G70">
        <v>2000</v>
      </c>
      <c r="I70">
        <v>2020</v>
      </c>
      <c r="J70" t="s">
        <v>1440</v>
      </c>
      <c r="K70" t="s">
        <v>1471</v>
      </c>
      <c r="L70" s="11"/>
      <c r="M70">
        <v>2000</v>
      </c>
      <c r="N70" s="2">
        <v>44013</v>
      </c>
      <c r="O70" t="s">
        <v>1354</v>
      </c>
      <c r="Q70" t="s">
        <v>1844</v>
      </c>
      <c r="R70" t="s">
        <v>207</v>
      </c>
    </row>
    <row r="71" spans="1:18" hidden="1" x14ac:dyDescent="0.25">
      <c r="A71" s="11"/>
      <c r="B71" t="s">
        <v>210</v>
      </c>
      <c r="C71" t="s">
        <v>3924</v>
      </c>
      <c r="D71">
        <v>2020</v>
      </c>
      <c r="E71">
        <v>2029</v>
      </c>
      <c r="F71" t="s">
        <v>1845</v>
      </c>
      <c r="G71">
        <v>2000</v>
      </c>
      <c r="I71">
        <v>2020</v>
      </c>
      <c r="J71" t="s">
        <v>1440</v>
      </c>
      <c r="K71" t="s">
        <v>1471</v>
      </c>
      <c r="L71" s="11"/>
      <c r="M71">
        <v>2000</v>
      </c>
      <c r="N71" s="2">
        <v>44013</v>
      </c>
      <c r="O71" t="s">
        <v>1354</v>
      </c>
      <c r="Q71" t="s">
        <v>1846</v>
      </c>
      <c r="R71" t="s">
        <v>211</v>
      </c>
    </row>
    <row r="72" spans="1:18" hidden="1" x14ac:dyDescent="0.25">
      <c r="A72" s="11"/>
      <c r="B72" t="s">
        <v>213</v>
      </c>
      <c r="C72" t="s">
        <v>3924</v>
      </c>
      <c r="D72">
        <v>2020</v>
      </c>
      <c r="E72">
        <v>2029</v>
      </c>
      <c r="F72" t="s">
        <v>1448</v>
      </c>
      <c r="G72">
        <v>500</v>
      </c>
      <c r="I72">
        <v>2020</v>
      </c>
      <c r="J72" t="s">
        <v>1440</v>
      </c>
      <c r="K72" t="s">
        <v>1471</v>
      </c>
      <c r="L72" s="11"/>
      <c r="M72">
        <v>500</v>
      </c>
      <c r="N72" s="2">
        <v>44013</v>
      </c>
      <c r="O72" t="s">
        <v>1354</v>
      </c>
      <c r="Q72" t="s">
        <v>1450</v>
      </c>
      <c r="R72" t="s">
        <v>111</v>
      </c>
    </row>
    <row r="73" spans="1:18" hidden="1" x14ac:dyDescent="0.25">
      <c r="A73" s="11"/>
      <c r="B73" t="s">
        <v>214</v>
      </c>
      <c r="C73" t="s">
        <v>3924</v>
      </c>
      <c r="D73">
        <v>2020</v>
      </c>
      <c r="E73">
        <v>2029</v>
      </c>
      <c r="F73" t="s">
        <v>1847</v>
      </c>
      <c r="G73">
        <v>1200</v>
      </c>
      <c r="I73">
        <v>2020</v>
      </c>
      <c r="J73" t="s">
        <v>1440</v>
      </c>
      <c r="K73" t="s">
        <v>1471</v>
      </c>
      <c r="L73" s="11"/>
      <c r="M73">
        <v>1200</v>
      </c>
      <c r="N73" s="2">
        <v>44013</v>
      </c>
      <c r="O73" t="s">
        <v>1354</v>
      </c>
      <c r="Q73" t="s">
        <v>1848</v>
      </c>
      <c r="R73" t="s">
        <v>215</v>
      </c>
    </row>
    <row r="74" spans="1:18" hidden="1" x14ac:dyDescent="0.25">
      <c r="A74" s="11"/>
      <c r="B74" t="s">
        <v>218</v>
      </c>
      <c r="C74" t="s">
        <v>3924</v>
      </c>
      <c r="D74">
        <v>2020</v>
      </c>
      <c r="E74">
        <v>2029</v>
      </c>
      <c r="F74" t="s">
        <v>1849</v>
      </c>
      <c r="G74">
        <v>600</v>
      </c>
      <c r="I74">
        <v>2020</v>
      </c>
      <c r="J74" t="s">
        <v>1440</v>
      </c>
      <c r="K74" t="s">
        <v>1471</v>
      </c>
      <c r="L74" s="11"/>
      <c r="M74">
        <v>600</v>
      </c>
      <c r="N74" s="2">
        <v>44013</v>
      </c>
      <c r="O74" t="s">
        <v>1354</v>
      </c>
      <c r="Q74" t="s">
        <v>1850</v>
      </c>
      <c r="R74" t="s">
        <v>219</v>
      </c>
    </row>
    <row r="75" spans="1:18" hidden="1" x14ac:dyDescent="0.25">
      <c r="A75" s="11"/>
      <c r="B75" t="s">
        <v>221</v>
      </c>
      <c r="C75" t="s">
        <v>3924</v>
      </c>
      <c r="D75">
        <v>2020</v>
      </c>
      <c r="E75">
        <v>2029</v>
      </c>
      <c r="F75" t="s">
        <v>1861</v>
      </c>
      <c r="G75">
        <v>1000</v>
      </c>
      <c r="I75">
        <v>2020</v>
      </c>
      <c r="J75" t="s">
        <v>1440</v>
      </c>
      <c r="K75" t="s">
        <v>1471</v>
      </c>
      <c r="L75" s="11"/>
      <c r="M75">
        <v>1000</v>
      </c>
      <c r="N75" s="2">
        <v>44013</v>
      </c>
      <c r="O75" t="s">
        <v>1405</v>
      </c>
      <c r="Q75" t="s">
        <v>1862</v>
      </c>
      <c r="R75" t="s">
        <v>222</v>
      </c>
    </row>
    <row r="76" spans="1:18" hidden="1" x14ac:dyDescent="0.25">
      <c r="A76" s="11"/>
      <c r="B76" t="s">
        <v>225</v>
      </c>
      <c r="C76" t="s">
        <v>3924</v>
      </c>
      <c r="D76">
        <v>2020</v>
      </c>
      <c r="E76">
        <v>2029</v>
      </c>
      <c r="F76" t="s">
        <v>1851</v>
      </c>
      <c r="G76">
        <v>1700</v>
      </c>
      <c r="I76">
        <v>2020</v>
      </c>
      <c r="J76" t="s">
        <v>1440</v>
      </c>
      <c r="K76" t="s">
        <v>1471</v>
      </c>
      <c r="L76" s="11"/>
      <c r="M76">
        <v>1700</v>
      </c>
      <c r="N76" s="2">
        <v>44013</v>
      </c>
      <c r="O76" t="s">
        <v>1354</v>
      </c>
      <c r="Q76" t="s">
        <v>1852</v>
      </c>
      <c r="R76" t="s">
        <v>226</v>
      </c>
    </row>
    <row r="77" spans="1:18" hidden="1" x14ac:dyDescent="0.25">
      <c r="A77" s="11"/>
      <c r="B77" t="s">
        <v>228</v>
      </c>
      <c r="C77" t="s">
        <v>3924</v>
      </c>
      <c r="D77">
        <v>2020</v>
      </c>
      <c r="E77">
        <v>2029</v>
      </c>
      <c r="F77" t="s">
        <v>1853</v>
      </c>
      <c r="G77">
        <v>1000</v>
      </c>
      <c r="I77">
        <v>2020</v>
      </c>
      <c r="J77" t="s">
        <v>1440</v>
      </c>
      <c r="K77" t="s">
        <v>1471</v>
      </c>
      <c r="L77" s="11"/>
      <c r="M77">
        <v>1000</v>
      </c>
      <c r="N77" s="2">
        <v>44013</v>
      </c>
      <c r="O77" t="s">
        <v>1354</v>
      </c>
      <c r="Q77" t="s">
        <v>1854</v>
      </c>
      <c r="R77" t="s">
        <v>229</v>
      </c>
    </row>
    <row r="78" spans="1:18" hidden="1" x14ac:dyDescent="0.25">
      <c r="A78" s="11"/>
      <c r="B78" t="s">
        <v>232</v>
      </c>
      <c r="C78" t="s">
        <v>3924</v>
      </c>
      <c r="D78">
        <v>2020</v>
      </c>
      <c r="E78">
        <v>2029</v>
      </c>
      <c r="F78" t="s">
        <v>1557</v>
      </c>
      <c r="G78">
        <v>1200</v>
      </c>
      <c r="I78">
        <v>2020</v>
      </c>
      <c r="J78" t="s">
        <v>1440</v>
      </c>
      <c r="K78" t="s">
        <v>1471</v>
      </c>
      <c r="L78" s="11"/>
      <c r="M78">
        <v>1200</v>
      </c>
      <c r="N78" s="2">
        <v>44013</v>
      </c>
      <c r="O78" t="s">
        <v>1405</v>
      </c>
      <c r="Q78" t="s">
        <v>1558</v>
      </c>
      <c r="R78" t="s">
        <v>233</v>
      </c>
    </row>
    <row r="79" spans="1:18" hidden="1" x14ac:dyDescent="0.25">
      <c r="A79" s="11"/>
      <c r="B79" t="s">
        <v>235</v>
      </c>
      <c r="C79" t="s">
        <v>3924</v>
      </c>
      <c r="D79">
        <v>2020</v>
      </c>
      <c r="E79">
        <v>2029</v>
      </c>
      <c r="F79" t="s">
        <v>1855</v>
      </c>
      <c r="G79">
        <v>2000</v>
      </c>
      <c r="I79">
        <v>2020</v>
      </c>
      <c r="J79" t="s">
        <v>1440</v>
      </c>
      <c r="K79" t="s">
        <v>1471</v>
      </c>
      <c r="L79" s="11"/>
      <c r="M79">
        <v>2000</v>
      </c>
      <c r="N79" s="2">
        <v>44013</v>
      </c>
      <c r="O79" t="s">
        <v>1354</v>
      </c>
      <c r="Q79" t="s">
        <v>1856</v>
      </c>
      <c r="R79" t="s">
        <v>236</v>
      </c>
    </row>
    <row r="80" spans="1:18" hidden="1" x14ac:dyDescent="0.25">
      <c r="A80" s="11"/>
      <c r="B80" t="s">
        <v>238</v>
      </c>
      <c r="C80" t="s">
        <v>3924</v>
      </c>
      <c r="D80">
        <v>2020</v>
      </c>
      <c r="E80">
        <v>2029</v>
      </c>
      <c r="F80" t="s">
        <v>1930</v>
      </c>
      <c r="G80">
        <v>1000</v>
      </c>
      <c r="I80">
        <v>2020</v>
      </c>
      <c r="J80" t="s">
        <v>1440</v>
      </c>
      <c r="K80" t="s">
        <v>1471</v>
      </c>
      <c r="L80" s="11"/>
      <c r="M80">
        <v>1000</v>
      </c>
      <c r="N80" s="2">
        <v>44013</v>
      </c>
      <c r="O80" t="s">
        <v>1354</v>
      </c>
      <c r="Q80" t="s">
        <v>1931</v>
      </c>
      <c r="R80" t="s">
        <v>239</v>
      </c>
    </row>
    <row r="81" spans="1:18" hidden="1" x14ac:dyDescent="0.25">
      <c r="A81" s="11"/>
      <c r="B81" t="s">
        <v>241</v>
      </c>
      <c r="C81" t="s">
        <v>3924</v>
      </c>
      <c r="D81">
        <v>2021</v>
      </c>
      <c r="E81">
        <v>2030</v>
      </c>
      <c r="F81" t="s">
        <v>1932</v>
      </c>
      <c r="G81">
        <v>1000</v>
      </c>
      <c r="I81">
        <v>2021</v>
      </c>
      <c r="J81" t="s">
        <v>1440</v>
      </c>
      <c r="K81" t="s">
        <v>1471</v>
      </c>
      <c r="L81" s="11"/>
      <c r="M81">
        <v>1000</v>
      </c>
      <c r="N81" s="2">
        <v>44378</v>
      </c>
      <c r="O81" t="s">
        <v>1405</v>
      </c>
      <c r="Q81" t="s">
        <v>1933</v>
      </c>
      <c r="R81" t="s">
        <v>242</v>
      </c>
    </row>
    <row r="82" spans="1:18" hidden="1" x14ac:dyDescent="0.25">
      <c r="A82" s="11"/>
      <c r="B82" t="s">
        <v>244</v>
      </c>
      <c r="C82" t="s">
        <v>3924</v>
      </c>
      <c r="D82">
        <v>2021</v>
      </c>
      <c r="E8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2031</v>
      </c>
      <c r="F82" t="s">
        <v>1481</v>
      </c>
      <c r="G82">
        <v>1800</v>
      </c>
      <c r="I82">
        <v>2021</v>
      </c>
      <c r="J82" t="s">
        <v>1440</v>
      </c>
      <c r="K82" t="s">
        <v>1471</v>
      </c>
      <c r="L82" s="11"/>
      <c r="M82">
        <v>1800</v>
      </c>
      <c r="N82" s="2">
        <v>44378</v>
      </c>
      <c r="O82" t="s">
        <v>1405</v>
      </c>
      <c r="Q82" t="s">
        <v>1482</v>
      </c>
      <c r="R82" t="s">
        <v>147</v>
      </c>
    </row>
    <row r="83" spans="1:18" hidden="1" x14ac:dyDescent="0.25">
      <c r="A83" s="11"/>
      <c r="B83" t="s">
        <v>245</v>
      </c>
      <c r="C83" t="s">
        <v>3924</v>
      </c>
      <c r="D83">
        <v>2021</v>
      </c>
      <c r="E83">
        <v>2030</v>
      </c>
      <c r="F83" t="s">
        <v>1738</v>
      </c>
      <c r="G83">
        <v>650</v>
      </c>
      <c r="I83">
        <v>2021</v>
      </c>
      <c r="J83" t="s">
        <v>1440</v>
      </c>
      <c r="K83" t="s">
        <v>1471</v>
      </c>
      <c r="L83" s="11"/>
      <c r="M83">
        <v>650</v>
      </c>
      <c r="N83" s="2">
        <v>44378</v>
      </c>
      <c r="O83" t="s">
        <v>1537</v>
      </c>
      <c r="Q83" t="s">
        <v>1739</v>
      </c>
      <c r="R83" t="s">
        <v>246</v>
      </c>
    </row>
    <row r="84" spans="1:18" hidden="1" x14ac:dyDescent="0.25">
      <c r="A84" s="11"/>
      <c r="B84" t="s">
        <v>249</v>
      </c>
      <c r="C84" t="s">
        <v>3924</v>
      </c>
      <c r="D84">
        <v>2021</v>
      </c>
      <c r="E84">
        <v>2030</v>
      </c>
      <c r="F84" t="s">
        <v>1677</v>
      </c>
      <c r="G84">
        <v>1000</v>
      </c>
      <c r="I84">
        <v>2021</v>
      </c>
      <c r="J84" t="s">
        <v>1440</v>
      </c>
      <c r="K84" t="s">
        <v>1471</v>
      </c>
      <c r="L84" s="11"/>
      <c r="M84">
        <v>1000</v>
      </c>
      <c r="N84" s="2">
        <v>44378</v>
      </c>
      <c r="O84" t="s">
        <v>1354</v>
      </c>
      <c r="Q84" t="s">
        <v>1678</v>
      </c>
      <c r="R84" t="s">
        <v>250</v>
      </c>
    </row>
    <row r="85" spans="1:18" hidden="1" x14ac:dyDescent="0.25">
      <c r="A85" s="11"/>
      <c r="B85" t="s">
        <v>252</v>
      </c>
      <c r="C85" t="s">
        <v>3924</v>
      </c>
      <c r="D85">
        <v>2021</v>
      </c>
      <c r="E85">
        <v>2030</v>
      </c>
      <c r="F85" t="s">
        <v>1934</v>
      </c>
      <c r="G85">
        <v>1730</v>
      </c>
      <c r="I85">
        <v>2021</v>
      </c>
      <c r="J85" t="s">
        <v>1440</v>
      </c>
      <c r="K85" t="s">
        <v>1471</v>
      </c>
      <c r="L85" s="11"/>
      <c r="M85">
        <v>1730</v>
      </c>
      <c r="N85" s="2">
        <v>44378</v>
      </c>
      <c r="O85" t="s">
        <v>1354</v>
      </c>
      <c r="Q85" t="s">
        <v>1935</v>
      </c>
      <c r="R85" t="s">
        <v>253</v>
      </c>
    </row>
    <row r="86" spans="1:18" hidden="1" x14ac:dyDescent="0.25">
      <c r="A86" s="11"/>
      <c r="B86" t="s">
        <v>256</v>
      </c>
      <c r="C86" t="s">
        <v>3924</v>
      </c>
      <c r="D86">
        <v>2021</v>
      </c>
      <c r="E86">
        <v>2030</v>
      </c>
      <c r="F86" t="s">
        <v>1936</v>
      </c>
      <c r="G86">
        <v>1000</v>
      </c>
      <c r="I86">
        <v>2021</v>
      </c>
      <c r="J86" t="s">
        <v>1440</v>
      </c>
      <c r="K86" t="s">
        <v>1471</v>
      </c>
      <c r="L86" s="11"/>
      <c r="M86">
        <v>1000</v>
      </c>
      <c r="N86" s="2">
        <v>44378</v>
      </c>
      <c r="O86" t="s">
        <v>1354</v>
      </c>
      <c r="Q86" t="s">
        <v>1937</v>
      </c>
      <c r="R86" t="s">
        <v>257</v>
      </c>
    </row>
    <row r="87" spans="1:18" hidden="1" x14ac:dyDescent="0.25">
      <c r="A87" s="11"/>
      <c r="B87" t="s">
        <v>259</v>
      </c>
      <c r="C87" t="s">
        <v>3924</v>
      </c>
      <c r="D87">
        <v>2021</v>
      </c>
      <c r="E87">
        <v>2030</v>
      </c>
      <c r="F87" t="s">
        <v>1938</v>
      </c>
      <c r="G87">
        <v>1000</v>
      </c>
      <c r="I87">
        <v>2021</v>
      </c>
      <c r="J87" t="s">
        <v>1440</v>
      </c>
      <c r="K87" t="s">
        <v>1471</v>
      </c>
      <c r="L87" s="11"/>
      <c r="M87">
        <v>1000</v>
      </c>
      <c r="N87" s="2">
        <v>44378</v>
      </c>
      <c r="O87" t="s">
        <v>1354</v>
      </c>
      <c r="Q87" t="s">
        <v>1939</v>
      </c>
      <c r="R87" t="s">
        <v>260</v>
      </c>
    </row>
    <row r="88" spans="1:18" hidden="1" x14ac:dyDescent="0.25">
      <c r="A88" s="11"/>
      <c r="B88" t="s">
        <v>262</v>
      </c>
      <c r="C88" t="s">
        <v>3924</v>
      </c>
      <c r="D88">
        <v>2021</v>
      </c>
      <c r="E88">
        <v>2030</v>
      </c>
      <c r="F88" t="s">
        <v>1940</v>
      </c>
      <c r="G88">
        <v>2875</v>
      </c>
      <c r="I88">
        <v>2021</v>
      </c>
      <c r="J88" t="s">
        <v>1440</v>
      </c>
      <c r="K88" t="s">
        <v>1471</v>
      </c>
      <c r="L88" s="11"/>
      <c r="M88">
        <v>2875</v>
      </c>
      <c r="N88" s="2">
        <v>44378</v>
      </c>
      <c r="O88" t="s">
        <v>1354</v>
      </c>
      <c r="Q88" t="s">
        <v>1941</v>
      </c>
      <c r="R88" t="s">
        <v>263</v>
      </c>
    </row>
    <row r="89" spans="1:18" hidden="1" x14ac:dyDescent="0.25">
      <c r="A89" s="11"/>
      <c r="B89" t="s">
        <v>265</v>
      </c>
      <c r="C89" t="s">
        <v>3924</v>
      </c>
      <c r="D89">
        <v>2021</v>
      </c>
      <c r="E89">
        <v>2030</v>
      </c>
      <c r="F89" t="s">
        <v>1942</v>
      </c>
      <c r="G89">
        <v>1000</v>
      </c>
      <c r="I89">
        <v>2021</v>
      </c>
      <c r="J89" t="s">
        <v>1440</v>
      </c>
      <c r="K89" t="s">
        <v>1471</v>
      </c>
      <c r="L89" s="11"/>
      <c r="M89">
        <v>1000</v>
      </c>
      <c r="N89" s="2">
        <v>44378</v>
      </c>
      <c r="O89" t="s">
        <v>1354</v>
      </c>
      <c r="Q89" t="s">
        <v>1943</v>
      </c>
      <c r="R89" t="s">
        <v>266</v>
      </c>
    </row>
    <row r="90" spans="1:18" x14ac:dyDescent="0.25">
      <c r="A90" s="11"/>
      <c r="B90" t="s">
        <v>268</v>
      </c>
      <c r="C90" t="s">
        <v>3924</v>
      </c>
      <c r="D90">
        <v>2015</v>
      </c>
      <c r="E90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90" t="s">
        <v>1559</v>
      </c>
      <c r="G90">
        <v>275</v>
      </c>
      <c r="I90">
        <v>2016</v>
      </c>
      <c r="J90" t="s">
        <v>1440</v>
      </c>
      <c r="K90" t="s">
        <v>1452</v>
      </c>
      <c r="L90" s="11"/>
      <c r="M90">
        <v>275</v>
      </c>
      <c r="N90" s="2">
        <v>42552</v>
      </c>
      <c r="O90" t="s">
        <v>1405</v>
      </c>
      <c r="Q90" t="s">
        <v>1560</v>
      </c>
      <c r="R90" t="s">
        <v>269</v>
      </c>
    </row>
    <row r="91" spans="1:18" hidden="1" x14ac:dyDescent="0.25">
      <c r="A91" s="11"/>
      <c r="B91" t="s">
        <v>271</v>
      </c>
      <c r="C91" t="s">
        <v>3924</v>
      </c>
      <c r="D91">
        <v>2018</v>
      </c>
      <c r="E9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91" t="s">
        <v>1944</v>
      </c>
      <c r="G91">
        <v>500</v>
      </c>
      <c r="I91">
        <v>2019</v>
      </c>
      <c r="J91" t="s">
        <v>1440</v>
      </c>
      <c r="K91" t="s">
        <v>1452</v>
      </c>
      <c r="L91" s="11"/>
      <c r="M91">
        <v>500</v>
      </c>
      <c r="N91" s="2">
        <v>43647</v>
      </c>
      <c r="O91" t="s">
        <v>1405</v>
      </c>
      <c r="Q91" t="s">
        <v>1945</v>
      </c>
      <c r="R91" t="s">
        <v>272</v>
      </c>
    </row>
    <row r="92" spans="1:18" hidden="1" x14ac:dyDescent="0.25">
      <c r="A92" s="11"/>
      <c r="B92" t="s">
        <v>274</v>
      </c>
      <c r="C92" t="s">
        <v>3924</v>
      </c>
      <c r="D92">
        <v>2018</v>
      </c>
      <c r="E92">
        <v>2028</v>
      </c>
      <c r="F92" t="s">
        <v>1957</v>
      </c>
      <c r="G92">
        <v>4000</v>
      </c>
      <c r="I92">
        <v>2019</v>
      </c>
      <c r="J92" t="s">
        <v>1440</v>
      </c>
      <c r="K92" t="s">
        <v>1449</v>
      </c>
      <c r="L92" s="11"/>
      <c r="M92">
        <v>4000</v>
      </c>
      <c r="N92" s="2">
        <v>43647</v>
      </c>
      <c r="O92" t="s">
        <v>1405</v>
      </c>
      <c r="Q92" t="s">
        <v>1958</v>
      </c>
      <c r="R92" t="s">
        <v>275</v>
      </c>
    </row>
    <row r="93" spans="1:18" hidden="1" x14ac:dyDescent="0.25">
      <c r="A93" s="11"/>
      <c r="B93" t="s">
        <v>278</v>
      </c>
      <c r="C93" t="s">
        <v>3924</v>
      </c>
      <c r="D93">
        <v>2018</v>
      </c>
      <c r="E93">
        <v>2028</v>
      </c>
      <c r="F93" t="s">
        <v>1946</v>
      </c>
      <c r="G93">
        <v>1000</v>
      </c>
      <c r="I93">
        <v>2019</v>
      </c>
      <c r="J93" t="s">
        <v>1440</v>
      </c>
      <c r="K93" t="s">
        <v>1471</v>
      </c>
      <c r="L93" s="11"/>
      <c r="M93">
        <v>1000</v>
      </c>
      <c r="N93" s="2">
        <v>43647</v>
      </c>
      <c r="O93" t="s">
        <v>1394</v>
      </c>
      <c r="Q93" t="s">
        <v>1947</v>
      </c>
      <c r="R93" t="s">
        <v>279</v>
      </c>
    </row>
    <row r="94" spans="1:18" hidden="1" x14ac:dyDescent="0.25">
      <c r="A94" s="11"/>
      <c r="B94" t="s">
        <v>282</v>
      </c>
      <c r="C94" t="s">
        <v>3924</v>
      </c>
      <c r="D94">
        <v>2018</v>
      </c>
      <c r="E94">
        <v>2028</v>
      </c>
      <c r="F94" t="s">
        <v>1754</v>
      </c>
      <c r="G94">
        <v>4000</v>
      </c>
      <c r="I94">
        <v>2019</v>
      </c>
      <c r="J94" t="s">
        <v>1440</v>
      </c>
      <c r="K94" t="s">
        <v>1452</v>
      </c>
      <c r="L94" s="11"/>
      <c r="M94">
        <v>4000</v>
      </c>
      <c r="N94" s="2">
        <v>43647</v>
      </c>
      <c r="O94" t="s">
        <v>1405</v>
      </c>
      <c r="Q94" t="s">
        <v>1755</v>
      </c>
      <c r="R94" t="s">
        <v>96</v>
      </c>
    </row>
    <row r="95" spans="1:18" hidden="1" x14ac:dyDescent="0.25">
      <c r="A95" s="11"/>
      <c r="B95" t="s">
        <v>283</v>
      </c>
      <c r="C95" t="s">
        <v>3924</v>
      </c>
      <c r="D95">
        <v>2018</v>
      </c>
      <c r="E95">
        <v>2028</v>
      </c>
      <c r="F95" t="s">
        <v>1948</v>
      </c>
      <c r="G95">
        <v>1000</v>
      </c>
      <c r="I95">
        <v>2019</v>
      </c>
      <c r="J95" t="s">
        <v>1440</v>
      </c>
      <c r="K95" t="s">
        <v>1452</v>
      </c>
      <c r="L95" s="11"/>
      <c r="M95">
        <v>1000</v>
      </c>
      <c r="N95" s="2">
        <v>43647</v>
      </c>
      <c r="O95" t="s">
        <v>1405</v>
      </c>
      <c r="Q95" t="s">
        <v>1949</v>
      </c>
      <c r="R95" t="s">
        <v>284</v>
      </c>
    </row>
    <row r="96" spans="1:18" hidden="1" x14ac:dyDescent="0.25">
      <c r="A96" s="11"/>
      <c r="B96" t="s">
        <v>286</v>
      </c>
      <c r="C96" t="s">
        <v>3924</v>
      </c>
      <c r="D96">
        <v>2018</v>
      </c>
      <c r="E9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96" t="s">
        <v>1565</v>
      </c>
      <c r="G96">
        <v>285</v>
      </c>
      <c r="I96">
        <v>2019</v>
      </c>
      <c r="J96" t="s">
        <v>1440</v>
      </c>
      <c r="K96" t="s">
        <v>1452</v>
      </c>
      <c r="L96" s="11"/>
      <c r="M96">
        <v>285</v>
      </c>
      <c r="N96" s="2">
        <v>43647</v>
      </c>
      <c r="O96" t="s">
        <v>1405</v>
      </c>
      <c r="Q96" t="s">
        <v>1566</v>
      </c>
      <c r="R96" t="s">
        <v>50</v>
      </c>
    </row>
    <row r="97" spans="1:18" hidden="1" x14ac:dyDescent="0.25">
      <c r="A97" s="11"/>
      <c r="B97" t="s">
        <v>287</v>
      </c>
      <c r="C97" t="s">
        <v>3924</v>
      </c>
      <c r="D97">
        <v>2018</v>
      </c>
      <c r="E97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97" t="s">
        <v>1950</v>
      </c>
      <c r="G97">
        <v>1700</v>
      </c>
      <c r="I97">
        <v>2019</v>
      </c>
      <c r="J97" t="s">
        <v>1440</v>
      </c>
      <c r="K97" t="s">
        <v>1452</v>
      </c>
      <c r="L97" s="11"/>
      <c r="M97">
        <v>1700</v>
      </c>
      <c r="N97" s="2">
        <v>43647</v>
      </c>
      <c r="O97" t="s">
        <v>1405</v>
      </c>
      <c r="Q97" t="s">
        <v>1951</v>
      </c>
      <c r="R97" t="s">
        <v>288</v>
      </c>
    </row>
    <row r="98" spans="1:18" hidden="1" x14ac:dyDescent="0.25">
      <c r="A98" s="11"/>
      <c r="B98" t="s">
        <v>291</v>
      </c>
      <c r="C98" t="s">
        <v>3924</v>
      </c>
      <c r="D98">
        <v>2018</v>
      </c>
      <c r="E98">
        <v>2028</v>
      </c>
      <c r="F98" t="s">
        <v>1808</v>
      </c>
      <c r="G98">
        <v>4500</v>
      </c>
      <c r="I98">
        <v>2019</v>
      </c>
      <c r="J98" t="s">
        <v>1440</v>
      </c>
      <c r="K98" t="s">
        <v>1471</v>
      </c>
      <c r="L98" s="11"/>
      <c r="M98">
        <v>4500</v>
      </c>
      <c r="N98" s="2">
        <v>43647</v>
      </c>
      <c r="O98" t="s">
        <v>1405</v>
      </c>
      <c r="Q98" t="s">
        <v>1809</v>
      </c>
      <c r="R98" t="s">
        <v>292</v>
      </c>
    </row>
    <row r="99" spans="1:18" hidden="1" x14ac:dyDescent="0.25">
      <c r="A99" s="11"/>
      <c r="B99" t="s">
        <v>295</v>
      </c>
      <c r="C99" t="s">
        <v>3924</v>
      </c>
      <c r="D99">
        <v>2018</v>
      </c>
      <c r="E99">
        <v>2028</v>
      </c>
      <c r="F99" t="s">
        <v>1812</v>
      </c>
      <c r="G99">
        <v>1000</v>
      </c>
      <c r="I99">
        <v>2019</v>
      </c>
      <c r="J99" t="s">
        <v>1440</v>
      </c>
      <c r="K99" t="s">
        <v>1452</v>
      </c>
      <c r="L99" s="11"/>
      <c r="M99">
        <v>1000</v>
      </c>
      <c r="N99" s="2">
        <v>43647</v>
      </c>
      <c r="O99" t="s">
        <v>1405</v>
      </c>
      <c r="Q99" t="s">
        <v>1813</v>
      </c>
      <c r="R99" t="s">
        <v>296</v>
      </c>
    </row>
    <row r="100" spans="1:18" hidden="1" x14ac:dyDescent="0.25">
      <c r="A100" s="11"/>
      <c r="B100" t="s">
        <v>299</v>
      </c>
      <c r="C100" t="s">
        <v>3924</v>
      </c>
      <c r="D100">
        <v>2018</v>
      </c>
      <c r="E100">
        <v>2028</v>
      </c>
      <c r="F100" t="s">
        <v>1978</v>
      </c>
      <c r="G100">
        <v>2000</v>
      </c>
      <c r="I100">
        <v>2019</v>
      </c>
      <c r="J100" t="s">
        <v>1440</v>
      </c>
      <c r="K100" t="s">
        <v>1471</v>
      </c>
      <c r="L100" s="11"/>
      <c r="M100">
        <v>2000</v>
      </c>
      <c r="N100" s="2">
        <v>43647</v>
      </c>
      <c r="O100" t="s">
        <v>1354</v>
      </c>
      <c r="Q100" t="s">
        <v>1979</v>
      </c>
      <c r="R100" t="s">
        <v>300</v>
      </c>
    </row>
    <row r="101" spans="1:18" hidden="1" x14ac:dyDescent="0.25">
      <c r="A101" s="11"/>
      <c r="B101" t="s">
        <v>302</v>
      </c>
      <c r="C101" t="s">
        <v>3924</v>
      </c>
      <c r="D101">
        <v>2018</v>
      </c>
      <c r="E10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101" t="s">
        <v>2086</v>
      </c>
      <c r="G101">
        <v>1800</v>
      </c>
      <c r="I101">
        <v>2019</v>
      </c>
      <c r="J101" t="s">
        <v>1440</v>
      </c>
      <c r="K101" t="s">
        <v>1452</v>
      </c>
      <c r="L101" s="11"/>
      <c r="M101">
        <v>1800</v>
      </c>
      <c r="N101" s="2">
        <v>43647</v>
      </c>
      <c r="O101" t="s">
        <v>1405</v>
      </c>
      <c r="Q101" t="s">
        <v>2087</v>
      </c>
      <c r="R101" t="s">
        <v>303</v>
      </c>
    </row>
    <row r="102" spans="1:18" hidden="1" x14ac:dyDescent="0.25">
      <c r="A102" s="11"/>
      <c r="B102" t="s">
        <v>305</v>
      </c>
      <c r="C102" t="s">
        <v>3924</v>
      </c>
      <c r="D102">
        <v>2018</v>
      </c>
      <c r="E10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102" t="s">
        <v>2088</v>
      </c>
      <c r="G102">
        <v>1000</v>
      </c>
      <c r="I102">
        <v>2019</v>
      </c>
      <c r="J102" t="s">
        <v>1440</v>
      </c>
      <c r="K102" t="s">
        <v>1452</v>
      </c>
      <c r="L102" s="11"/>
      <c r="M102">
        <v>1000</v>
      </c>
      <c r="N102" s="2">
        <v>43647</v>
      </c>
      <c r="O102" t="s">
        <v>1405</v>
      </c>
      <c r="Q102" t="s">
        <v>2089</v>
      </c>
      <c r="R102" t="s">
        <v>306</v>
      </c>
    </row>
    <row r="103" spans="1:18" hidden="1" x14ac:dyDescent="0.25">
      <c r="A103" s="11"/>
      <c r="B103" t="s">
        <v>308</v>
      </c>
      <c r="C103" t="s">
        <v>3924</v>
      </c>
      <c r="D103">
        <v>2021</v>
      </c>
      <c r="E103">
        <v>2030</v>
      </c>
      <c r="F103" t="s">
        <v>2090</v>
      </c>
      <c r="G103">
        <v>1000</v>
      </c>
      <c r="I103">
        <v>2021</v>
      </c>
      <c r="J103" t="s">
        <v>1440</v>
      </c>
      <c r="K103" t="s">
        <v>1471</v>
      </c>
      <c r="L103" s="11"/>
      <c r="M103">
        <v>1000</v>
      </c>
      <c r="N103" s="2">
        <v>44378</v>
      </c>
      <c r="O103" t="s">
        <v>1354</v>
      </c>
      <c r="Q103" t="s">
        <v>2091</v>
      </c>
      <c r="R103" t="s">
        <v>309</v>
      </c>
    </row>
    <row r="104" spans="1:18" x14ac:dyDescent="0.25">
      <c r="A104" s="11"/>
      <c r="B104" t="s">
        <v>311</v>
      </c>
      <c r="C104" t="s">
        <v>3924</v>
      </c>
      <c r="D104">
        <v>2015</v>
      </c>
      <c r="E104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04" t="s">
        <v>1980</v>
      </c>
      <c r="G104">
        <v>250</v>
      </c>
      <c r="I104">
        <v>2016</v>
      </c>
      <c r="J104" t="s">
        <v>1440</v>
      </c>
      <c r="L104" s="11"/>
      <c r="M104">
        <v>250</v>
      </c>
      <c r="N104" s="2">
        <v>42552</v>
      </c>
      <c r="O104" t="s">
        <v>1405</v>
      </c>
      <c r="Q104" t="s">
        <v>1981</v>
      </c>
      <c r="R104" t="s">
        <v>312</v>
      </c>
    </row>
    <row r="105" spans="1:18" x14ac:dyDescent="0.25">
      <c r="A105" s="11"/>
      <c r="B105" t="s">
        <v>315</v>
      </c>
      <c r="C105" t="s">
        <v>3924</v>
      </c>
      <c r="D105">
        <v>2015</v>
      </c>
      <c r="E10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05" t="s">
        <v>2092</v>
      </c>
      <c r="G105">
        <v>900</v>
      </c>
      <c r="I105">
        <v>2016</v>
      </c>
      <c r="J105" t="s">
        <v>1440</v>
      </c>
      <c r="L105" s="11"/>
      <c r="M105">
        <v>900</v>
      </c>
      <c r="N105" s="2">
        <v>42552</v>
      </c>
      <c r="O105" t="s">
        <v>1405</v>
      </c>
      <c r="Q105" t="s">
        <v>2093</v>
      </c>
      <c r="R105" t="s">
        <v>316</v>
      </c>
    </row>
    <row r="106" spans="1:18" x14ac:dyDescent="0.25">
      <c r="A106" s="11"/>
      <c r="B106" t="s">
        <v>319</v>
      </c>
      <c r="C106" t="s">
        <v>3924</v>
      </c>
      <c r="D106">
        <v>2015</v>
      </c>
      <c r="E10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06" t="s">
        <v>2094</v>
      </c>
      <c r="G106">
        <v>1000</v>
      </c>
      <c r="I106">
        <v>2016</v>
      </c>
      <c r="J106" t="s">
        <v>1440</v>
      </c>
      <c r="L106" s="11"/>
      <c r="M106">
        <v>1000</v>
      </c>
      <c r="N106" s="2">
        <v>42552</v>
      </c>
      <c r="O106" t="s">
        <v>1405</v>
      </c>
      <c r="Q106" t="s">
        <v>2095</v>
      </c>
      <c r="R106" t="s">
        <v>320</v>
      </c>
    </row>
    <row r="107" spans="1:18" x14ac:dyDescent="0.25">
      <c r="A107" s="11"/>
      <c r="B107" t="s">
        <v>323</v>
      </c>
      <c r="C107" t="s">
        <v>3924</v>
      </c>
      <c r="D107">
        <v>2015</v>
      </c>
      <c r="E107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107" t="s">
        <v>1565</v>
      </c>
      <c r="G107">
        <v>250</v>
      </c>
      <c r="I107">
        <v>2016</v>
      </c>
      <c r="J107" t="s">
        <v>1440</v>
      </c>
      <c r="L107" s="11"/>
      <c r="M107">
        <v>250</v>
      </c>
      <c r="N107" s="2">
        <v>42552</v>
      </c>
      <c r="O107" t="s">
        <v>1405</v>
      </c>
      <c r="Q107" t="s">
        <v>1566</v>
      </c>
      <c r="R107" t="s">
        <v>324</v>
      </c>
    </row>
    <row r="108" spans="1:18" hidden="1" x14ac:dyDescent="0.25">
      <c r="A108" s="11"/>
      <c r="B108" t="s">
        <v>326</v>
      </c>
      <c r="C108" t="s">
        <v>3924</v>
      </c>
      <c r="D108">
        <v>2021</v>
      </c>
      <c r="E108">
        <v>2031</v>
      </c>
      <c r="F108" t="s">
        <v>2173</v>
      </c>
      <c r="G108">
        <v>1200</v>
      </c>
      <c r="I108">
        <v>2022</v>
      </c>
      <c r="J108" t="s">
        <v>1440</v>
      </c>
      <c r="L108" s="11"/>
      <c r="M108">
        <v>1200</v>
      </c>
      <c r="N108" s="2">
        <v>44743</v>
      </c>
      <c r="O108" t="s">
        <v>1405</v>
      </c>
      <c r="Q108" t="s">
        <v>2174</v>
      </c>
      <c r="R108" t="s">
        <v>327</v>
      </c>
    </row>
    <row r="109" spans="1:18" hidden="1" x14ac:dyDescent="0.25">
      <c r="A109" s="11"/>
      <c r="B109" t="s">
        <v>329</v>
      </c>
      <c r="C109" t="s">
        <v>3924</v>
      </c>
      <c r="D109">
        <v>2021</v>
      </c>
      <c r="E109">
        <v>2031</v>
      </c>
      <c r="F109" t="s">
        <v>1499</v>
      </c>
      <c r="G109">
        <v>1000</v>
      </c>
      <c r="I109">
        <v>2022</v>
      </c>
      <c r="J109" t="s">
        <v>1440</v>
      </c>
      <c r="L109" s="11"/>
      <c r="M109">
        <v>1000</v>
      </c>
      <c r="N109" s="2">
        <v>44743</v>
      </c>
      <c r="O109" t="s">
        <v>1354</v>
      </c>
      <c r="Q109" t="s">
        <v>1500</v>
      </c>
      <c r="R109" t="s">
        <v>330</v>
      </c>
    </row>
    <row r="110" spans="1:18" hidden="1" x14ac:dyDescent="0.25">
      <c r="A110" s="11"/>
      <c r="B110" t="s">
        <v>333</v>
      </c>
      <c r="C110" t="s">
        <v>3924</v>
      </c>
      <c r="D110">
        <v>2021</v>
      </c>
      <c r="E110">
        <v>2031</v>
      </c>
      <c r="F110" t="s">
        <v>1501</v>
      </c>
      <c r="G110">
        <v>2000</v>
      </c>
      <c r="I110">
        <v>2022</v>
      </c>
      <c r="J110" t="s">
        <v>1440</v>
      </c>
      <c r="L110" s="11"/>
      <c r="M110">
        <v>2000</v>
      </c>
      <c r="N110" s="2">
        <v>44743</v>
      </c>
      <c r="O110" t="s">
        <v>1354</v>
      </c>
      <c r="Q110" t="s">
        <v>1502</v>
      </c>
      <c r="R110" t="s">
        <v>334</v>
      </c>
    </row>
    <row r="111" spans="1:18" hidden="1" x14ac:dyDescent="0.25">
      <c r="A111" s="11"/>
      <c r="B111" t="s">
        <v>336</v>
      </c>
      <c r="C111" t="s">
        <v>3924</v>
      </c>
      <c r="D111">
        <v>2021</v>
      </c>
      <c r="E111">
        <v>2032</v>
      </c>
      <c r="F111" t="s">
        <v>1660</v>
      </c>
      <c r="G111">
        <v>1000</v>
      </c>
      <c r="I111">
        <v>2023</v>
      </c>
      <c r="J111" t="s">
        <v>1440</v>
      </c>
      <c r="L111" s="11"/>
      <c r="M111">
        <v>1000</v>
      </c>
      <c r="N111" s="2">
        <v>45108</v>
      </c>
      <c r="O111" t="s">
        <v>1354</v>
      </c>
      <c r="Q111" t="s">
        <v>1661</v>
      </c>
      <c r="R111" t="s">
        <v>337</v>
      </c>
    </row>
    <row r="112" spans="1:18" hidden="1" x14ac:dyDescent="0.25">
      <c r="A112" s="11"/>
      <c r="B112" t="s">
        <v>340</v>
      </c>
      <c r="C112" t="s">
        <v>3924</v>
      </c>
      <c r="D112">
        <v>2021</v>
      </c>
      <c r="E112">
        <v>2032</v>
      </c>
      <c r="F112" t="s">
        <v>1662</v>
      </c>
      <c r="G112">
        <v>1700</v>
      </c>
      <c r="I112">
        <v>2023</v>
      </c>
      <c r="J112" t="s">
        <v>1440</v>
      </c>
      <c r="L112" s="11"/>
      <c r="M112">
        <v>1700</v>
      </c>
      <c r="N112" s="2">
        <v>45108</v>
      </c>
      <c r="O112" t="s">
        <v>1354</v>
      </c>
      <c r="Q112" t="s">
        <v>1663</v>
      </c>
      <c r="R112" t="s">
        <v>341</v>
      </c>
    </row>
    <row r="113" spans="1:18" hidden="1" x14ac:dyDescent="0.25">
      <c r="A113" s="11"/>
      <c r="B113" t="s">
        <v>344</v>
      </c>
      <c r="C113" t="s">
        <v>3924</v>
      </c>
      <c r="D113">
        <v>2022</v>
      </c>
      <c r="E113">
        <v>2032</v>
      </c>
      <c r="F113" t="s">
        <v>1664</v>
      </c>
      <c r="G113">
        <v>1200</v>
      </c>
      <c r="I113">
        <v>2023</v>
      </c>
      <c r="J113" t="s">
        <v>1440</v>
      </c>
      <c r="L113" s="11"/>
      <c r="M113">
        <v>1200</v>
      </c>
      <c r="N113" s="2">
        <v>45108</v>
      </c>
      <c r="O113" t="s">
        <v>1354</v>
      </c>
      <c r="Q113" t="s">
        <v>1665</v>
      </c>
      <c r="R113" t="s">
        <v>345</v>
      </c>
    </row>
    <row r="114" spans="1:18" hidden="1" x14ac:dyDescent="0.25">
      <c r="A114" s="11"/>
      <c r="B114" t="s">
        <v>348</v>
      </c>
      <c r="C114" t="s">
        <v>3924</v>
      </c>
      <c r="D114">
        <v>2022</v>
      </c>
      <c r="E114">
        <v>2032</v>
      </c>
      <c r="F114" t="s">
        <v>1666</v>
      </c>
      <c r="G114">
        <v>2000</v>
      </c>
      <c r="I114">
        <v>2023</v>
      </c>
      <c r="J114" t="s">
        <v>1440</v>
      </c>
      <c r="L114" s="11"/>
      <c r="M114">
        <v>2000</v>
      </c>
      <c r="N114" s="2">
        <v>45108</v>
      </c>
      <c r="O114" t="s">
        <v>1354</v>
      </c>
      <c r="Q114" t="s">
        <v>1667</v>
      </c>
      <c r="R114" t="s">
        <v>349</v>
      </c>
    </row>
    <row r="115" spans="1:18" hidden="1" x14ac:dyDescent="0.25">
      <c r="A115" s="11"/>
      <c r="B115" t="s">
        <v>352</v>
      </c>
      <c r="C115" t="s">
        <v>3924</v>
      </c>
      <c r="D115">
        <v>2022</v>
      </c>
      <c r="E115">
        <v>2032</v>
      </c>
      <c r="F115" t="s">
        <v>1668</v>
      </c>
      <c r="G115">
        <v>2000</v>
      </c>
      <c r="I115">
        <v>2023</v>
      </c>
      <c r="J115" t="s">
        <v>1440</v>
      </c>
      <c r="L115" s="11"/>
      <c r="M115">
        <v>2000</v>
      </c>
      <c r="N115" s="2">
        <v>45108</v>
      </c>
      <c r="O115" t="s">
        <v>1354</v>
      </c>
      <c r="Q115" t="s">
        <v>1669</v>
      </c>
      <c r="R115" t="s">
        <v>353</v>
      </c>
    </row>
    <row r="116" spans="1:18" hidden="1" x14ac:dyDescent="0.25">
      <c r="A116" s="11"/>
      <c r="B116" t="s">
        <v>356</v>
      </c>
      <c r="C116" t="s">
        <v>3924</v>
      </c>
      <c r="D116">
        <v>2021</v>
      </c>
      <c r="E116">
        <v>2032</v>
      </c>
      <c r="F116" t="s">
        <v>1670</v>
      </c>
      <c r="G116">
        <v>2400</v>
      </c>
      <c r="I116">
        <v>2023</v>
      </c>
      <c r="J116" t="s">
        <v>1440</v>
      </c>
      <c r="L116" s="11"/>
      <c r="M116">
        <v>2400</v>
      </c>
      <c r="N116" s="2">
        <v>45108</v>
      </c>
      <c r="O116" t="s">
        <v>1354</v>
      </c>
      <c r="Q116" t="s">
        <v>1671</v>
      </c>
      <c r="R116" t="s">
        <v>357</v>
      </c>
    </row>
    <row r="117" spans="1:18" hidden="1" x14ac:dyDescent="0.25">
      <c r="A117" s="11"/>
      <c r="B117" t="s">
        <v>359</v>
      </c>
      <c r="C117" t="s">
        <v>3924</v>
      </c>
      <c r="D117">
        <v>2022</v>
      </c>
      <c r="E117">
        <v>2033</v>
      </c>
      <c r="F117" t="s">
        <v>1726</v>
      </c>
      <c r="G117">
        <v>1200</v>
      </c>
      <c r="I117">
        <v>2024</v>
      </c>
      <c r="J117" t="s">
        <v>1440</v>
      </c>
      <c r="K117" t="s">
        <v>1381</v>
      </c>
      <c r="L117" s="11" t="s">
        <v>1381</v>
      </c>
      <c r="M117">
        <v>1200</v>
      </c>
      <c r="N117" s="2">
        <v>45474</v>
      </c>
      <c r="O117" t="s">
        <v>1354</v>
      </c>
      <c r="Q117" t="s">
        <v>1727</v>
      </c>
      <c r="R117" t="s">
        <v>360</v>
      </c>
    </row>
    <row r="118" spans="1:18" hidden="1" x14ac:dyDescent="0.25">
      <c r="A118" s="11"/>
      <c r="B118" t="s">
        <v>362</v>
      </c>
      <c r="C118" t="s">
        <v>3924</v>
      </c>
      <c r="D118">
        <v>2022</v>
      </c>
      <c r="E118">
        <v>2033</v>
      </c>
      <c r="F118" t="s">
        <v>1728</v>
      </c>
      <c r="G118">
        <v>1200</v>
      </c>
      <c r="I118">
        <v>2024</v>
      </c>
      <c r="J118" t="s">
        <v>1440</v>
      </c>
      <c r="L118" s="11" t="s">
        <v>1381</v>
      </c>
      <c r="M118">
        <v>1200</v>
      </c>
      <c r="N118" s="2">
        <v>45474</v>
      </c>
      <c r="O118" t="s">
        <v>1354</v>
      </c>
      <c r="Q118" t="s">
        <v>1729</v>
      </c>
      <c r="R118" t="s">
        <v>363</v>
      </c>
    </row>
    <row r="119" spans="1:18" hidden="1" x14ac:dyDescent="0.25">
      <c r="A119" s="11"/>
      <c r="B119" t="s">
        <v>365</v>
      </c>
      <c r="C119" t="s">
        <v>3924</v>
      </c>
      <c r="D119">
        <v>2023</v>
      </c>
      <c r="E119">
        <v>2033</v>
      </c>
      <c r="F119" t="s">
        <v>1730</v>
      </c>
      <c r="G119">
        <v>1200</v>
      </c>
      <c r="I119">
        <v>2024</v>
      </c>
      <c r="J119" t="s">
        <v>1440</v>
      </c>
      <c r="L119" s="11" t="s">
        <v>1381</v>
      </c>
      <c r="M119">
        <v>1200</v>
      </c>
      <c r="N119" s="2">
        <v>45474</v>
      </c>
      <c r="O119" t="s">
        <v>1354</v>
      </c>
      <c r="Q119" t="s">
        <v>1731</v>
      </c>
      <c r="R119" t="s">
        <v>366</v>
      </c>
    </row>
    <row r="120" spans="1:18" hidden="1" x14ac:dyDescent="0.25">
      <c r="A120" s="11"/>
      <c r="B120" t="s">
        <v>369</v>
      </c>
      <c r="C120" t="s">
        <v>3924</v>
      </c>
      <c r="D120">
        <v>2023</v>
      </c>
      <c r="E120">
        <v>2033</v>
      </c>
      <c r="F120" t="s">
        <v>1732</v>
      </c>
      <c r="G120">
        <v>1800</v>
      </c>
      <c r="I120">
        <v>2024</v>
      </c>
      <c r="J120" t="s">
        <v>1440</v>
      </c>
      <c r="L120" s="11"/>
      <c r="M120">
        <v>1800</v>
      </c>
      <c r="N120" s="2">
        <v>45474</v>
      </c>
      <c r="O120" t="s">
        <v>1354</v>
      </c>
      <c r="Q120" t="s">
        <v>1733</v>
      </c>
      <c r="R120" t="s">
        <v>370</v>
      </c>
    </row>
    <row r="121" spans="1:18" hidden="1" x14ac:dyDescent="0.25">
      <c r="A121" s="11"/>
      <c r="B121" t="s">
        <v>372</v>
      </c>
      <c r="C121" t="s">
        <v>3924</v>
      </c>
      <c r="D121">
        <v>2023</v>
      </c>
      <c r="E121">
        <v>2033</v>
      </c>
      <c r="F121" t="s">
        <v>1734</v>
      </c>
      <c r="G121">
        <v>800</v>
      </c>
      <c r="I121">
        <v>2024</v>
      </c>
      <c r="J121" t="s">
        <v>1440</v>
      </c>
      <c r="L121" s="11"/>
      <c r="M121">
        <v>800</v>
      </c>
      <c r="N121" s="2">
        <v>45474</v>
      </c>
      <c r="O121" t="s">
        <v>1354</v>
      </c>
      <c r="Q121" t="s">
        <v>1735</v>
      </c>
      <c r="R121" t="s">
        <v>334</v>
      </c>
    </row>
    <row r="122" spans="1:18" hidden="1" x14ac:dyDescent="0.25">
      <c r="A122" s="11"/>
      <c r="B122" t="s">
        <v>373</v>
      </c>
      <c r="C122" t="s">
        <v>3924</v>
      </c>
      <c r="D122">
        <v>2022</v>
      </c>
      <c r="E122">
        <v>2033</v>
      </c>
      <c r="F122" t="s">
        <v>1736</v>
      </c>
      <c r="G122">
        <v>2400</v>
      </c>
      <c r="I122">
        <v>2024</v>
      </c>
      <c r="J122" t="s">
        <v>1440</v>
      </c>
      <c r="L122" s="11"/>
      <c r="M122">
        <v>2400</v>
      </c>
      <c r="N122" s="2">
        <v>45474</v>
      </c>
      <c r="O122" t="s">
        <v>1354</v>
      </c>
      <c r="Q122" t="s">
        <v>1737</v>
      </c>
      <c r="R122" t="s">
        <v>374</v>
      </c>
    </row>
    <row r="123" spans="1:18" hidden="1" x14ac:dyDescent="0.25">
      <c r="A123" s="11"/>
      <c r="B123" t="s">
        <v>376</v>
      </c>
      <c r="C123" t="s">
        <v>3925</v>
      </c>
      <c r="D123">
        <v>2024</v>
      </c>
      <c r="E123">
        <v>2035</v>
      </c>
      <c r="F123" t="s">
        <v>1380</v>
      </c>
      <c r="G123">
        <v>4000</v>
      </c>
      <c r="I123">
        <v>2025</v>
      </c>
      <c r="K123" t="s">
        <v>1381</v>
      </c>
      <c r="L123" s="11"/>
      <c r="M123">
        <v>4000</v>
      </c>
      <c r="N123" s="2">
        <v>45842</v>
      </c>
      <c r="O123" t="s">
        <v>1354</v>
      </c>
      <c r="Q123" t="s">
        <v>1382</v>
      </c>
      <c r="R123" t="s">
        <v>377</v>
      </c>
    </row>
    <row r="124" spans="1:18" hidden="1" x14ac:dyDescent="0.25">
      <c r="A124" s="11"/>
      <c r="B124" t="s">
        <v>380</v>
      </c>
      <c r="C124" t="s">
        <v>3924</v>
      </c>
      <c r="D124">
        <v>2018</v>
      </c>
      <c r="E124">
        <v>2028</v>
      </c>
      <c r="F124" t="s">
        <v>1595</v>
      </c>
      <c r="G124">
        <v>1000</v>
      </c>
      <c r="I124">
        <v>2019</v>
      </c>
      <c r="J124" t="s">
        <v>1403</v>
      </c>
      <c r="K124" t="s">
        <v>1404</v>
      </c>
      <c r="L124" s="11"/>
      <c r="M124">
        <v>1000</v>
      </c>
      <c r="N124" s="2">
        <v>43647</v>
      </c>
      <c r="O124" t="s">
        <v>1354</v>
      </c>
      <c r="Q124" t="s">
        <v>1596</v>
      </c>
      <c r="R124" t="s">
        <v>381</v>
      </c>
    </row>
    <row r="125" spans="1:18" hidden="1" x14ac:dyDescent="0.25">
      <c r="A125" s="11"/>
      <c r="B125" t="s">
        <v>383</v>
      </c>
      <c r="C125" t="s">
        <v>3924</v>
      </c>
      <c r="D125">
        <v>2018</v>
      </c>
      <c r="E12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125" t="s">
        <v>1597</v>
      </c>
      <c r="G125">
        <v>1000</v>
      </c>
      <c r="I125">
        <v>2019</v>
      </c>
      <c r="J125" t="s">
        <v>1403</v>
      </c>
      <c r="K125" t="s">
        <v>1404</v>
      </c>
      <c r="L125" s="11"/>
      <c r="M125">
        <v>1000</v>
      </c>
      <c r="N125" s="2">
        <v>43647</v>
      </c>
      <c r="O125" t="s">
        <v>1405</v>
      </c>
      <c r="Q125" t="s">
        <v>1598</v>
      </c>
      <c r="R125" t="s">
        <v>384</v>
      </c>
    </row>
    <row r="126" spans="1:18" hidden="1" x14ac:dyDescent="0.25">
      <c r="A126" s="11"/>
      <c r="B126" t="s">
        <v>386</v>
      </c>
      <c r="C126" t="s">
        <v>3924</v>
      </c>
      <c r="D126">
        <v>2018</v>
      </c>
      <c r="E12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126" t="s">
        <v>1603</v>
      </c>
      <c r="G126">
        <v>1000</v>
      </c>
      <c r="I126">
        <v>2019</v>
      </c>
      <c r="J126" t="s">
        <v>1403</v>
      </c>
      <c r="K126" t="s">
        <v>1404</v>
      </c>
      <c r="L126" s="11"/>
      <c r="M126">
        <v>1000</v>
      </c>
      <c r="N126" s="2">
        <v>43647</v>
      </c>
      <c r="O126" t="s">
        <v>1405</v>
      </c>
      <c r="Q126" t="s">
        <v>1604</v>
      </c>
      <c r="R126" t="s">
        <v>387</v>
      </c>
    </row>
    <row r="127" spans="1:18" hidden="1" x14ac:dyDescent="0.25">
      <c r="A127" s="11"/>
      <c r="B127" t="s">
        <v>389</v>
      </c>
      <c r="C127" t="s">
        <v>3924</v>
      </c>
      <c r="D127">
        <v>2018</v>
      </c>
      <c r="E127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127" t="s">
        <v>1605</v>
      </c>
      <c r="G127">
        <v>1000</v>
      </c>
      <c r="I127">
        <v>2019</v>
      </c>
      <c r="J127" t="s">
        <v>1403</v>
      </c>
      <c r="K127" t="s">
        <v>1404</v>
      </c>
      <c r="L127" s="11"/>
      <c r="M127">
        <v>1000</v>
      </c>
      <c r="N127" s="2">
        <v>43647</v>
      </c>
      <c r="O127" t="s">
        <v>1405</v>
      </c>
      <c r="Q127" t="s">
        <v>1606</v>
      </c>
      <c r="R127" t="s">
        <v>390</v>
      </c>
    </row>
    <row r="128" spans="1:18" hidden="1" x14ac:dyDescent="0.25">
      <c r="A128" s="11"/>
      <c r="B128" t="s">
        <v>392</v>
      </c>
      <c r="C128" t="s">
        <v>3924</v>
      </c>
      <c r="D128">
        <v>2018</v>
      </c>
      <c r="E128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128" t="s">
        <v>1607</v>
      </c>
      <c r="G128">
        <v>1056</v>
      </c>
      <c r="I128">
        <v>2019</v>
      </c>
      <c r="J128" t="s">
        <v>1403</v>
      </c>
      <c r="K128" t="s">
        <v>1404</v>
      </c>
      <c r="L128" s="11"/>
      <c r="M128">
        <v>1056</v>
      </c>
      <c r="N128" s="2">
        <v>43647</v>
      </c>
      <c r="O128" t="s">
        <v>1405</v>
      </c>
      <c r="Q128" t="s">
        <v>1608</v>
      </c>
      <c r="R128" t="s">
        <v>393</v>
      </c>
    </row>
    <row r="129" spans="1:18" hidden="1" x14ac:dyDescent="0.25">
      <c r="A129" s="11"/>
      <c r="B129" t="s">
        <v>395</v>
      </c>
      <c r="C129" t="s">
        <v>3924</v>
      </c>
      <c r="D129">
        <v>2018</v>
      </c>
      <c r="E129">
        <v>2028</v>
      </c>
      <c r="F129" t="s">
        <v>1609</v>
      </c>
      <c r="G129">
        <v>15000</v>
      </c>
      <c r="I129">
        <v>2019</v>
      </c>
      <c r="J129" t="s">
        <v>1403</v>
      </c>
      <c r="K129" t="s">
        <v>1610</v>
      </c>
      <c r="L129" s="11"/>
      <c r="M129">
        <v>15000</v>
      </c>
      <c r="N129" s="2">
        <v>43647</v>
      </c>
      <c r="O129" t="s">
        <v>1354</v>
      </c>
      <c r="Q129" t="s">
        <v>1611</v>
      </c>
      <c r="R129" t="s">
        <v>396</v>
      </c>
    </row>
    <row r="130" spans="1:18" hidden="1" x14ac:dyDescent="0.25">
      <c r="A130" s="11"/>
      <c r="B130" t="s">
        <v>398</v>
      </c>
      <c r="C130" t="s">
        <v>3924</v>
      </c>
      <c r="D130">
        <v>2018</v>
      </c>
      <c r="E130">
        <v>2028</v>
      </c>
      <c r="F130" t="s">
        <v>1612</v>
      </c>
      <c r="G130">
        <v>300</v>
      </c>
      <c r="I130">
        <v>2019</v>
      </c>
      <c r="J130" t="s">
        <v>1403</v>
      </c>
      <c r="K130" t="s">
        <v>1404</v>
      </c>
      <c r="L130" s="11"/>
      <c r="M130">
        <v>300</v>
      </c>
      <c r="N130" s="2">
        <v>43647</v>
      </c>
      <c r="O130" t="s">
        <v>1354</v>
      </c>
      <c r="Q130" s="8" t="str">
        <f>IF(Tabla1[[#This Row],[land_location]]&lt;&gt;"None",_xlfn.CONCAT("POINT(",Tabla1[[#This Row],[land_location]],")"),"No land location info")</f>
        <v>POINT(14.662500, -91.613889; 14.606417, -91.840889)</v>
      </c>
      <c r="R130" t="s">
        <v>399</v>
      </c>
    </row>
    <row r="131" spans="1:18" hidden="1" x14ac:dyDescent="0.25">
      <c r="A131" s="11"/>
      <c r="B131" t="s">
        <v>401</v>
      </c>
      <c r="C131" t="s">
        <v>3924</v>
      </c>
      <c r="D131">
        <v>2018</v>
      </c>
      <c r="E13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131" t="s">
        <v>1402</v>
      </c>
      <c r="G131">
        <v>1000</v>
      </c>
      <c r="I131">
        <v>2019</v>
      </c>
      <c r="J131" t="s">
        <v>1403</v>
      </c>
      <c r="K131" t="s">
        <v>1404</v>
      </c>
      <c r="L131" s="11"/>
      <c r="M131">
        <v>1000</v>
      </c>
      <c r="N131" s="2">
        <v>43647</v>
      </c>
      <c r="O131" t="s">
        <v>1405</v>
      </c>
      <c r="Q131" t="s">
        <v>1406</v>
      </c>
      <c r="R131" t="s">
        <v>402</v>
      </c>
    </row>
    <row r="132" spans="1:18" hidden="1" x14ac:dyDescent="0.25">
      <c r="A132" s="11"/>
      <c r="B132" t="s">
        <v>404</v>
      </c>
      <c r="C132" t="s">
        <v>3924</v>
      </c>
      <c r="D132">
        <v>2018</v>
      </c>
      <c r="E132">
        <v>2028</v>
      </c>
      <c r="F132" t="s">
        <v>1407</v>
      </c>
      <c r="G132">
        <v>550</v>
      </c>
      <c r="I132">
        <v>2019</v>
      </c>
      <c r="J132" t="s">
        <v>1403</v>
      </c>
      <c r="K132" t="s">
        <v>1408</v>
      </c>
      <c r="L132" s="11"/>
      <c r="M132">
        <v>550</v>
      </c>
      <c r="N132" s="2">
        <v>43647</v>
      </c>
      <c r="O132" t="s">
        <v>1354</v>
      </c>
      <c r="Q132" t="s">
        <v>1409</v>
      </c>
      <c r="R132" t="s">
        <v>405</v>
      </c>
    </row>
    <row r="133" spans="1:18" hidden="1" x14ac:dyDescent="0.25">
      <c r="A133" s="11"/>
      <c r="B133" t="s">
        <v>407</v>
      </c>
      <c r="C133" t="s">
        <v>3924</v>
      </c>
      <c r="D133">
        <v>2018</v>
      </c>
      <c r="E133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133" t="s">
        <v>1410</v>
      </c>
      <c r="G133">
        <v>0</v>
      </c>
      <c r="H133" t="s">
        <v>1411</v>
      </c>
      <c r="I133">
        <v>2019</v>
      </c>
      <c r="J133" t="s">
        <v>1403</v>
      </c>
      <c r="K133" t="s">
        <v>1404</v>
      </c>
      <c r="L133" s="11"/>
      <c r="M133">
        <v>1000</v>
      </c>
      <c r="N133" s="2">
        <v>43647</v>
      </c>
      <c r="O133" t="s">
        <v>1405</v>
      </c>
      <c r="Q133" t="s">
        <v>1412</v>
      </c>
      <c r="R133" t="s">
        <v>408</v>
      </c>
    </row>
    <row r="134" spans="1:18" hidden="1" x14ac:dyDescent="0.25">
      <c r="A134" s="11"/>
      <c r="B134" t="s">
        <v>410</v>
      </c>
      <c r="C134" t="s">
        <v>3924</v>
      </c>
      <c r="D134">
        <v>2018</v>
      </c>
      <c r="E134">
        <v>2028</v>
      </c>
      <c r="F134" t="s">
        <v>2096</v>
      </c>
      <c r="G134">
        <v>1000</v>
      </c>
      <c r="I134">
        <v>2019</v>
      </c>
      <c r="J134" t="s">
        <v>1403</v>
      </c>
      <c r="K134" t="s">
        <v>1404</v>
      </c>
      <c r="L134" s="11"/>
      <c r="M134">
        <v>1000</v>
      </c>
      <c r="N134" s="2">
        <v>43647</v>
      </c>
      <c r="O134" t="s">
        <v>1405</v>
      </c>
      <c r="Q134" t="s">
        <v>2097</v>
      </c>
      <c r="R134" t="s">
        <v>411</v>
      </c>
    </row>
    <row r="135" spans="1:18" hidden="1" x14ac:dyDescent="0.25">
      <c r="A135" s="11"/>
      <c r="B135" t="s">
        <v>414</v>
      </c>
      <c r="C135" t="s">
        <v>3924</v>
      </c>
      <c r="D135">
        <v>2020</v>
      </c>
      <c r="E135">
        <v>2029</v>
      </c>
      <c r="F135" t="s">
        <v>1959</v>
      </c>
      <c r="G135">
        <v>2000</v>
      </c>
      <c r="I135">
        <v>2020</v>
      </c>
      <c r="J135" t="s">
        <v>1403</v>
      </c>
      <c r="K135" t="s">
        <v>1404</v>
      </c>
      <c r="L135" s="11"/>
      <c r="M135">
        <v>2000</v>
      </c>
      <c r="N135" s="2">
        <v>44013</v>
      </c>
      <c r="O135" t="s">
        <v>1405</v>
      </c>
      <c r="Q135" t="s">
        <v>1960</v>
      </c>
      <c r="R135" t="s">
        <v>415</v>
      </c>
    </row>
    <row r="136" spans="1:18" hidden="1" x14ac:dyDescent="0.25">
      <c r="A136" s="11"/>
      <c r="B136" t="s">
        <v>417</v>
      </c>
      <c r="C136" t="s">
        <v>3924</v>
      </c>
      <c r="D136">
        <v>2020</v>
      </c>
      <c r="E13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36" t="s">
        <v>1952</v>
      </c>
      <c r="G136">
        <v>2000</v>
      </c>
      <c r="I136">
        <v>2020</v>
      </c>
      <c r="J136" t="s">
        <v>1403</v>
      </c>
      <c r="K136" t="s">
        <v>1404</v>
      </c>
      <c r="L136" s="11"/>
      <c r="M136">
        <v>2000</v>
      </c>
      <c r="N136" s="2">
        <v>44013</v>
      </c>
      <c r="O136" t="s">
        <v>1405</v>
      </c>
      <c r="Q136" t="s">
        <v>1953</v>
      </c>
      <c r="R136" t="s">
        <v>418</v>
      </c>
    </row>
    <row r="137" spans="1:18" hidden="1" x14ac:dyDescent="0.25">
      <c r="A137" s="11"/>
      <c r="B137" t="s">
        <v>421</v>
      </c>
      <c r="C137" t="s">
        <v>3924</v>
      </c>
      <c r="D137">
        <v>2020</v>
      </c>
      <c r="E137">
        <v>2029</v>
      </c>
      <c r="F137" t="s">
        <v>1954</v>
      </c>
      <c r="G137">
        <v>8000</v>
      </c>
      <c r="I137">
        <v>2020</v>
      </c>
      <c r="J137" t="s">
        <v>1403</v>
      </c>
      <c r="K137" t="s">
        <v>1404</v>
      </c>
      <c r="L137" s="11"/>
      <c r="M137">
        <v>8000</v>
      </c>
      <c r="N137" s="2">
        <v>44013</v>
      </c>
      <c r="O137" t="s">
        <v>1354</v>
      </c>
      <c r="Q137" s="8" t="str">
        <f>IF(Tabla1[[#This Row],[land_location]]&lt;&gt;"None",_xlfn.CONCAT("POINT(",Tabla1[[#This Row],[land_location]],")"),"No land location info")</f>
        <v>POINT(14.5684073, -89.3669417; 17.004972, -89.243806)</v>
      </c>
      <c r="R137" t="s">
        <v>422</v>
      </c>
    </row>
    <row r="138" spans="1:18" hidden="1" x14ac:dyDescent="0.25">
      <c r="A138" s="11"/>
      <c r="B138" t="s">
        <v>425</v>
      </c>
      <c r="C138" t="s">
        <v>3924</v>
      </c>
      <c r="D138">
        <v>2020</v>
      </c>
      <c r="E138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38" t="s">
        <v>1955</v>
      </c>
      <c r="G138">
        <v>0</v>
      </c>
      <c r="I138">
        <v>2020</v>
      </c>
      <c r="J138" t="s">
        <v>1403</v>
      </c>
      <c r="L138" s="11"/>
      <c r="M138">
        <v>0</v>
      </c>
      <c r="N138" s="2">
        <v>44013</v>
      </c>
      <c r="O138" t="s">
        <v>1405</v>
      </c>
      <c r="Q138" t="s">
        <v>1956</v>
      </c>
      <c r="R138" t="s">
        <v>426</v>
      </c>
    </row>
    <row r="139" spans="1:18" hidden="1" x14ac:dyDescent="0.25">
      <c r="A139" s="11"/>
      <c r="B139" t="s">
        <v>428</v>
      </c>
      <c r="C139" t="s">
        <v>3924</v>
      </c>
      <c r="D139">
        <v>2020</v>
      </c>
      <c r="E139">
        <v>2029</v>
      </c>
      <c r="F139" t="s">
        <v>1468</v>
      </c>
      <c r="G139">
        <v>1469</v>
      </c>
      <c r="I139">
        <v>2020</v>
      </c>
      <c r="J139" t="s">
        <v>1403</v>
      </c>
      <c r="K139" t="s">
        <v>1404</v>
      </c>
      <c r="L139" s="11"/>
      <c r="M139">
        <v>1469</v>
      </c>
      <c r="N139" s="2">
        <v>44013</v>
      </c>
      <c r="O139" t="s">
        <v>1405</v>
      </c>
      <c r="Q139" t="s">
        <v>1469</v>
      </c>
      <c r="R139" t="s">
        <v>429</v>
      </c>
    </row>
    <row r="140" spans="1:18" hidden="1" x14ac:dyDescent="0.25">
      <c r="A140" s="11"/>
      <c r="B140" t="s">
        <v>432</v>
      </c>
      <c r="C140" t="s">
        <v>3924</v>
      </c>
      <c r="D140">
        <v>2020</v>
      </c>
      <c r="E140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40" t="s">
        <v>1582</v>
      </c>
      <c r="G140">
        <v>1000</v>
      </c>
      <c r="I140">
        <v>2020</v>
      </c>
      <c r="J140" t="s">
        <v>1403</v>
      </c>
      <c r="K140" t="s">
        <v>1404</v>
      </c>
      <c r="L140" s="11"/>
      <c r="M140">
        <v>1000</v>
      </c>
      <c r="N140" s="2">
        <v>44013</v>
      </c>
      <c r="O140" t="s">
        <v>1405</v>
      </c>
      <c r="Q140" t="s">
        <v>1583</v>
      </c>
      <c r="R140" t="s">
        <v>433</v>
      </c>
    </row>
    <row r="141" spans="1:18" hidden="1" x14ac:dyDescent="0.25">
      <c r="A141" s="11"/>
      <c r="B141" t="s">
        <v>435</v>
      </c>
      <c r="C141" t="s">
        <v>3924</v>
      </c>
      <c r="D141">
        <v>2020</v>
      </c>
      <c r="E141">
        <v>2029</v>
      </c>
      <c r="F141" t="s">
        <v>1590</v>
      </c>
      <c r="G141">
        <v>2650</v>
      </c>
      <c r="I141">
        <v>2020</v>
      </c>
      <c r="J141" t="s">
        <v>1403</v>
      </c>
      <c r="K141" t="s">
        <v>1404</v>
      </c>
      <c r="L141" s="11"/>
      <c r="M141">
        <v>2650</v>
      </c>
      <c r="N141" s="2">
        <v>44013</v>
      </c>
      <c r="O141" t="s">
        <v>1354</v>
      </c>
      <c r="Q141" t="s">
        <v>1591</v>
      </c>
      <c r="R141" t="s">
        <v>436</v>
      </c>
    </row>
    <row r="142" spans="1:18" hidden="1" x14ac:dyDescent="0.25">
      <c r="A142" s="11"/>
      <c r="B142" t="s">
        <v>439</v>
      </c>
      <c r="C142" t="s">
        <v>3924</v>
      </c>
      <c r="D142">
        <v>2020</v>
      </c>
      <c r="E14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42" t="s">
        <v>1592</v>
      </c>
      <c r="G142">
        <v>1000</v>
      </c>
      <c r="I142">
        <v>2020</v>
      </c>
      <c r="J142" t="s">
        <v>1403</v>
      </c>
      <c r="K142" t="s">
        <v>1404</v>
      </c>
      <c r="L142" s="11"/>
      <c r="M142">
        <v>1000</v>
      </c>
      <c r="N142" s="2">
        <v>44013</v>
      </c>
      <c r="O142" t="s">
        <v>1405</v>
      </c>
      <c r="Q142" t="s">
        <v>1593</v>
      </c>
      <c r="R142" t="s">
        <v>440</v>
      </c>
    </row>
    <row r="143" spans="1:18" hidden="1" x14ac:dyDescent="0.25">
      <c r="A143" s="11"/>
      <c r="B143" t="s">
        <v>443</v>
      </c>
      <c r="C143" t="s">
        <v>3924</v>
      </c>
      <c r="D143">
        <v>2020</v>
      </c>
      <c r="E143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43" t="s">
        <v>1967</v>
      </c>
      <c r="G143">
        <v>1200</v>
      </c>
      <c r="I143">
        <v>2020</v>
      </c>
      <c r="J143" t="s">
        <v>1403</v>
      </c>
      <c r="K143" t="s">
        <v>1404</v>
      </c>
      <c r="L143" s="11"/>
      <c r="M143">
        <v>1200</v>
      </c>
      <c r="N143" s="2">
        <v>44013</v>
      </c>
      <c r="O143" t="s">
        <v>1405</v>
      </c>
      <c r="Q143" t="s">
        <v>1968</v>
      </c>
      <c r="R143" t="s">
        <v>444</v>
      </c>
    </row>
    <row r="144" spans="1:18" hidden="1" x14ac:dyDescent="0.25">
      <c r="A144" s="11"/>
      <c r="B144" t="s">
        <v>446</v>
      </c>
      <c r="C144" t="s">
        <v>3924</v>
      </c>
      <c r="D144">
        <v>2020</v>
      </c>
      <c r="E144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44" t="s">
        <v>1974</v>
      </c>
      <c r="G144">
        <v>2000</v>
      </c>
      <c r="I144">
        <v>2020</v>
      </c>
      <c r="J144" t="s">
        <v>1403</v>
      </c>
      <c r="K144" t="s">
        <v>1404</v>
      </c>
      <c r="L144" s="11"/>
      <c r="M144">
        <v>2000</v>
      </c>
      <c r="N144" s="2">
        <v>44013</v>
      </c>
      <c r="O144" t="s">
        <v>1405</v>
      </c>
      <c r="Q144" t="s">
        <v>1975</v>
      </c>
      <c r="R144" t="s">
        <v>447</v>
      </c>
    </row>
    <row r="145" spans="1:18" hidden="1" x14ac:dyDescent="0.25">
      <c r="A145" s="11"/>
      <c r="B145" t="s">
        <v>449</v>
      </c>
      <c r="C145" t="s">
        <v>3924</v>
      </c>
      <c r="D145">
        <v>2020</v>
      </c>
      <c r="E14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45" t="s">
        <v>1607</v>
      </c>
      <c r="G145">
        <v>488</v>
      </c>
      <c r="I145">
        <v>2020</v>
      </c>
      <c r="J145" t="s">
        <v>1403</v>
      </c>
      <c r="K145" t="s">
        <v>1404</v>
      </c>
      <c r="L145" s="11"/>
      <c r="M145">
        <v>488</v>
      </c>
      <c r="N145" s="2">
        <v>44013</v>
      </c>
      <c r="O145" t="s">
        <v>1405</v>
      </c>
      <c r="Q145" t="s">
        <v>1608</v>
      </c>
      <c r="R145" t="s">
        <v>393</v>
      </c>
    </row>
    <row r="146" spans="1:18" hidden="1" x14ac:dyDescent="0.25">
      <c r="A146" s="11"/>
      <c r="B146" t="s">
        <v>450</v>
      </c>
      <c r="C146" t="s">
        <v>3924</v>
      </c>
      <c r="D146">
        <v>2020</v>
      </c>
      <c r="E146">
        <v>2029</v>
      </c>
      <c r="F146" t="s">
        <v>1810</v>
      </c>
      <c r="G146">
        <v>2865</v>
      </c>
      <c r="I146">
        <v>2020</v>
      </c>
      <c r="J146" t="s">
        <v>1403</v>
      </c>
      <c r="K146" t="s">
        <v>1404</v>
      </c>
      <c r="L146" s="11"/>
      <c r="M146">
        <v>2865</v>
      </c>
      <c r="N146" s="2">
        <v>44013</v>
      </c>
      <c r="O146" t="s">
        <v>1354</v>
      </c>
      <c r="Q146" t="s">
        <v>1811</v>
      </c>
      <c r="R146" t="s">
        <v>451</v>
      </c>
    </row>
    <row r="147" spans="1:18" hidden="1" x14ac:dyDescent="0.25">
      <c r="A147" s="11"/>
      <c r="B147" t="s">
        <v>453</v>
      </c>
      <c r="C147" t="s">
        <v>3924</v>
      </c>
      <c r="D147">
        <v>2020</v>
      </c>
      <c r="E147">
        <v>2029</v>
      </c>
      <c r="F147" t="s">
        <v>1503</v>
      </c>
      <c r="G147">
        <v>5220</v>
      </c>
      <c r="I147">
        <v>2020</v>
      </c>
      <c r="J147" t="s">
        <v>1403</v>
      </c>
      <c r="K147" t="s">
        <v>1404</v>
      </c>
      <c r="L147" s="11"/>
      <c r="M147">
        <v>5220</v>
      </c>
      <c r="N147" s="2">
        <v>44013</v>
      </c>
      <c r="O147" t="s">
        <v>1354</v>
      </c>
      <c r="Q147" t="s">
        <v>1505</v>
      </c>
      <c r="R147" t="s">
        <v>454</v>
      </c>
    </row>
    <row r="148" spans="1:18" hidden="1" x14ac:dyDescent="0.25">
      <c r="A148" s="11"/>
      <c r="B148" t="s">
        <v>456</v>
      </c>
      <c r="C148" t="s">
        <v>3924</v>
      </c>
      <c r="D148">
        <v>2020</v>
      </c>
      <c r="E148">
        <v>2030</v>
      </c>
      <c r="F148" t="s">
        <v>1503</v>
      </c>
      <c r="G148">
        <v>1433</v>
      </c>
      <c r="I148">
        <v>2021</v>
      </c>
      <c r="J148" t="s">
        <v>1403</v>
      </c>
      <c r="L148" s="11"/>
      <c r="M148">
        <v>1433</v>
      </c>
      <c r="N148" s="2">
        <v>44378</v>
      </c>
      <c r="O148" t="s">
        <v>1354</v>
      </c>
      <c r="Q148" t="s">
        <v>1505</v>
      </c>
      <c r="R148" t="s">
        <v>454</v>
      </c>
    </row>
    <row r="149" spans="1:18" hidden="1" x14ac:dyDescent="0.25">
      <c r="A149" s="11"/>
      <c r="B149" t="s">
        <v>457</v>
      </c>
      <c r="C149" t="s">
        <v>3924</v>
      </c>
      <c r="D149">
        <v>2020</v>
      </c>
      <c r="E149">
        <v>2029</v>
      </c>
      <c r="F149" t="s">
        <v>1789</v>
      </c>
      <c r="G149">
        <v>6666</v>
      </c>
      <c r="I149">
        <v>2020</v>
      </c>
      <c r="J149" t="s">
        <v>1403</v>
      </c>
      <c r="K149" t="s">
        <v>1404</v>
      </c>
      <c r="L149" s="11"/>
      <c r="M149">
        <v>6666</v>
      </c>
      <c r="N149" s="2">
        <v>44013</v>
      </c>
      <c r="O149" t="s">
        <v>1405</v>
      </c>
      <c r="Q149" t="s">
        <v>1790</v>
      </c>
      <c r="R149" t="s">
        <v>458</v>
      </c>
    </row>
    <row r="150" spans="1:18" hidden="1" x14ac:dyDescent="0.25">
      <c r="A150" s="11"/>
      <c r="B150" t="s">
        <v>460</v>
      </c>
      <c r="C150" t="s">
        <v>3924</v>
      </c>
      <c r="D150">
        <v>2020</v>
      </c>
      <c r="E150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50" t="s">
        <v>1976</v>
      </c>
      <c r="G150">
        <v>990</v>
      </c>
      <c r="I150">
        <v>2020</v>
      </c>
      <c r="J150" t="s">
        <v>1403</v>
      </c>
      <c r="K150" t="s">
        <v>1404</v>
      </c>
      <c r="L150" s="11"/>
      <c r="M150">
        <v>990</v>
      </c>
      <c r="N150" s="2">
        <v>44013</v>
      </c>
      <c r="O150" t="s">
        <v>1405</v>
      </c>
      <c r="Q150" t="s">
        <v>1977</v>
      </c>
      <c r="R150" t="s">
        <v>461</v>
      </c>
    </row>
    <row r="151" spans="1:18" hidden="1" x14ac:dyDescent="0.25">
      <c r="A151" s="11"/>
      <c r="B151" t="s">
        <v>464</v>
      </c>
      <c r="C151" t="s">
        <v>3924</v>
      </c>
      <c r="D151">
        <v>2020</v>
      </c>
      <c r="E151">
        <v>2029</v>
      </c>
      <c r="F151" t="s">
        <v>1506</v>
      </c>
      <c r="G151">
        <v>6788</v>
      </c>
      <c r="I151">
        <v>2020</v>
      </c>
      <c r="J151" t="s">
        <v>1403</v>
      </c>
      <c r="K151" t="s">
        <v>1404</v>
      </c>
      <c r="L151" s="11"/>
      <c r="M151">
        <v>6788</v>
      </c>
      <c r="N151" s="2">
        <v>44013</v>
      </c>
      <c r="O151" t="s">
        <v>1405</v>
      </c>
      <c r="Q151" t="s">
        <v>1507</v>
      </c>
      <c r="R151" t="s">
        <v>465</v>
      </c>
    </row>
    <row r="152" spans="1:18" hidden="1" x14ac:dyDescent="0.25">
      <c r="A152" s="11"/>
      <c r="B152" t="s">
        <v>468</v>
      </c>
      <c r="C152" t="s">
        <v>3924</v>
      </c>
      <c r="D152">
        <v>2020</v>
      </c>
      <c r="E152">
        <v>2029</v>
      </c>
      <c r="F152" t="s">
        <v>1791</v>
      </c>
      <c r="G152">
        <v>1000</v>
      </c>
      <c r="I152">
        <v>2020</v>
      </c>
      <c r="J152" t="s">
        <v>1403</v>
      </c>
      <c r="K152" t="s">
        <v>1404</v>
      </c>
      <c r="L152" s="11"/>
      <c r="M152">
        <v>1000</v>
      </c>
      <c r="N152" s="2">
        <v>44013</v>
      </c>
      <c r="O152" t="s">
        <v>1405</v>
      </c>
      <c r="Q152" t="s">
        <v>1792</v>
      </c>
      <c r="R152" t="s">
        <v>469</v>
      </c>
    </row>
    <row r="153" spans="1:18" hidden="1" x14ac:dyDescent="0.25">
      <c r="A153" s="11"/>
      <c r="B153" t="s">
        <v>471</v>
      </c>
      <c r="C153" t="s">
        <v>3924</v>
      </c>
      <c r="D153">
        <v>2020</v>
      </c>
      <c r="E153">
        <v>2030</v>
      </c>
      <c r="F153" t="s">
        <v>2096</v>
      </c>
      <c r="G153">
        <v>4050</v>
      </c>
      <c r="I153">
        <v>2021</v>
      </c>
      <c r="J153" t="s">
        <v>1403</v>
      </c>
      <c r="K153" t="s">
        <v>1404</v>
      </c>
      <c r="L153" s="11"/>
      <c r="M153">
        <v>4050</v>
      </c>
      <c r="N153" s="2">
        <v>44378</v>
      </c>
      <c r="O153" t="s">
        <v>1354</v>
      </c>
      <c r="Q153" t="s">
        <v>2097</v>
      </c>
      <c r="R153" t="s">
        <v>411</v>
      </c>
    </row>
    <row r="154" spans="1:18" hidden="1" x14ac:dyDescent="0.25">
      <c r="A154" s="11"/>
      <c r="B154" t="s">
        <v>472</v>
      </c>
      <c r="C154" t="s">
        <v>3924</v>
      </c>
      <c r="D154">
        <v>2021</v>
      </c>
      <c r="E154">
        <v>2030</v>
      </c>
      <c r="F154" t="s">
        <v>1595</v>
      </c>
      <c r="G154">
        <v>2000</v>
      </c>
      <c r="I154">
        <v>2021</v>
      </c>
      <c r="J154" t="s">
        <v>1403</v>
      </c>
      <c r="K154" t="s">
        <v>1504</v>
      </c>
      <c r="L154" s="11"/>
      <c r="M154">
        <v>2000</v>
      </c>
      <c r="N154" s="2">
        <v>44378</v>
      </c>
      <c r="O154" t="s">
        <v>1354</v>
      </c>
      <c r="Q154" t="s">
        <v>1596</v>
      </c>
      <c r="R154" t="s">
        <v>381</v>
      </c>
    </row>
    <row r="155" spans="1:18" hidden="1" x14ac:dyDescent="0.25">
      <c r="A155" s="11"/>
      <c r="B155" t="s">
        <v>473</v>
      </c>
      <c r="C155" t="s">
        <v>3924</v>
      </c>
      <c r="D155">
        <v>2021</v>
      </c>
      <c r="E155">
        <v>2030</v>
      </c>
      <c r="F155" t="s">
        <v>1508</v>
      </c>
      <c r="G155">
        <v>18000</v>
      </c>
      <c r="I155">
        <v>2021</v>
      </c>
      <c r="J155" t="s">
        <v>1403</v>
      </c>
      <c r="K155" t="s">
        <v>1610</v>
      </c>
      <c r="L155" s="11"/>
      <c r="M155">
        <v>18000</v>
      </c>
      <c r="N155" s="2">
        <v>44378</v>
      </c>
      <c r="O155" t="s">
        <v>1354</v>
      </c>
      <c r="Q155" t="s">
        <v>1510</v>
      </c>
      <c r="R155" t="s">
        <v>474</v>
      </c>
    </row>
    <row r="156" spans="1:18" hidden="1" x14ac:dyDescent="0.25">
      <c r="A156" s="11"/>
      <c r="B156" t="s">
        <v>477</v>
      </c>
      <c r="C156" t="s">
        <v>3924</v>
      </c>
      <c r="D156">
        <v>2021</v>
      </c>
      <c r="E156">
        <v>2031</v>
      </c>
      <c r="F156" t="s">
        <v>1508</v>
      </c>
      <c r="G156">
        <v>20489</v>
      </c>
      <c r="H156" t="s">
        <v>1509</v>
      </c>
      <c r="I156">
        <v>2022</v>
      </c>
      <c r="J156" t="s">
        <v>1403</v>
      </c>
      <c r="K156" t="s">
        <v>1504</v>
      </c>
      <c r="L156" s="11"/>
      <c r="M156">
        <v>20500</v>
      </c>
      <c r="N156" s="2">
        <v>44743</v>
      </c>
      <c r="O156" t="s">
        <v>1354</v>
      </c>
      <c r="Q156" t="s">
        <v>1510</v>
      </c>
      <c r="R156" t="s">
        <v>474</v>
      </c>
    </row>
    <row r="157" spans="1:18" hidden="1" x14ac:dyDescent="0.25">
      <c r="A157" s="11"/>
      <c r="B157" t="s">
        <v>478</v>
      </c>
      <c r="C157" t="s">
        <v>3924</v>
      </c>
      <c r="D157">
        <v>2022</v>
      </c>
      <c r="E157">
        <v>2032</v>
      </c>
      <c r="F157" t="s">
        <v>1508</v>
      </c>
      <c r="G157">
        <v>9420</v>
      </c>
      <c r="I157">
        <v>2023</v>
      </c>
      <c r="J157" t="s">
        <v>1403</v>
      </c>
      <c r="L157" s="11"/>
      <c r="M157">
        <v>9420</v>
      </c>
      <c r="N157" s="2">
        <v>45108</v>
      </c>
      <c r="O157" t="s">
        <v>1354</v>
      </c>
      <c r="Q157" t="s">
        <v>1510</v>
      </c>
      <c r="R157" t="s">
        <v>474</v>
      </c>
    </row>
    <row r="158" spans="1:18" hidden="1" x14ac:dyDescent="0.25">
      <c r="A158" s="11"/>
      <c r="B158" t="s">
        <v>479</v>
      </c>
      <c r="C158" t="s">
        <v>3924</v>
      </c>
      <c r="D158">
        <v>2021</v>
      </c>
      <c r="E158">
        <v>2030</v>
      </c>
      <c r="F158" t="s">
        <v>1954</v>
      </c>
      <c r="G158">
        <v>2000</v>
      </c>
      <c r="I158">
        <v>2021</v>
      </c>
      <c r="J158" t="s">
        <v>1403</v>
      </c>
      <c r="K158" t="s">
        <v>1504</v>
      </c>
      <c r="L158" s="11"/>
      <c r="M158">
        <v>2000</v>
      </c>
      <c r="N158" s="2">
        <v>44378</v>
      </c>
      <c r="O158" t="s">
        <v>1405</v>
      </c>
      <c r="Q158" s="8" t="str">
        <f>IF(Tabla1[[#This Row],[land_location]]&lt;&gt;"None",_xlfn.CONCAT("POINT(",Tabla1[[#This Row],[land_location]],")"),"No land location info")</f>
        <v>POINT(14.5684073, -89.3669417; 17.004972, -89.243806)</v>
      </c>
      <c r="R158" t="s">
        <v>422</v>
      </c>
    </row>
    <row r="159" spans="1:18" hidden="1" x14ac:dyDescent="0.25">
      <c r="A159" s="11"/>
      <c r="B159" t="s">
        <v>480</v>
      </c>
      <c r="C159" t="s">
        <v>3924</v>
      </c>
      <c r="D159">
        <v>2020</v>
      </c>
      <c r="E159">
        <v>2030</v>
      </c>
      <c r="F159" t="s">
        <v>1955</v>
      </c>
      <c r="G159">
        <v>2650</v>
      </c>
      <c r="I159">
        <v>2021</v>
      </c>
      <c r="J159" t="s">
        <v>1403</v>
      </c>
      <c r="K159" t="s">
        <v>1504</v>
      </c>
      <c r="L159" s="11"/>
      <c r="M159">
        <v>2650</v>
      </c>
      <c r="N159" s="2">
        <v>44378</v>
      </c>
      <c r="O159" t="s">
        <v>1354</v>
      </c>
      <c r="Q159" t="s">
        <v>1956</v>
      </c>
      <c r="R159" t="s">
        <v>426</v>
      </c>
    </row>
    <row r="160" spans="1:18" hidden="1" x14ac:dyDescent="0.25">
      <c r="A160" s="11"/>
      <c r="B160" t="s">
        <v>481</v>
      </c>
      <c r="C160" t="s">
        <v>3924</v>
      </c>
      <c r="D160">
        <v>2020</v>
      </c>
      <c r="E160">
        <v>2030</v>
      </c>
      <c r="F160" t="s">
        <v>2105</v>
      </c>
      <c r="G160">
        <v>1000</v>
      </c>
      <c r="I160">
        <v>2021</v>
      </c>
      <c r="J160" t="s">
        <v>1403</v>
      </c>
      <c r="K160" t="s">
        <v>1610</v>
      </c>
      <c r="L160" s="11"/>
      <c r="M160">
        <v>1000</v>
      </c>
      <c r="N160" s="2">
        <v>44378</v>
      </c>
      <c r="O160" t="s">
        <v>1354</v>
      </c>
      <c r="Q160" t="s">
        <v>2106</v>
      </c>
      <c r="R160" t="s">
        <v>482</v>
      </c>
    </row>
    <row r="161" spans="1:18" hidden="1" x14ac:dyDescent="0.25">
      <c r="A161" s="11"/>
      <c r="B161" t="s">
        <v>484</v>
      </c>
      <c r="C161" t="s">
        <v>3924</v>
      </c>
      <c r="D161">
        <v>2020</v>
      </c>
      <c r="E161">
        <v>2030</v>
      </c>
      <c r="F161" t="s">
        <v>2107</v>
      </c>
      <c r="G161">
        <v>1000</v>
      </c>
      <c r="I161">
        <v>2021</v>
      </c>
      <c r="J161" t="s">
        <v>1403</v>
      </c>
      <c r="K161" t="s">
        <v>1504</v>
      </c>
      <c r="L161" s="11"/>
      <c r="M161">
        <v>1000</v>
      </c>
      <c r="N161" s="2">
        <v>44378</v>
      </c>
      <c r="O161" t="s">
        <v>1354</v>
      </c>
      <c r="Q161" t="s">
        <v>2108</v>
      </c>
      <c r="R161" t="s">
        <v>485</v>
      </c>
    </row>
    <row r="162" spans="1:18" hidden="1" x14ac:dyDescent="0.25">
      <c r="A162" s="11"/>
      <c r="B162" t="s">
        <v>488</v>
      </c>
      <c r="C162" t="s">
        <v>3924</v>
      </c>
      <c r="D162">
        <v>2021</v>
      </c>
      <c r="E162">
        <v>2030</v>
      </c>
      <c r="F162" t="s">
        <v>2109</v>
      </c>
      <c r="G162">
        <v>2907</v>
      </c>
      <c r="I162">
        <v>2021</v>
      </c>
      <c r="J162" t="s">
        <v>1403</v>
      </c>
      <c r="K162" t="s">
        <v>1504</v>
      </c>
      <c r="L162" s="11"/>
      <c r="M162">
        <v>2907</v>
      </c>
      <c r="N162" s="2">
        <v>44378</v>
      </c>
      <c r="O162" t="s">
        <v>1354</v>
      </c>
      <c r="Q162" t="s">
        <v>2110</v>
      </c>
      <c r="R162" t="s">
        <v>489</v>
      </c>
    </row>
    <row r="163" spans="1:18" hidden="1" x14ac:dyDescent="0.25">
      <c r="A163" s="11"/>
      <c r="B163" t="s">
        <v>492</v>
      </c>
      <c r="C163" t="s">
        <v>3924</v>
      </c>
      <c r="D163">
        <v>2021</v>
      </c>
      <c r="E163">
        <v>2030</v>
      </c>
      <c r="F163" t="s">
        <v>2123</v>
      </c>
      <c r="G163">
        <v>1500</v>
      </c>
      <c r="I163">
        <v>2021</v>
      </c>
      <c r="J163" t="s">
        <v>1403</v>
      </c>
      <c r="K163" t="s">
        <v>2124</v>
      </c>
      <c r="L163" s="11"/>
      <c r="M163">
        <v>1500</v>
      </c>
      <c r="N163" s="2">
        <v>44378</v>
      </c>
      <c r="O163" t="s">
        <v>1354</v>
      </c>
      <c r="Q163" t="s">
        <v>2125</v>
      </c>
      <c r="R163" t="s">
        <v>493</v>
      </c>
    </row>
    <row r="164" spans="1:18" hidden="1" x14ac:dyDescent="0.25">
      <c r="A164" s="11"/>
      <c r="B164" t="s">
        <v>495</v>
      </c>
      <c r="C164" t="s">
        <v>3924</v>
      </c>
      <c r="D164">
        <v>2021</v>
      </c>
      <c r="E164">
        <v>2030</v>
      </c>
      <c r="F164" t="s">
        <v>1609</v>
      </c>
      <c r="G164">
        <v>3795</v>
      </c>
      <c r="I164">
        <v>2021</v>
      </c>
      <c r="J164" t="s">
        <v>1403</v>
      </c>
      <c r="K164" t="s">
        <v>1504</v>
      </c>
      <c r="L164" s="11"/>
      <c r="M164">
        <v>3795</v>
      </c>
      <c r="N164" s="2">
        <v>44378</v>
      </c>
      <c r="O164" t="s">
        <v>1354</v>
      </c>
      <c r="Q164" t="s">
        <v>1611</v>
      </c>
      <c r="R164" t="s">
        <v>396</v>
      </c>
    </row>
    <row r="165" spans="1:18" hidden="1" x14ac:dyDescent="0.25">
      <c r="A165" s="11"/>
      <c r="B165" t="s">
        <v>496</v>
      </c>
      <c r="C165" t="s">
        <v>3924</v>
      </c>
      <c r="D165">
        <v>2020</v>
      </c>
      <c r="E165">
        <v>2030</v>
      </c>
      <c r="F165" t="s">
        <v>1789</v>
      </c>
      <c r="G165">
        <v>2350</v>
      </c>
      <c r="I165">
        <v>2021</v>
      </c>
      <c r="J165" t="s">
        <v>1403</v>
      </c>
      <c r="K165" t="s">
        <v>1504</v>
      </c>
      <c r="L165" s="11"/>
      <c r="M165">
        <v>2350</v>
      </c>
      <c r="N165" s="2">
        <v>44378</v>
      </c>
      <c r="O165" t="s">
        <v>1405</v>
      </c>
      <c r="Q165" t="s">
        <v>1790</v>
      </c>
      <c r="R165" t="s">
        <v>458</v>
      </c>
    </row>
    <row r="166" spans="1:18" hidden="1" x14ac:dyDescent="0.25">
      <c r="A166" s="11"/>
      <c r="B166" t="s">
        <v>497</v>
      </c>
      <c r="C166" t="s">
        <v>3924</v>
      </c>
      <c r="D166">
        <v>2020</v>
      </c>
      <c r="E166">
        <v>2030</v>
      </c>
      <c r="F166" t="s">
        <v>1612</v>
      </c>
      <c r="G166">
        <v>690</v>
      </c>
      <c r="I166">
        <v>2021</v>
      </c>
      <c r="J166" t="s">
        <v>1403</v>
      </c>
      <c r="K166" t="s">
        <v>1359</v>
      </c>
      <c r="L166" s="11"/>
      <c r="M166">
        <v>690</v>
      </c>
      <c r="N166" s="2">
        <v>44378</v>
      </c>
      <c r="O166" t="s">
        <v>1354</v>
      </c>
      <c r="Q166" s="8" t="str">
        <f>IF(Tabla1[[#This Row],[land_location]]&lt;&gt;"None",_xlfn.CONCAT("POINT(",Tabla1[[#This Row],[land_location]],")"),"No land location info")</f>
        <v>POINT(14.662500, -91.613889; 14.606417, -91.840889)</v>
      </c>
      <c r="R166" t="s">
        <v>399</v>
      </c>
    </row>
    <row r="167" spans="1:18" hidden="1" x14ac:dyDescent="0.25">
      <c r="A167" s="11"/>
      <c r="B167" t="s">
        <v>498</v>
      </c>
      <c r="C167" t="s">
        <v>3924</v>
      </c>
      <c r="D167">
        <v>2021</v>
      </c>
      <c r="E167">
        <v>2031</v>
      </c>
      <c r="F167" t="s">
        <v>1511</v>
      </c>
      <c r="G167">
        <v>1000</v>
      </c>
      <c r="I167">
        <v>2022</v>
      </c>
      <c r="J167" t="s">
        <v>1403</v>
      </c>
      <c r="K167" t="s">
        <v>1512</v>
      </c>
      <c r="L167" s="11"/>
      <c r="M167">
        <v>1000</v>
      </c>
      <c r="N167" s="2">
        <v>44743</v>
      </c>
      <c r="O167" t="s">
        <v>1354</v>
      </c>
      <c r="Q167" t="s">
        <v>1513</v>
      </c>
      <c r="R167" t="s">
        <v>499</v>
      </c>
    </row>
    <row r="168" spans="1:18" hidden="1" x14ac:dyDescent="0.25">
      <c r="A168" s="11"/>
      <c r="B168" t="s">
        <v>502</v>
      </c>
      <c r="C168" t="s">
        <v>3924</v>
      </c>
      <c r="D168">
        <v>2021</v>
      </c>
      <c r="E168">
        <v>2031</v>
      </c>
      <c r="F168" t="s">
        <v>1503</v>
      </c>
      <c r="G168">
        <v>4000</v>
      </c>
      <c r="I168">
        <v>2022</v>
      </c>
      <c r="J168" t="s">
        <v>1403</v>
      </c>
      <c r="K168" t="s">
        <v>1504</v>
      </c>
      <c r="L168" s="11"/>
      <c r="M168">
        <v>4000</v>
      </c>
      <c r="N168" s="2">
        <v>44743</v>
      </c>
      <c r="O168" t="s">
        <v>1354</v>
      </c>
      <c r="Q168" t="s">
        <v>1505</v>
      </c>
      <c r="R168" t="s">
        <v>454</v>
      </c>
    </row>
    <row r="169" spans="1:18" hidden="1" x14ac:dyDescent="0.25">
      <c r="A169" s="11"/>
      <c r="B169" t="s">
        <v>503</v>
      </c>
      <c r="C169" t="s">
        <v>3924</v>
      </c>
      <c r="D169">
        <v>2021</v>
      </c>
      <c r="E169">
        <v>2031</v>
      </c>
      <c r="F169" t="s">
        <v>1506</v>
      </c>
      <c r="G169">
        <v>2000</v>
      </c>
      <c r="I169">
        <v>2022</v>
      </c>
      <c r="J169" t="s">
        <v>1403</v>
      </c>
      <c r="K169" t="s">
        <v>1504</v>
      </c>
      <c r="L169" s="11"/>
      <c r="M169">
        <v>2000</v>
      </c>
      <c r="N169" s="2">
        <v>44743</v>
      </c>
      <c r="O169" t="s">
        <v>1354</v>
      </c>
      <c r="Q169" t="s">
        <v>1507</v>
      </c>
      <c r="R169" t="s">
        <v>465</v>
      </c>
    </row>
    <row r="170" spans="1:18" hidden="1" x14ac:dyDescent="0.25">
      <c r="A170" s="11"/>
      <c r="B170" t="s">
        <v>504</v>
      </c>
      <c r="C170" t="s">
        <v>3924</v>
      </c>
      <c r="D170">
        <v>2022</v>
      </c>
      <c r="E170">
        <v>2032</v>
      </c>
      <c r="F170" t="s">
        <v>1695</v>
      </c>
      <c r="G170">
        <v>1000</v>
      </c>
      <c r="I170">
        <v>2023</v>
      </c>
      <c r="J170" t="s">
        <v>1403</v>
      </c>
      <c r="L170" s="11"/>
      <c r="M170">
        <v>1000</v>
      </c>
      <c r="N170" s="2">
        <v>45108</v>
      </c>
      <c r="O170" t="s">
        <v>1354</v>
      </c>
      <c r="Q170" t="s">
        <v>1696</v>
      </c>
      <c r="R170" t="s">
        <v>433</v>
      </c>
    </row>
    <row r="171" spans="1:18" hidden="1" x14ac:dyDescent="0.25">
      <c r="A171" s="11"/>
      <c r="B171" t="s">
        <v>505</v>
      </c>
      <c r="C171" t="s">
        <v>3924</v>
      </c>
      <c r="D171">
        <v>2022</v>
      </c>
      <c r="E171">
        <v>2032</v>
      </c>
      <c r="F171" t="s">
        <v>1511</v>
      </c>
      <c r="G171">
        <v>1640</v>
      </c>
      <c r="I171">
        <v>2023</v>
      </c>
      <c r="J171" t="s">
        <v>1403</v>
      </c>
      <c r="L171" s="11"/>
      <c r="M171">
        <v>1640</v>
      </c>
      <c r="N171" s="2">
        <v>45108</v>
      </c>
      <c r="O171" t="s">
        <v>1354</v>
      </c>
      <c r="Q171" t="s">
        <v>1513</v>
      </c>
      <c r="R171" t="s">
        <v>499</v>
      </c>
    </row>
    <row r="172" spans="1:18" hidden="1" x14ac:dyDescent="0.25">
      <c r="A172" s="11"/>
      <c r="B172" t="s">
        <v>506</v>
      </c>
      <c r="C172" t="s">
        <v>3924</v>
      </c>
      <c r="D172">
        <v>2018</v>
      </c>
      <c r="E17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172" t="s">
        <v>1413</v>
      </c>
      <c r="G172">
        <v>5000</v>
      </c>
      <c r="I172">
        <v>2019</v>
      </c>
      <c r="J172" t="s">
        <v>1358</v>
      </c>
      <c r="L172" s="11"/>
      <c r="M172">
        <v>5000</v>
      </c>
      <c r="N172" s="2">
        <v>43770</v>
      </c>
      <c r="O172" t="s">
        <v>1405</v>
      </c>
      <c r="Q172" t="s">
        <v>1414</v>
      </c>
      <c r="R172" t="s">
        <v>507</v>
      </c>
    </row>
    <row r="173" spans="1:18" hidden="1" x14ac:dyDescent="0.25">
      <c r="A173" s="11"/>
      <c r="B173" t="s">
        <v>509</v>
      </c>
      <c r="C173" t="s">
        <v>3924</v>
      </c>
      <c r="D173">
        <v>2018</v>
      </c>
      <c r="E173" s="8">
        <f>IF(
    AND(
        NOT(LEFT(Tabla1[[#This Row],[status]])="Pending"),
        NOT(ISBLANK(Tabla1[[#This Row],[planted]])),
        NOT(ISBLANK(Tabla1[[#This Row],[planting_date]]))
    ),
    Tabla1[[#This Row],[planting_year]]+10,
    "Not active contract"
)</f>
        <v>2029</v>
      </c>
      <c r="F173" t="s">
        <v>1805</v>
      </c>
      <c r="G173">
        <v>2000</v>
      </c>
      <c r="I173">
        <v>2019</v>
      </c>
      <c r="J173" t="s">
        <v>1358</v>
      </c>
      <c r="L173" s="11"/>
      <c r="M173">
        <v>2000</v>
      </c>
      <c r="N173" s="2">
        <v>43770</v>
      </c>
      <c r="O173" t="s">
        <v>1405</v>
      </c>
      <c r="Q173" s="8" t="str">
        <f>IF(Tabla1[[#This Row],[land_location]]&lt;&gt;"None",_xlfn.CONCAT("POINT(",Tabla1[[#This Row],[land_location]],")"),"No land location info")</f>
        <v>No land location info</v>
      </c>
      <c r="R173" t="s">
        <v>510</v>
      </c>
    </row>
    <row r="174" spans="1:18" hidden="1" x14ac:dyDescent="0.25">
      <c r="A174" s="11"/>
      <c r="B174" t="s">
        <v>512</v>
      </c>
      <c r="C174" t="s">
        <v>3924</v>
      </c>
      <c r="D174">
        <v>2020</v>
      </c>
      <c r="E174">
        <v>2030</v>
      </c>
      <c r="F174" t="s">
        <v>2126</v>
      </c>
      <c r="G174">
        <v>1100</v>
      </c>
      <c r="I174">
        <v>2021</v>
      </c>
      <c r="J174" t="s">
        <v>1358</v>
      </c>
      <c r="L174" s="11"/>
      <c r="M174">
        <v>1100</v>
      </c>
      <c r="N174" s="2">
        <v>44501</v>
      </c>
      <c r="O174" t="s">
        <v>1394</v>
      </c>
      <c r="Q174" t="s">
        <v>2127</v>
      </c>
      <c r="R174" t="s">
        <v>513</v>
      </c>
    </row>
    <row r="175" spans="1:18" hidden="1" x14ac:dyDescent="0.25">
      <c r="A175" s="11"/>
      <c r="B175" t="s">
        <v>515</v>
      </c>
      <c r="C175" t="s">
        <v>3924</v>
      </c>
      <c r="D175">
        <v>2018</v>
      </c>
      <c r="E17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75" t="s">
        <v>1787</v>
      </c>
      <c r="G175">
        <v>5500</v>
      </c>
      <c r="I175">
        <v>2020</v>
      </c>
      <c r="J175" t="s">
        <v>1358</v>
      </c>
      <c r="L175" s="11"/>
      <c r="M175">
        <v>5500</v>
      </c>
      <c r="N175" s="2">
        <v>44136</v>
      </c>
      <c r="O175" t="s">
        <v>1405</v>
      </c>
      <c r="Q175" t="s">
        <v>1788</v>
      </c>
      <c r="R175" t="s">
        <v>516</v>
      </c>
    </row>
    <row r="176" spans="1:18" hidden="1" x14ac:dyDescent="0.25">
      <c r="A176" s="11"/>
      <c r="B176" t="s">
        <v>519</v>
      </c>
      <c r="C176" t="s">
        <v>3924</v>
      </c>
      <c r="D176">
        <v>2020</v>
      </c>
      <c r="E176">
        <v>2029</v>
      </c>
      <c r="F176" t="s">
        <v>1793</v>
      </c>
      <c r="G176">
        <v>1100</v>
      </c>
      <c r="I176">
        <v>2020</v>
      </c>
      <c r="J176" t="s">
        <v>1358</v>
      </c>
      <c r="L176" s="11"/>
      <c r="M176">
        <v>1100</v>
      </c>
      <c r="N176" s="2">
        <v>44136</v>
      </c>
      <c r="O176" t="s">
        <v>1394</v>
      </c>
      <c r="Q176" t="s">
        <v>1794</v>
      </c>
      <c r="R176" t="s">
        <v>520</v>
      </c>
    </row>
    <row r="177" spans="1:18" hidden="1" x14ac:dyDescent="0.25">
      <c r="A177" s="11"/>
      <c r="B177" t="s">
        <v>522</v>
      </c>
      <c r="C177" t="s">
        <v>3924</v>
      </c>
      <c r="D177">
        <v>2020</v>
      </c>
      <c r="E177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77" t="s">
        <v>1577</v>
      </c>
      <c r="G177">
        <v>7700</v>
      </c>
      <c r="I177">
        <v>2020</v>
      </c>
      <c r="J177" t="s">
        <v>1358</v>
      </c>
      <c r="L177" s="11"/>
      <c r="M177">
        <v>7700</v>
      </c>
      <c r="N177" s="2">
        <v>44136</v>
      </c>
      <c r="O177" t="s">
        <v>1405</v>
      </c>
      <c r="Q177" t="s">
        <v>1579</v>
      </c>
      <c r="R177" t="s">
        <v>523</v>
      </c>
    </row>
    <row r="178" spans="1:18" hidden="1" x14ac:dyDescent="0.25">
      <c r="A178" s="11"/>
      <c r="B178" t="s">
        <v>525</v>
      </c>
      <c r="C178" t="s">
        <v>3924</v>
      </c>
      <c r="D178">
        <v>2020</v>
      </c>
      <c r="E178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78" t="s">
        <v>1577</v>
      </c>
      <c r="G178">
        <v>14300</v>
      </c>
      <c r="I178">
        <v>2020</v>
      </c>
      <c r="J178" t="s">
        <v>1358</v>
      </c>
      <c r="L178" s="11"/>
      <c r="M178">
        <v>14300</v>
      </c>
      <c r="N178" s="2">
        <v>44136</v>
      </c>
      <c r="O178" t="s">
        <v>1405</v>
      </c>
      <c r="P178" t="s">
        <v>1578</v>
      </c>
      <c r="Q178" t="s">
        <v>1579</v>
      </c>
      <c r="R178" t="s">
        <v>523</v>
      </c>
    </row>
    <row r="179" spans="1:18" hidden="1" x14ac:dyDescent="0.25">
      <c r="A179" s="11"/>
      <c r="B179" t="s">
        <v>526</v>
      </c>
      <c r="C179" t="s">
        <v>3924</v>
      </c>
      <c r="D179">
        <v>2020</v>
      </c>
      <c r="E179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79" t="s">
        <v>1580</v>
      </c>
      <c r="G179">
        <v>5500</v>
      </c>
      <c r="I179">
        <v>2020</v>
      </c>
      <c r="J179" t="s">
        <v>1358</v>
      </c>
      <c r="L179" s="11"/>
      <c r="M179">
        <v>5500</v>
      </c>
      <c r="N179" s="2">
        <v>44136</v>
      </c>
      <c r="O179" t="s">
        <v>1405</v>
      </c>
      <c r="P179" t="s">
        <v>1578</v>
      </c>
      <c r="Q179" t="s">
        <v>1581</v>
      </c>
      <c r="R179" t="s">
        <v>527</v>
      </c>
    </row>
    <row r="180" spans="1:18" hidden="1" x14ac:dyDescent="0.25">
      <c r="A180" s="11"/>
      <c r="B180" t="s">
        <v>530</v>
      </c>
      <c r="C180" t="s">
        <v>3924</v>
      </c>
      <c r="D180">
        <v>2021</v>
      </c>
      <c r="E180">
        <v>2030</v>
      </c>
      <c r="F180" t="s">
        <v>2128</v>
      </c>
      <c r="G180">
        <v>2750</v>
      </c>
      <c r="I180">
        <v>2021</v>
      </c>
      <c r="J180" t="s">
        <v>1358</v>
      </c>
      <c r="L180" s="11"/>
      <c r="M180">
        <v>2750</v>
      </c>
      <c r="N180" s="2">
        <v>44501</v>
      </c>
      <c r="O180" t="s">
        <v>1354</v>
      </c>
      <c r="Q180" t="s">
        <v>2129</v>
      </c>
      <c r="R180" t="s">
        <v>531</v>
      </c>
    </row>
    <row r="181" spans="1:18" hidden="1" x14ac:dyDescent="0.25">
      <c r="A181" s="11"/>
      <c r="B181" t="s">
        <v>533</v>
      </c>
      <c r="C181" t="s">
        <v>3924</v>
      </c>
      <c r="D181">
        <v>2020</v>
      </c>
      <c r="E181" s="8" t="str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Not planted contract</v>
      </c>
      <c r="F181" t="s">
        <v>1584</v>
      </c>
      <c r="I181">
        <v>2020</v>
      </c>
      <c r="J181" t="s">
        <v>1358</v>
      </c>
      <c r="L181" s="11"/>
      <c r="N181" s="2">
        <v>44136</v>
      </c>
      <c r="O181" t="s">
        <v>1405</v>
      </c>
      <c r="P181" t="s">
        <v>1578</v>
      </c>
      <c r="Q181" t="s">
        <v>1585</v>
      </c>
      <c r="R181" t="s">
        <v>534</v>
      </c>
    </row>
    <row r="182" spans="1:18" hidden="1" x14ac:dyDescent="0.25">
      <c r="A182" s="11"/>
      <c r="B182" t="s">
        <v>537</v>
      </c>
      <c r="C182" t="s">
        <v>3924</v>
      </c>
      <c r="D182">
        <v>2020</v>
      </c>
      <c r="E18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82" t="s">
        <v>1795</v>
      </c>
      <c r="G182">
        <v>4400</v>
      </c>
      <c r="I182">
        <v>2020</v>
      </c>
      <c r="J182" t="s">
        <v>1358</v>
      </c>
      <c r="L182" s="11"/>
      <c r="M182">
        <v>4400</v>
      </c>
      <c r="N182" s="2">
        <v>44136</v>
      </c>
      <c r="O182" t="s">
        <v>1405</v>
      </c>
      <c r="Q182" t="s">
        <v>1796</v>
      </c>
      <c r="R182" t="s">
        <v>538</v>
      </c>
    </row>
    <row r="183" spans="1:18" hidden="1" x14ac:dyDescent="0.25">
      <c r="A183" s="11"/>
      <c r="B183" t="s">
        <v>541</v>
      </c>
      <c r="C183" t="s">
        <v>3924</v>
      </c>
      <c r="D183">
        <v>2020</v>
      </c>
      <c r="E183">
        <v>2029</v>
      </c>
      <c r="F183" t="s">
        <v>1586</v>
      </c>
      <c r="G183">
        <v>12000</v>
      </c>
      <c r="I183">
        <v>2020</v>
      </c>
      <c r="J183" t="s">
        <v>1358</v>
      </c>
      <c r="L183" s="11"/>
      <c r="M183">
        <v>12000</v>
      </c>
      <c r="N183" s="2">
        <v>44136</v>
      </c>
      <c r="O183" t="s">
        <v>1394</v>
      </c>
      <c r="P183" t="s">
        <v>1578</v>
      </c>
      <c r="Q183" t="s">
        <v>1587</v>
      </c>
      <c r="R183" t="s">
        <v>542</v>
      </c>
    </row>
    <row r="184" spans="1:18" hidden="1" x14ac:dyDescent="0.25">
      <c r="A184" s="11"/>
      <c r="B184" t="s">
        <v>544</v>
      </c>
      <c r="C184" t="s">
        <v>3924</v>
      </c>
      <c r="D184">
        <v>2020</v>
      </c>
      <c r="E184">
        <v>2029</v>
      </c>
      <c r="F184" t="s">
        <v>1797</v>
      </c>
      <c r="G184">
        <v>2750</v>
      </c>
      <c r="I184">
        <v>2020</v>
      </c>
      <c r="J184" t="s">
        <v>1358</v>
      </c>
      <c r="L184" s="11"/>
      <c r="M184">
        <v>2750</v>
      </c>
      <c r="N184" s="2">
        <v>44136</v>
      </c>
      <c r="O184" t="s">
        <v>1354</v>
      </c>
      <c r="Q184" t="s">
        <v>1798</v>
      </c>
      <c r="R184" t="s">
        <v>545</v>
      </c>
    </row>
    <row r="185" spans="1:18" hidden="1" x14ac:dyDescent="0.25">
      <c r="A185" s="11"/>
      <c r="B185" t="s">
        <v>547</v>
      </c>
      <c r="C185" t="s">
        <v>3924</v>
      </c>
      <c r="D185">
        <v>2020</v>
      </c>
      <c r="E185">
        <v>2029</v>
      </c>
      <c r="F185" t="s">
        <v>1799</v>
      </c>
      <c r="G185">
        <v>3300</v>
      </c>
      <c r="I185">
        <v>2020</v>
      </c>
      <c r="J185" t="s">
        <v>1358</v>
      </c>
      <c r="L185" s="11"/>
      <c r="M185">
        <v>3300</v>
      </c>
      <c r="N185" s="2">
        <v>44136</v>
      </c>
      <c r="O185" t="s">
        <v>1394</v>
      </c>
      <c r="Q185" t="s">
        <v>1800</v>
      </c>
      <c r="R185" t="s">
        <v>548</v>
      </c>
    </row>
    <row r="186" spans="1:18" hidden="1" x14ac:dyDescent="0.25">
      <c r="A186" s="11"/>
      <c r="B186" t="s">
        <v>551</v>
      </c>
      <c r="C186" t="s">
        <v>3924</v>
      </c>
      <c r="D186">
        <v>2020</v>
      </c>
      <c r="E18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86" t="s">
        <v>1588</v>
      </c>
      <c r="G186">
        <v>2750</v>
      </c>
      <c r="I186">
        <v>2020</v>
      </c>
      <c r="J186" t="s">
        <v>1358</v>
      </c>
      <c r="L186" s="11"/>
      <c r="M186">
        <v>2750</v>
      </c>
      <c r="N186" s="2">
        <v>44136</v>
      </c>
      <c r="O186" t="s">
        <v>1405</v>
      </c>
      <c r="P186" t="s">
        <v>1578</v>
      </c>
      <c r="Q186" t="s">
        <v>1589</v>
      </c>
      <c r="R186" t="s">
        <v>552</v>
      </c>
    </row>
    <row r="187" spans="1:18" hidden="1" x14ac:dyDescent="0.25">
      <c r="A187" s="11"/>
      <c r="B187" t="s">
        <v>554</v>
      </c>
      <c r="C187" t="s">
        <v>3924</v>
      </c>
      <c r="D187">
        <v>2018</v>
      </c>
      <c r="E187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87" t="s">
        <v>1460</v>
      </c>
      <c r="G187">
        <v>2200</v>
      </c>
      <c r="I187">
        <v>2020</v>
      </c>
      <c r="J187" t="s">
        <v>1358</v>
      </c>
      <c r="L187" s="11"/>
      <c r="M187">
        <v>2200</v>
      </c>
      <c r="N187" s="2">
        <v>44136</v>
      </c>
      <c r="O187" t="s">
        <v>1405</v>
      </c>
      <c r="Q187" t="s">
        <v>1461</v>
      </c>
      <c r="R187" t="s">
        <v>555</v>
      </c>
    </row>
    <row r="188" spans="1:18" hidden="1" x14ac:dyDescent="0.25">
      <c r="A188" s="11"/>
      <c r="B188" t="s">
        <v>557</v>
      </c>
      <c r="C188" t="s">
        <v>3924</v>
      </c>
      <c r="D188">
        <v>2020</v>
      </c>
      <c r="E188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88" t="s">
        <v>1972</v>
      </c>
      <c r="G188">
        <v>11550</v>
      </c>
      <c r="I188">
        <v>2020</v>
      </c>
      <c r="J188" t="s">
        <v>1358</v>
      </c>
      <c r="L188" s="11"/>
      <c r="M188">
        <v>11550</v>
      </c>
      <c r="N188" s="2">
        <v>44136</v>
      </c>
      <c r="O188" t="s">
        <v>1405</v>
      </c>
      <c r="P188" t="s">
        <v>1578</v>
      </c>
      <c r="Q188" t="s">
        <v>1973</v>
      </c>
      <c r="R188" t="s">
        <v>558</v>
      </c>
    </row>
    <row r="189" spans="1:18" hidden="1" x14ac:dyDescent="0.25">
      <c r="A189" s="11"/>
      <c r="B189" t="s">
        <v>560</v>
      </c>
      <c r="C189" t="s">
        <v>3924</v>
      </c>
      <c r="D189">
        <v>2018</v>
      </c>
      <c r="E189">
        <v>2029</v>
      </c>
      <c r="F189" t="s">
        <v>1462</v>
      </c>
      <c r="G189">
        <v>1000</v>
      </c>
      <c r="I189">
        <v>2020</v>
      </c>
      <c r="J189" t="s">
        <v>1358</v>
      </c>
      <c r="L189" s="11"/>
      <c r="M189">
        <v>1000</v>
      </c>
      <c r="N189" s="2">
        <v>44136</v>
      </c>
      <c r="O189" t="s">
        <v>1394</v>
      </c>
      <c r="Q189" t="s">
        <v>1463</v>
      </c>
      <c r="R189" t="s">
        <v>561</v>
      </c>
    </row>
    <row r="190" spans="1:18" hidden="1" x14ac:dyDescent="0.25">
      <c r="A190" s="11"/>
      <c r="B190" t="s">
        <v>563</v>
      </c>
      <c r="C190" t="s">
        <v>3924</v>
      </c>
      <c r="D190">
        <v>2018</v>
      </c>
      <c r="E190">
        <v>2029</v>
      </c>
      <c r="F190" t="s">
        <v>1466</v>
      </c>
      <c r="G190">
        <v>9200</v>
      </c>
      <c r="I190">
        <v>2020</v>
      </c>
      <c r="J190" t="s">
        <v>1358</v>
      </c>
      <c r="L190" s="11"/>
      <c r="M190">
        <v>9200</v>
      </c>
      <c r="N190" s="2">
        <v>44136</v>
      </c>
      <c r="O190" t="s">
        <v>1394</v>
      </c>
      <c r="Q190" t="s">
        <v>1467</v>
      </c>
      <c r="R190" t="s">
        <v>564</v>
      </c>
    </row>
    <row r="191" spans="1:18" hidden="1" x14ac:dyDescent="0.25">
      <c r="A191" s="11"/>
      <c r="B191" t="s">
        <v>566</v>
      </c>
      <c r="C191" t="s">
        <v>3924</v>
      </c>
      <c r="D191">
        <v>2020</v>
      </c>
      <c r="E19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191" t="s">
        <v>1806</v>
      </c>
      <c r="G191">
        <v>11000</v>
      </c>
      <c r="I191">
        <v>2020</v>
      </c>
      <c r="J191" t="s">
        <v>1358</v>
      </c>
      <c r="L191" s="11"/>
      <c r="M191">
        <v>11000</v>
      </c>
      <c r="N191" s="2">
        <v>44136</v>
      </c>
      <c r="O191" t="s">
        <v>1405</v>
      </c>
      <c r="Q191" t="s">
        <v>1807</v>
      </c>
      <c r="R191" t="s">
        <v>567</v>
      </c>
    </row>
    <row r="192" spans="1:18" hidden="1" x14ac:dyDescent="0.25">
      <c r="A192" s="11"/>
      <c r="B192" t="s">
        <v>569</v>
      </c>
      <c r="C192" t="s">
        <v>3924</v>
      </c>
      <c r="D192">
        <v>2021</v>
      </c>
      <c r="E192">
        <v>2030</v>
      </c>
      <c r="F192" t="s">
        <v>2130</v>
      </c>
      <c r="G192">
        <v>2750</v>
      </c>
      <c r="I192">
        <v>2021</v>
      </c>
      <c r="J192" t="s">
        <v>1358</v>
      </c>
      <c r="L192" s="11"/>
      <c r="M192">
        <v>2750</v>
      </c>
      <c r="N192" s="2">
        <v>44501</v>
      </c>
      <c r="O192" t="s">
        <v>1394</v>
      </c>
      <c r="Q192" t="s">
        <v>2131</v>
      </c>
      <c r="R192" t="s">
        <v>570</v>
      </c>
    </row>
    <row r="193" spans="1:18" hidden="1" x14ac:dyDescent="0.25">
      <c r="A193" s="11"/>
      <c r="B193" t="s">
        <v>572</v>
      </c>
      <c r="C193" t="s">
        <v>3924</v>
      </c>
      <c r="D193">
        <v>2021</v>
      </c>
      <c r="E193">
        <v>2030</v>
      </c>
      <c r="F193" t="s">
        <v>2132</v>
      </c>
      <c r="G193">
        <v>2750</v>
      </c>
      <c r="I193">
        <v>2021</v>
      </c>
      <c r="J193" t="s">
        <v>1358</v>
      </c>
      <c r="L193" s="11"/>
      <c r="M193">
        <v>2750</v>
      </c>
      <c r="N193" s="2">
        <v>44501</v>
      </c>
      <c r="O193" t="s">
        <v>1354</v>
      </c>
      <c r="Q193" t="s">
        <v>2133</v>
      </c>
      <c r="R193" t="s">
        <v>573</v>
      </c>
    </row>
    <row r="194" spans="1:18" hidden="1" x14ac:dyDescent="0.25">
      <c r="A194" s="11"/>
      <c r="B194" t="s">
        <v>575</v>
      </c>
      <c r="C194" t="s">
        <v>3924</v>
      </c>
      <c r="D194">
        <v>2021</v>
      </c>
      <c r="E194">
        <v>2030</v>
      </c>
      <c r="F194" t="s">
        <v>2134</v>
      </c>
      <c r="G194">
        <v>2200</v>
      </c>
      <c r="I194">
        <v>2021</v>
      </c>
      <c r="J194" t="s">
        <v>1358</v>
      </c>
      <c r="L194" s="11"/>
      <c r="M194">
        <v>2200</v>
      </c>
      <c r="N194" s="2">
        <v>44501</v>
      </c>
      <c r="O194" t="s">
        <v>1354</v>
      </c>
      <c r="Q194" t="s">
        <v>2135</v>
      </c>
      <c r="R194" t="s">
        <v>576</v>
      </c>
    </row>
    <row r="195" spans="1:18" hidden="1" x14ac:dyDescent="0.25">
      <c r="A195" s="11"/>
      <c r="B195" t="s">
        <v>578</v>
      </c>
      <c r="C195" t="s">
        <v>3924</v>
      </c>
      <c r="D195">
        <v>2021</v>
      </c>
      <c r="E195">
        <v>2030</v>
      </c>
      <c r="F195" t="s">
        <v>2136</v>
      </c>
      <c r="G195">
        <v>1100</v>
      </c>
      <c r="I195">
        <v>2021</v>
      </c>
      <c r="J195" t="s">
        <v>1358</v>
      </c>
      <c r="L195" s="11"/>
      <c r="M195">
        <v>1100</v>
      </c>
      <c r="N195" s="2">
        <v>44501</v>
      </c>
      <c r="O195" t="s">
        <v>1394</v>
      </c>
      <c r="Q195" t="s">
        <v>2137</v>
      </c>
      <c r="R195" t="s">
        <v>579</v>
      </c>
    </row>
    <row r="196" spans="1:18" hidden="1" x14ac:dyDescent="0.25">
      <c r="A196" s="11"/>
      <c r="B196" t="s">
        <v>582</v>
      </c>
      <c r="C196" t="s">
        <v>3924</v>
      </c>
      <c r="D196">
        <v>2021</v>
      </c>
      <c r="E196">
        <v>2030</v>
      </c>
      <c r="F196" t="s">
        <v>2138</v>
      </c>
      <c r="G196">
        <v>2750</v>
      </c>
      <c r="I196">
        <v>2021</v>
      </c>
      <c r="J196" t="s">
        <v>1358</v>
      </c>
      <c r="L196" s="11"/>
      <c r="M196">
        <v>2750</v>
      </c>
      <c r="N196" s="2">
        <v>44501</v>
      </c>
      <c r="O196" t="s">
        <v>1394</v>
      </c>
      <c r="Q196" t="s">
        <v>2139</v>
      </c>
      <c r="R196" t="s">
        <v>583</v>
      </c>
    </row>
    <row r="197" spans="1:18" hidden="1" x14ac:dyDescent="0.25">
      <c r="A197" s="11"/>
      <c r="B197" t="s">
        <v>586</v>
      </c>
      <c r="C197" t="s">
        <v>3924</v>
      </c>
      <c r="D197">
        <v>2021</v>
      </c>
      <c r="E197">
        <v>2031</v>
      </c>
      <c r="F197" t="s">
        <v>1514</v>
      </c>
      <c r="G197">
        <v>2750</v>
      </c>
      <c r="I197">
        <v>2022</v>
      </c>
      <c r="J197" t="s">
        <v>1358</v>
      </c>
      <c r="L197" s="11"/>
      <c r="M197">
        <v>2750</v>
      </c>
      <c r="N197" s="2">
        <v>44866</v>
      </c>
      <c r="O197" t="s">
        <v>1354</v>
      </c>
      <c r="Q197" t="s">
        <v>1515</v>
      </c>
      <c r="R197" t="s">
        <v>587</v>
      </c>
    </row>
    <row r="198" spans="1:18" hidden="1" x14ac:dyDescent="0.25">
      <c r="A198" s="11"/>
      <c r="B198" t="s">
        <v>589</v>
      </c>
      <c r="C198" t="s">
        <v>3924</v>
      </c>
      <c r="D198">
        <v>2021</v>
      </c>
      <c r="E198">
        <v>2031</v>
      </c>
      <c r="F198" t="s">
        <v>1516</v>
      </c>
      <c r="G198">
        <v>2750</v>
      </c>
      <c r="I198">
        <v>2022</v>
      </c>
      <c r="J198" t="s">
        <v>1358</v>
      </c>
      <c r="L198" s="11"/>
      <c r="M198">
        <v>2750</v>
      </c>
      <c r="N198" s="2">
        <v>44866</v>
      </c>
      <c r="O198" t="s">
        <v>1354</v>
      </c>
      <c r="Q198" t="s">
        <v>1517</v>
      </c>
      <c r="R198" t="s">
        <v>590</v>
      </c>
    </row>
    <row r="199" spans="1:18" hidden="1" x14ac:dyDescent="0.25">
      <c r="A199" s="11"/>
      <c r="B199" t="s">
        <v>592</v>
      </c>
      <c r="C199" t="s">
        <v>3924</v>
      </c>
      <c r="D199">
        <v>2021</v>
      </c>
      <c r="E199">
        <v>2031</v>
      </c>
      <c r="F199" t="s">
        <v>1518</v>
      </c>
      <c r="G199">
        <v>2750</v>
      </c>
      <c r="I199">
        <v>2022</v>
      </c>
      <c r="J199" t="s">
        <v>1358</v>
      </c>
      <c r="L199" s="11"/>
      <c r="M199">
        <v>2750</v>
      </c>
      <c r="N199" s="2">
        <v>44866</v>
      </c>
      <c r="O199" t="s">
        <v>1354</v>
      </c>
      <c r="Q199" t="s">
        <v>1519</v>
      </c>
      <c r="R199" t="s">
        <v>593</v>
      </c>
    </row>
    <row r="200" spans="1:18" hidden="1" x14ac:dyDescent="0.25">
      <c r="A200" s="11"/>
      <c r="B200" t="s">
        <v>595</v>
      </c>
      <c r="C200" t="s">
        <v>3924</v>
      </c>
      <c r="D200">
        <v>2021</v>
      </c>
      <c r="E200">
        <v>2031</v>
      </c>
      <c r="F200" t="s">
        <v>1520</v>
      </c>
      <c r="G200">
        <v>5600</v>
      </c>
      <c r="I200">
        <v>2022</v>
      </c>
      <c r="J200" t="s">
        <v>1358</v>
      </c>
      <c r="L200" s="11"/>
      <c r="M200">
        <v>5600</v>
      </c>
      <c r="N200" s="2">
        <v>44866</v>
      </c>
      <c r="O200" t="s">
        <v>1354</v>
      </c>
      <c r="Q200" t="s">
        <v>1521</v>
      </c>
      <c r="R200" t="s">
        <v>596</v>
      </c>
    </row>
    <row r="201" spans="1:18" hidden="1" x14ac:dyDescent="0.25">
      <c r="A201" s="11"/>
      <c r="B201" t="s">
        <v>598</v>
      </c>
      <c r="C201" t="s">
        <v>3924</v>
      </c>
      <c r="D201">
        <v>2021</v>
      </c>
      <c r="E201">
        <v>2031</v>
      </c>
      <c r="F201" t="s">
        <v>1522</v>
      </c>
      <c r="G201">
        <v>2200</v>
      </c>
      <c r="I201">
        <v>2022</v>
      </c>
      <c r="J201" t="s">
        <v>1358</v>
      </c>
      <c r="L201" s="11"/>
      <c r="M201">
        <v>2200</v>
      </c>
      <c r="N201" s="2">
        <v>44866</v>
      </c>
      <c r="O201" t="s">
        <v>1354</v>
      </c>
      <c r="Q201" t="s">
        <v>1523</v>
      </c>
      <c r="R201" t="s">
        <v>599</v>
      </c>
    </row>
    <row r="202" spans="1:18" hidden="1" x14ac:dyDescent="0.25">
      <c r="A202" s="11"/>
      <c r="B202" t="s">
        <v>602</v>
      </c>
      <c r="C202" t="s">
        <v>3924</v>
      </c>
      <c r="D202">
        <v>2021</v>
      </c>
      <c r="E202">
        <v>2031</v>
      </c>
      <c r="F202" t="s">
        <v>1913</v>
      </c>
      <c r="G202">
        <v>2750</v>
      </c>
      <c r="I202">
        <v>2022</v>
      </c>
      <c r="J202" t="s">
        <v>1358</v>
      </c>
      <c r="L202" s="11"/>
      <c r="M202">
        <v>2750</v>
      </c>
      <c r="N202" s="2">
        <v>44866</v>
      </c>
      <c r="O202" t="s">
        <v>1354</v>
      </c>
      <c r="Q202" t="s">
        <v>1914</v>
      </c>
      <c r="R202" t="s">
        <v>603</v>
      </c>
    </row>
    <row r="203" spans="1:18" hidden="1" x14ac:dyDescent="0.25">
      <c r="A203" s="11"/>
      <c r="B203" t="s">
        <v>605</v>
      </c>
      <c r="C203" t="s">
        <v>3924</v>
      </c>
      <c r="D203">
        <v>2021</v>
      </c>
      <c r="E203">
        <v>2031</v>
      </c>
      <c r="F203" t="s">
        <v>1969</v>
      </c>
      <c r="G203">
        <v>2750</v>
      </c>
      <c r="I203">
        <v>2022</v>
      </c>
      <c r="J203" t="s">
        <v>1358</v>
      </c>
      <c r="L203" s="11"/>
      <c r="M203">
        <v>2750</v>
      </c>
      <c r="N203" s="2">
        <v>44866</v>
      </c>
      <c r="O203" t="s">
        <v>1354</v>
      </c>
      <c r="Q203" t="s">
        <v>1970</v>
      </c>
      <c r="R203" t="s">
        <v>606</v>
      </c>
    </row>
    <row r="204" spans="1:18" hidden="1" x14ac:dyDescent="0.25">
      <c r="A204" s="11"/>
      <c r="B204" t="s">
        <v>608</v>
      </c>
      <c r="C204" t="s">
        <v>3924</v>
      </c>
      <c r="D204">
        <v>2021</v>
      </c>
      <c r="E204">
        <v>2031</v>
      </c>
      <c r="F204" t="s">
        <v>1543</v>
      </c>
      <c r="G204">
        <v>4716</v>
      </c>
      <c r="I204">
        <v>2022</v>
      </c>
      <c r="J204" t="s">
        <v>1358</v>
      </c>
      <c r="L204" s="11"/>
      <c r="M204">
        <v>4716</v>
      </c>
      <c r="N204" s="2">
        <v>44866</v>
      </c>
      <c r="O204" t="s">
        <v>1354</v>
      </c>
      <c r="Q204" t="s">
        <v>1544</v>
      </c>
      <c r="R204" t="s">
        <v>609</v>
      </c>
    </row>
    <row r="205" spans="1:18" hidden="1" x14ac:dyDescent="0.25">
      <c r="A205" s="11"/>
      <c r="B205" t="s">
        <v>611</v>
      </c>
      <c r="C205" t="s">
        <v>3924</v>
      </c>
      <c r="D205">
        <v>2021</v>
      </c>
      <c r="E205">
        <v>2031</v>
      </c>
      <c r="F205" t="s">
        <v>1637</v>
      </c>
      <c r="G205">
        <v>4400</v>
      </c>
      <c r="I205">
        <v>2022</v>
      </c>
      <c r="J205" t="s">
        <v>1358</v>
      </c>
      <c r="L205" s="11"/>
      <c r="M205">
        <v>4400</v>
      </c>
      <c r="N205" s="2">
        <v>44866</v>
      </c>
      <c r="O205" t="s">
        <v>1354</v>
      </c>
      <c r="Q205" t="s">
        <v>1638</v>
      </c>
      <c r="R205" t="s">
        <v>612</v>
      </c>
    </row>
    <row r="206" spans="1:18" hidden="1" x14ac:dyDescent="0.25">
      <c r="A206" s="11"/>
      <c r="B206" t="s">
        <v>614</v>
      </c>
      <c r="C206" t="s">
        <v>3924</v>
      </c>
      <c r="D206">
        <v>2021</v>
      </c>
      <c r="E206">
        <v>2031</v>
      </c>
      <c r="F206" t="s">
        <v>1526</v>
      </c>
      <c r="G206">
        <v>2200</v>
      </c>
      <c r="I206">
        <v>2022</v>
      </c>
      <c r="J206" t="s">
        <v>1358</v>
      </c>
      <c r="L206" s="11"/>
      <c r="M206">
        <v>2200</v>
      </c>
      <c r="N206" s="2">
        <v>44866</v>
      </c>
      <c r="O206" t="s">
        <v>1354</v>
      </c>
      <c r="Q206" t="s">
        <v>1527</v>
      </c>
      <c r="R206" t="s">
        <v>615</v>
      </c>
    </row>
    <row r="207" spans="1:18" hidden="1" x14ac:dyDescent="0.25">
      <c r="A207" s="11"/>
      <c r="B207" t="s">
        <v>617</v>
      </c>
      <c r="C207" t="s">
        <v>3924</v>
      </c>
      <c r="D207">
        <v>2021</v>
      </c>
      <c r="E207">
        <v>2031</v>
      </c>
      <c r="F207" t="s">
        <v>1528</v>
      </c>
      <c r="G207">
        <v>2750</v>
      </c>
      <c r="I207">
        <v>2022</v>
      </c>
      <c r="J207" t="s">
        <v>1358</v>
      </c>
      <c r="L207" s="11"/>
      <c r="M207">
        <v>2750</v>
      </c>
      <c r="N207" s="2">
        <v>44866</v>
      </c>
      <c r="O207" t="s">
        <v>1354</v>
      </c>
      <c r="Q207" t="s">
        <v>1529</v>
      </c>
      <c r="R207" t="s">
        <v>618</v>
      </c>
    </row>
    <row r="208" spans="1:18" hidden="1" x14ac:dyDescent="0.25">
      <c r="A208" s="11"/>
      <c r="B208" t="s">
        <v>620</v>
      </c>
      <c r="C208" t="s">
        <v>3924</v>
      </c>
      <c r="D208">
        <v>2021</v>
      </c>
      <c r="E208">
        <v>2031</v>
      </c>
      <c r="F208" t="s">
        <v>1530</v>
      </c>
      <c r="G208">
        <v>2750</v>
      </c>
      <c r="I208">
        <v>2022</v>
      </c>
      <c r="J208" t="s">
        <v>1358</v>
      </c>
      <c r="L208" s="11"/>
      <c r="M208">
        <v>2750</v>
      </c>
      <c r="N208" s="2">
        <v>44866</v>
      </c>
      <c r="O208" t="s">
        <v>1354</v>
      </c>
      <c r="Q208" t="s">
        <v>1531</v>
      </c>
      <c r="R208" t="s">
        <v>621</v>
      </c>
    </row>
    <row r="209" spans="1:18" hidden="1" x14ac:dyDescent="0.25">
      <c r="A209" s="11"/>
      <c r="B209" t="s">
        <v>623</v>
      </c>
      <c r="C209" t="s">
        <v>3924</v>
      </c>
      <c r="D209">
        <v>2021</v>
      </c>
      <c r="E209">
        <v>2032</v>
      </c>
      <c r="F209" t="s">
        <v>1703</v>
      </c>
      <c r="G209">
        <v>2750</v>
      </c>
      <c r="I209">
        <v>2023</v>
      </c>
      <c r="J209" t="s">
        <v>1358</v>
      </c>
      <c r="L209" s="11"/>
      <c r="M209">
        <v>2750</v>
      </c>
      <c r="N209" s="2">
        <v>45231</v>
      </c>
      <c r="O209" t="s">
        <v>1354</v>
      </c>
      <c r="Q209" t="s">
        <v>1704</v>
      </c>
      <c r="R209" t="s">
        <v>624</v>
      </c>
    </row>
    <row r="210" spans="1:18" hidden="1" x14ac:dyDescent="0.25">
      <c r="A210" s="11"/>
      <c r="B210" t="s">
        <v>626</v>
      </c>
      <c r="C210" t="s">
        <v>3924</v>
      </c>
      <c r="D210">
        <v>2022</v>
      </c>
      <c r="E210">
        <v>2032</v>
      </c>
      <c r="F210" t="s">
        <v>1705</v>
      </c>
      <c r="G210">
        <v>2800</v>
      </c>
      <c r="H210" t="s">
        <v>1706</v>
      </c>
      <c r="I210">
        <v>2023</v>
      </c>
      <c r="J210" t="s">
        <v>1358</v>
      </c>
      <c r="L210" s="11"/>
      <c r="M210">
        <v>3542</v>
      </c>
      <c r="N210" s="2">
        <v>45231</v>
      </c>
      <c r="O210" t="s">
        <v>1354</v>
      </c>
      <c r="Q210" t="s">
        <v>1707</v>
      </c>
      <c r="R210" t="s">
        <v>627</v>
      </c>
    </row>
    <row r="211" spans="1:18" hidden="1" x14ac:dyDescent="0.25">
      <c r="A211" s="11"/>
      <c r="B211" t="s">
        <v>629</v>
      </c>
      <c r="C211" t="s">
        <v>3924</v>
      </c>
      <c r="D211">
        <v>2021</v>
      </c>
      <c r="E211">
        <v>2032</v>
      </c>
      <c r="F211" t="s">
        <v>2117</v>
      </c>
      <c r="G211">
        <v>2750</v>
      </c>
      <c r="I211">
        <v>2023</v>
      </c>
      <c r="J211" t="s">
        <v>1358</v>
      </c>
      <c r="L211" s="11"/>
      <c r="M211">
        <v>2750</v>
      </c>
      <c r="N211" s="2">
        <v>45231</v>
      </c>
      <c r="O211" t="s">
        <v>1354</v>
      </c>
      <c r="Q211" t="s">
        <v>2118</v>
      </c>
      <c r="R211" t="s">
        <v>630</v>
      </c>
    </row>
    <row r="212" spans="1:18" hidden="1" x14ac:dyDescent="0.25">
      <c r="A212" s="11"/>
      <c r="B212" t="s">
        <v>633</v>
      </c>
      <c r="C212" t="s">
        <v>3924</v>
      </c>
      <c r="D212">
        <v>2022</v>
      </c>
      <c r="E21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2033</v>
      </c>
      <c r="F212" t="s">
        <v>1535</v>
      </c>
      <c r="G212">
        <v>420</v>
      </c>
      <c r="H212" t="s">
        <v>1536</v>
      </c>
      <c r="I212">
        <v>2023</v>
      </c>
      <c r="J212" t="s">
        <v>1358</v>
      </c>
      <c r="L212" s="11"/>
      <c r="M212">
        <v>2750</v>
      </c>
      <c r="N212" s="2">
        <v>45231</v>
      </c>
      <c r="O212" t="s">
        <v>1537</v>
      </c>
      <c r="P212" t="s">
        <v>1538</v>
      </c>
      <c r="Q212" t="s">
        <v>1539</v>
      </c>
      <c r="R212" t="s">
        <v>634</v>
      </c>
    </row>
    <row r="213" spans="1:18" hidden="1" x14ac:dyDescent="0.25">
      <c r="A213" s="11"/>
      <c r="B213" t="s">
        <v>636</v>
      </c>
      <c r="C213" t="s">
        <v>3924</v>
      </c>
      <c r="D213">
        <v>2022</v>
      </c>
      <c r="E213">
        <v>2032</v>
      </c>
      <c r="F213" t="s">
        <v>2162</v>
      </c>
      <c r="G213">
        <v>1100</v>
      </c>
      <c r="I213">
        <v>2023</v>
      </c>
      <c r="J213" t="s">
        <v>1358</v>
      </c>
      <c r="L213" s="11"/>
      <c r="M213">
        <v>1100</v>
      </c>
      <c r="N213" s="2">
        <v>45231</v>
      </c>
      <c r="O213" t="s">
        <v>1354</v>
      </c>
      <c r="Q213" t="s">
        <v>2163</v>
      </c>
      <c r="R213" t="s">
        <v>587</v>
      </c>
    </row>
    <row r="214" spans="1:18" hidden="1" x14ac:dyDescent="0.25">
      <c r="A214" s="11"/>
      <c r="B214" t="s">
        <v>637</v>
      </c>
      <c r="C214" t="s">
        <v>3924</v>
      </c>
      <c r="D214">
        <v>2022</v>
      </c>
      <c r="E214">
        <v>2032</v>
      </c>
      <c r="F214" t="s">
        <v>1697</v>
      </c>
      <c r="G214">
        <v>1100</v>
      </c>
      <c r="I214">
        <v>2023</v>
      </c>
      <c r="J214" t="s">
        <v>1358</v>
      </c>
      <c r="L214" s="11"/>
      <c r="M214">
        <v>1100</v>
      </c>
      <c r="N214" s="2">
        <v>45231</v>
      </c>
      <c r="O214" t="s">
        <v>1354</v>
      </c>
      <c r="Q214" t="s">
        <v>1698</v>
      </c>
      <c r="R214" t="s">
        <v>590</v>
      </c>
    </row>
    <row r="215" spans="1:18" hidden="1" x14ac:dyDescent="0.25">
      <c r="A215" s="11"/>
      <c r="B215" t="s">
        <v>638</v>
      </c>
      <c r="C215" t="s">
        <v>3924</v>
      </c>
      <c r="D215">
        <v>2021</v>
      </c>
      <c r="E215">
        <v>2032</v>
      </c>
      <c r="F215" t="s">
        <v>1711</v>
      </c>
      <c r="G215">
        <v>2750</v>
      </c>
      <c r="I215">
        <v>2023</v>
      </c>
      <c r="J215" t="s">
        <v>1358</v>
      </c>
      <c r="L215" s="11"/>
      <c r="M215">
        <v>2750</v>
      </c>
      <c r="N215" s="2">
        <v>45231</v>
      </c>
      <c r="O215" t="s">
        <v>1354</v>
      </c>
      <c r="Q215" t="s">
        <v>1712</v>
      </c>
      <c r="R215" t="s">
        <v>639</v>
      </c>
    </row>
    <row r="216" spans="1:18" hidden="1" x14ac:dyDescent="0.25">
      <c r="A216" s="11"/>
      <c r="B216" t="s">
        <v>641</v>
      </c>
      <c r="C216" t="s">
        <v>3924</v>
      </c>
      <c r="D216">
        <v>2022</v>
      </c>
      <c r="E21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2033</v>
      </c>
      <c r="F216" t="s">
        <v>1540</v>
      </c>
      <c r="G216">
        <v>200</v>
      </c>
      <c r="H216" t="s">
        <v>1541</v>
      </c>
      <c r="I216">
        <v>2023</v>
      </c>
      <c r="J216" t="s">
        <v>1358</v>
      </c>
      <c r="L216" s="11"/>
      <c r="M216">
        <v>550</v>
      </c>
      <c r="N216" s="2">
        <v>45231</v>
      </c>
      <c r="O216" t="s">
        <v>1537</v>
      </c>
      <c r="P216" t="s">
        <v>1538</v>
      </c>
      <c r="Q216" t="s">
        <v>1542</v>
      </c>
      <c r="R216" t="s">
        <v>642</v>
      </c>
    </row>
    <row r="217" spans="1:18" hidden="1" x14ac:dyDescent="0.25">
      <c r="A217" s="11"/>
      <c r="B217" t="s">
        <v>644</v>
      </c>
      <c r="C217" t="s">
        <v>3924</v>
      </c>
      <c r="D217">
        <v>2021</v>
      </c>
      <c r="E217">
        <v>2032</v>
      </c>
      <c r="F217" t="s">
        <v>1713</v>
      </c>
      <c r="G217">
        <v>1100</v>
      </c>
      <c r="I217">
        <v>2023</v>
      </c>
      <c r="J217" t="s">
        <v>1358</v>
      </c>
      <c r="L217" s="11"/>
      <c r="M217">
        <v>1100</v>
      </c>
      <c r="N217" s="2">
        <v>45231</v>
      </c>
      <c r="O217" t="s">
        <v>1354</v>
      </c>
      <c r="Q217" t="s">
        <v>1714</v>
      </c>
      <c r="R217" t="s">
        <v>645</v>
      </c>
    </row>
    <row r="218" spans="1:18" hidden="1" x14ac:dyDescent="0.25">
      <c r="A218" s="11"/>
      <c r="B218" t="s">
        <v>647</v>
      </c>
      <c r="C218" t="s">
        <v>3924</v>
      </c>
      <c r="D218">
        <v>2022</v>
      </c>
      <c r="E218">
        <v>2032</v>
      </c>
      <c r="F218" t="s">
        <v>2164</v>
      </c>
      <c r="G218">
        <v>2650</v>
      </c>
      <c r="H218" t="s">
        <v>2165</v>
      </c>
      <c r="I218">
        <v>2023</v>
      </c>
      <c r="J218" t="s">
        <v>1358</v>
      </c>
      <c r="L218" s="11"/>
      <c r="M218">
        <v>4400</v>
      </c>
      <c r="N218" s="2">
        <v>45231</v>
      </c>
      <c r="O218" t="s">
        <v>1354</v>
      </c>
      <c r="P218" t="s">
        <v>1385</v>
      </c>
      <c r="Q218" t="s">
        <v>2166</v>
      </c>
      <c r="R218" t="s">
        <v>648</v>
      </c>
    </row>
    <row r="219" spans="1:18" hidden="1" x14ac:dyDescent="0.25">
      <c r="A219" s="11"/>
      <c r="B219" t="s">
        <v>650</v>
      </c>
      <c r="C219" t="s">
        <v>3924</v>
      </c>
      <c r="D219">
        <v>2022</v>
      </c>
      <c r="E219">
        <v>2032</v>
      </c>
      <c r="F219" t="s">
        <v>1699</v>
      </c>
      <c r="G219">
        <v>1650</v>
      </c>
      <c r="I219">
        <v>2023</v>
      </c>
      <c r="J219" t="s">
        <v>1358</v>
      </c>
      <c r="L219" s="11"/>
      <c r="M219">
        <v>1650</v>
      </c>
      <c r="N219" s="2">
        <v>45231</v>
      </c>
      <c r="O219" t="s">
        <v>1354</v>
      </c>
      <c r="Q219" t="s">
        <v>1700</v>
      </c>
      <c r="R219" t="s">
        <v>612</v>
      </c>
    </row>
    <row r="220" spans="1:18" hidden="1" x14ac:dyDescent="0.25">
      <c r="A220" s="11"/>
      <c r="B220" t="s">
        <v>651</v>
      </c>
      <c r="C220" t="s">
        <v>3924</v>
      </c>
      <c r="D220">
        <v>2022</v>
      </c>
      <c r="E220">
        <v>2032</v>
      </c>
      <c r="F220" t="s">
        <v>1532</v>
      </c>
      <c r="G220">
        <v>1650</v>
      </c>
      <c r="H220" t="s">
        <v>1533</v>
      </c>
      <c r="I220">
        <v>2023</v>
      </c>
      <c r="J220" t="s">
        <v>1358</v>
      </c>
      <c r="L220" s="11"/>
      <c r="M220">
        <v>2750</v>
      </c>
      <c r="N220" s="2">
        <v>45231</v>
      </c>
      <c r="O220" t="s">
        <v>1354</v>
      </c>
      <c r="P220" t="s">
        <v>1385</v>
      </c>
      <c r="Q220" t="s">
        <v>1534</v>
      </c>
      <c r="R220" t="s">
        <v>652</v>
      </c>
    </row>
    <row r="221" spans="1:18" hidden="1" x14ac:dyDescent="0.25">
      <c r="A221" s="11"/>
      <c r="B221" t="s">
        <v>654</v>
      </c>
      <c r="C221" t="s">
        <v>3924</v>
      </c>
      <c r="D221">
        <v>2021</v>
      </c>
      <c r="E221">
        <v>2032</v>
      </c>
      <c r="F221" t="s">
        <v>1715</v>
      </c>
      <c r="G221">
        <v>2750</v>
      </c>
      <c r="I221">
        <v>2023</v>
      </c>
      <c r="J221" t="s">
        <v>1358</v>
      </c>
      <c r="L221" s="11"/>
      <c r="M221">
        <v>2750</v>
      </c>
      <c r="N221" s="2">
        <v>45231</v>
      </c>
      <c r="O221" t="s">
        <v>1354</v>
      </c>
      <c r="Q221" t="s">
        <v>1716</v>
      </c>
      <c r="R221" t="s">
        <v>655</v>
      </c>
    </row>
    <row r="222" spans="1:18" hidden="1" x14ac:dyDescent="0.25">
      <c r="A222" s="11"/>
      <c r="B222" t="s">
        <v>657</v>
      </c>
      <c r="C222" t="s">
        <v>3924</v>
      </c>
      <c r="D222">
        <v>2022</v>
      </c>
      <c r="E222">
        <v>2032</v>
      </c>
      <c r="F222" t="s">
        <v>1701</v>
      </c>
      <c r="G222">
        <v>11000</v>
      </c>
      <c r="I222">
        <v>2023</v>
      </c>
      <c r="J222" t="s">
        <v>1358</v>
      </c>
      <c r="L222" s="11"/>
      <c r="M222">
        <v>11000</v>
      </c>
      <c r="N222" s="2">
        <v>45231</v>
      </c>
      <c r="O222" t="s">
        <v>1354</v>
      </c>
      <c r="Q222" t="s">
        <v>1702</v>
      </c>
      <c r="R222" t="s">
        <v>618</v>
      </c>
    </row>
    <row r="223" spans="1:18" hidden="1" x14ac:dyDescent="0.25">
      <c r="A223" s="11"/>
      <c r="B223" t="s">
        <v>658</v>
      </c>
      <c r="C223" t="s">
        <v>3924</v>
      </c>
      <c r="D223">
        <v>2021</v>
      </c>
      <c r="E223">
        <v>2032</v>
      </c>
      <c r="F223" t="s">
        <v>1717</v>
      </c>
      <c r="G223">
        <v>2750</v>
      </c>
      <c r="I223">
        <v>2023</v>
      </c>
      <c r="J223" t="s">
        <v>1358</v>
      </c>
      <c r="L223" s="11"/>
      <c r="M223">
        <v>2750</v>
      </c>
      <c r="N223" s="2">
        <v>45231</v>
      </c>
      <c r="O223" t="s">
        <v>1354</v>
      </c>
      <c r="Q223" t="s">
        <v>1718</v>
      </c>
      <c r="R223" t="s">
        <v>659</v>
      </c>
    </row>
    <row r="224" spans="1:18" hidden="1" x14ac:dyDescent="0.25">
      <c r="A224" s="11"/>
      <c r="B224" t="s">
        <v>661</v>
      </c>
      <c r="C224" t="s">
        <v>3924</v>
      </c>
      <c r="D224">
        <v>2022</v>
      </c>
      <c r="E224">
        <v>2033</v>
      </c>
      <c r="F224" t="s">
        <v>2178</v>
      </c>
      <c r="G224">
        <v>550</v>
      </c>
      <c r="I224">
        <v>2024</v>
      </c>
      <c r="J224" t="s">
        <v>1358</v>
      </c>
      <c r="K224" t="s">
        <v>1359</v>
      </c>
      <c r="L224" s="11"/>
      <c r="M224">
        <v>550</v>
      </c>
      <c r="N224" s="2">
        <v>45562</v>
      </c>
      <c r="O224" t="s">
        <v>1354</v>
      </c>
      <c r="Q224" t="s">
        <v>2179</v>
      </c>
      <c r="R224" t="s">
        <v>662</v>
      </c>
    </row>
    <row r="225" spans="1:18" hidden="1" x14ac:dyDescent="0.25">
      <c r="A225" s="11"/>
      <c r="B225" t="s">
        <v>664</v>
      </c>
      <c r="C225" t="s">
        <v>3924</v>
      </c>
      <c r="D225">
        <v>2023</v>
      </c>
      <c r="E225">
        <v>2033</v>
      </c>
      <c r="F225" t="s">
        <v>2180</v>
      </c>
      <c r="G225">
        <v>550</v>
      </c>
      <c r="I225">
        <v>2024</v>
      </c>
      <c r="J225" t="s">
        <v>1358</v>
      </c>
      <c r="K225" t="s">
        <v>1359</v>
      </c>
      <c r="L225" s="11"/>
      <c r="M225">
        <v>550</v>
      </c>
      <c r="N225" s="2">
        <v>45584</v>
      </c>
      <c r="O225" t="s">
        <v>1354</v>
      </c>
      <c r="Q225" t="s">
        <v>2181</v>
      </c>
      <c r="R225" t="s">
        <v>665</v>
      </c>
    </row>
    <row r="226" spans="1:18" hidden="1" x14ac:dyDescent="0.25">
      <c r="A226" s="11"/>
      <c r="B226" t="s">
        <v>667</v>
      </c>
      <c r="C226" t="s">
        <v>3924</v>
      </c>
      <c r="D226">
        <v>2023</v>
      </c>
      <c r="E226">
        <v>2033</v>
      </c>
      <c r="F226" t="s">
        <v>2182</v>
      </c>
      <c r="G226">
        <v>1100</v>
      </c>
      <c r="I226">
        <v>2024</v>
      </c>
      <c r="J226" t="s">
        <v>1358</v>
      </c>
      <c r="K226" t="s">
        <v>1359</v>
      </c>
      <c r="L226" s="11"/>
      <c r="M226">
        <v>1100</v>
      </c>
      <c r="N226" s="2">
        <v>45560</v>
      </c>
      <c r="O226" t="s">
        <v>1354</v>
      </c>
      <c r="Q226" t="s">
        <v>2183</v>
      </c>
      <c r="R226" t="s">
        <v>668</v>
      </c>
    </row>
    <row r="227" spans="1:18" hidden="1" x14ac:dyDescent="0.25">
      <c r="A227" s="11"/>
      <c r="B227" t="s">
        <v>671</v>
      </c>
      <c r="C227" t="s">
        <v>3924</v>
      </c>
      <c r="D227">
        <v>2022</v>
      </c>
      <c r="E227">
        <v>2033</v>
      </c>
      <c r="F227" t="s">
        <v>2184</v>
      </c>
      <c r="G227">
        <v>550</v>
      </c>
      <c r="I227">
        <v>2024</v>
      </c>
      <c r="J227" t="s">
        <v>1358</v>
      </c>
      <c r="K227" t="s">
        <v>1359</v>
      </c>
      <c r="L227" s="11"/>
      <c r="M227">
        <v>550</v>
      </c>
      <c r="N227" s="2">
        <v>45554</v>
      </c>
      <c r="O227" t="s">
        <v>1354</v>
      </c>
      <c r="Q227" t="s">
        <v>2185</v>
      </c>
      <c r="R227" t="s">
        <v>672</v>
      </c>
    </row>
    <row r="228" spans="1:18" hidden="1" x14ac:dyDescent="0.25">
      <c r="A228" s="11"/>
      <c r="B228" t="s">
        <v>674</v>
      </c>
      <c r="C228" t="s">
        <v>3924</v>
      </c>
      <c r="D228">
        <v>2022</v>
      </c>
      <c r="E228">
        <v>2033</v>
      </c>
      <c r="F228" t="s">
        <v>2186</v>
      </c>
      <c r="G228">
        <v>550</v>
      </c>
      <c r="I228">
        <v>2024</v>
      </c>
      <c r="J228" t="s">
        <v>1358</v>
      </c>
      <c r="K228" t="s">
        <v>1359</v>
      </c>
      <c r="L228" s="11"/>
      <c r="M228">
        <v>550</v>
      </c>
      <c r="N228" s="2">
        <v>45574</v>
      </c>
      <c r="O228" t="s">
        <v>1354</v>
      </c>
      <c r="Q228" t="s">
        <v>2187</v>
      </c>
      <c r="R228" t="s">
        <v>675</v>
      </c>
    </row>
    <row r="229" spans="1:18" hidden="1" x14ac:dyDescent="0.25">
      <c r="A229" s="11"/>
      <c r="B229" t="s">
        <v>677</v>
      </c>
      <c r="C229" t="s">
        <v>3924</v>
      </c>
      <c r="D229">
        <v>2023</v>
      </c>
      <c r="E229">
        <v>2033</v>
      </c>
      <c r="F229" t="s">
        <v>2188</v>
      </c>
      <c r="G229">
        <v>550</v>
      </c>
      <c r="I229">
        <v>2024</v>
      </c>
      <c r="J229" t="s">
        <v>1358</v>
      </c>
      <c r="K229" t="s">
        <v>1359</v>
      </c>
      <c r="L229" s="11"/>
      <c r="M229">
        <v>550</v>
      </c>
      <c r="N229" s="2">
        <v>45617</v>
      </c>
      <c r="O229" t="s">
        <v>1354</v>
      </c>
      <c r="Q229" t="s">
        <v>2189</v>
      </c>
      <c r="R229" t="s">
        <v>678</v>
      </c>
    </row>
    <row r="230" spans="1:18" hidden="1" x14ac:dyDescent="0.25">
      <c r="A230" s="11"/>
      <c r="B230" t="s">
        <v>680</v>
      </c>
      <c r="C230" t="s">
        <v>3924</v>
      </c>
      <c r="D230">
        <v>2023</v>
      </c>
      <c r="E230">
        <v>2033</v>
      </c>
      <c r="F230" t="s">
        <v>2190</v>
      </c>
      <c r="G230">
        <v>550</v>
      </c>
      <c r="I230">
        <v>2024</v>
      </c>
      <c r="J230" t="s">
        <v>1358</v>
      </c>
      <c r="K230" t="s">
        <v>1359</v>
      </c>
      <c r="L230" s="11"/>
      <c r="M230">
        <v>550</v>
      </c>
      <c r="N230" s="2">
        <v>45572</v>
      </c>
      <c r="O230" t="s">
        <v>1354</v>
      </c>
      <c r="Q230" t="s">
        <v>2191</v>
      </c>
      <c r="R230" t="s">
        <v>681</v>
      </c>
    </row>
    <row r="231" spans="1:18" hidden="1" x14ac:dyDescent="0.25">
      <c r="A231" s="11" t="s">
        <v>1356</v>
      </c>
      <c r="B231" t="s">
        <v>683</v>
      </c>
      <c r="C231" t="s">
        <v>3924</v>
      </c>
      <c r="D231">
        <v>2023</v>
      </c>
      <c r="E231">
        <v>2033</v>
      </c>
      <c r="F231" t="s">
        <v>1357</v>
      </c>
      <c r="G231">
        <v>1820</v>
      </c>
      <c r="I231">
        <v>2024</v>
      </c>
      <c r="J231" t="s">
        <v>1358</v>
      </c>
      <c r="K231" t="s">
        <v>1359</v>
      </c>
      <c r="L231" s="11"/>
      <c r="M231">
        <v>1820</v>
      </c>
      <c r="N231" s="2">
        <v>45654</v>
      </c>
      <c r="O231" t="s">
        <v>1354</v>
      </c>
      <c r="Q231" t="s">
        <v>1360</v>
      </c>
      <c r="R231" t="s">
        <v>668</v>
      </c>
    </row>
    <row r="232" spans="1:18" hidden="1" x14ac:dyDescent="0.25">
      <c r="A232" s="11"/>
      <c r="B232" t="s">
        <v>684</v>
      </c>
      <c r="C232" t="s">
        <v>3924</v>
      </c>
      <c r="D232">
        <v>2023</v>
      </c>
      <c r="E232">
        <v>2033</v>
      </c>
      <c r="F232" t="s">
        <v>2114</v>
      </c>
      <c r="G232">
        <v>1100</v>
      </c>
      <c r="I232">
        <v>2024</v>
      </c>
      <c r="J232" t="s">
        <v>1358</v>
      </c>
      <c r="K232" t="s">
        <v>1359</v>
      </c>
      <c r="L232" s="11"/>
      <c r="M232">
        <v>1100</v>
      </c>
      <c r="N232" s="2">
        <v>45587</v>
      </c>
      <c r="O232" t="s">
        <v>1354</v>
      </c>
      <c r="Q232" t="s">
        <v>2115</v>
      </c>
      <c r="R232" t="s">
        <v>685</v>
      </c>
    </row>
    <row r="233" spans="1:18" hidden="1" x14ac:dyDescent="0.25">
      <c r="A233" s="11"/>
      <c r="B233" t="s">
        <v>686</v>
      </c>
      <c r="C233" t="s">
        <v>3924</v>
      </c>
      <c r="D233">
        <v>2023</v>
      </c>
      <c r="E233">
        <v>2033</v>
      </c>
      <c r="F233" t="s">
        <v>2210</v>
      </c>
      <c r="G233">
        <v>550</v>
      </c>
      <c r="I233">
        <v>2024</v>
      </c>
      <c r="J233" t="s">
        <v>1358</v>
      </c>
      <c r="K233" t="s">
        <v>1359</v>
      </c>
      <c r="L233" s="11"/>
      <c r="M233">
        <v>550</v>
      </c>
      <c r="N233" s="2">
        <v>45656</v>
      </c>
      <c r="O233" t="s">
        <v>1354</v>
      </c>
      <c r="Q233" t="s">
        <v>2211</v>
      </c>
      <c r="R233" t="s">
        <v>687</v>
      </c>
    </row>
    <row r="234" spans="1:18" hidden="1" x14ac:dyDescent="0.25">
      <c r="A234" s="11"/>
      <c r="B234" t="s">
        <v>690</v>
      </c>
      <c r="C234" t="s">
        <v>3924</v>
      </c>
      <c r="D234">
        <v>2022</v>
      </c>
      <c r="E234">
        <v>2033</v>
      </c>
      <c r="F234" t="s">
        <v>2212</v>
      </c>
      <c r="G234">
        <v>550</v>
      </c>
      <c r="I234">
        <v>2024</v>
      </c>
      <c r="J234" t="s">
        <v>1358</v>
      </c>
      <c r="K234" t="s">
        <v>1359</v>
      </c>
      <c r="L234" s="11"/>
      <c r="M234">
        <v>550</v>
      </c>
      <c r="N234" s="2">
        <v>45560</v>
      </c>
      <c r="O234" t="s">
        <v>1354</v>
      </c>
      <c r="Q234" t="s">
        <v>2213</v>
      </c>
      <c r="R234" t="s">
        <v>691</v>
      </c>
    </row>
    <row r="235" spans="1:18" hidden="1" x14ac:dyDescent="0.25">
      <c r="A235" s="11"/>
      <c r="B235" t="s">
        <v>693</v>
      </c>
      <c r="C235" t="s">
        <v>3924</v>
      </c>
      <c r="D235">
        <v>2023</v>
      </c>
      <c r="E235">
        <v>2033</v>
      </c>
      <c r="F235" t="s">
        <v>2111</v>
      </c>
      <c r="G235">
        <v>1100</v>
      </c>
      <c r="H235" t="s">
        <v>2112</v>
      </c>
      <c r="I235">
        <v>2024</v>
      </c>
      <c r="J235" t="s">
        <v>1358</v>
      </c>
      <c r="K235" t="s">
        <v>1359</v>
      </c>
      <c r="L235" s="11"/>
      <c r="M235">
        <v>2750</v>
      </c>
      <c r="N235" s="2">
        <v>45618</v>
      </c>
      <c r="O235" t="s">
        <v>1354</v>
      </c>
      <c r="P235" t="s">
        <v>1385</v>
      </c>
      <c r="Q235" t="s">
        <v>2113</v>
      </c>
      <c r="R235" t="s">
        <v>668</v>
      </c>
    </row>
    <row r="236" spans="1:18" hidden="1" x14ac:dyDescent="0.25">
      <c r="A236" s="11"/>
      <c r="B236" t="s">
        <v>694</v>
      </c>
      <c r="C236" t="s">
        <v>3924</v>
      </c>
      <c r="D236">
        <v>2023</v>
      </c>
      <c r="E236">
        <v>2033</v>
      </c>
      <c r="F236" t="s">
        <v>1742</v>
      </c>
      <c r="G236">
        <v>550</v>
      </c>
      <c r="I236">
        <v>2024</v>
      </c>
      <c r="J236" t="s">
        <v>1358</v>
      </c>
      <c r="K236" t="s">
        <v>1359</v>
      </c>
      <c r="L236" s="11"/>
      <c r="M236">
        <v>550</v>
      </c>
      <c r="N236" s="2">
        <v>45643</v>
      </c>
      <c r="O236" t="s">
        <v>1354</v>
      </c>
      <c r="Q236" t="s">
        <v>1743</v>
      </c>
      <c r="R236" t="s">
        <v>695</v>
      </c>
    </row>
    <row r="237" spans="1:18" hidden="1" x14ac:dyDescent="0.25">
      <c r="A237" s="11"/>
      <c r="B237" t="s">
        <v>697</v>
      </c>
      <c r="C237" t="s">
        <v>3924</v>
      </c>
      <c r="D237">
        <v>2023</v>
      </c>
      <c r="E237">
        <v>2033</v>
      </c>
      <c r="F237" t="s">
        <v>1744</v>
      </c>
      <c r="G237">
        <v>550</v>
      </c>
      <c r="I237">
        <v>2024</v>
      </c>
      <c r="J237" t="s">
        <v>1358</v>
      </c>
      <c r="K237" t="s">
        <v>1359</v>
      </c>
      <c r="L237" s="11"/>
      <c r="M237">
        <v>550</v>
      </c>
      <c r="N237" s="2">
        <v>45640</v>
      </c>
      <c r="O237" t="s">
        <v>1354</v>
      </c>
      <c r="Q237" t="s">
        <v>1745</v>
      </c>
      <c r="R237" t="s">
        <v>698</v>
      </c>
    </row>
    <row r="238" spans="1:18" hidden="1" x14ac:dyDescent="0.25">
      <c r="A238" s="11"/>
      <c r="B238" t="s">
        <v>700</v>
      </c>
      <c r="C238" t="s">
        <v>3924</v>
      </c>
      <c r="D238">
        <v>2023</v>
      </c>
      <c r="E238">
        <v>2033</v>
      </c>
      <c r="F238" t="s">
        <v>1746</v>
      </c>
      <c r="G238">
        <v>1100</v>
      </c>
      <c r="I238">
        <v>2024</v>
      </c>
      <c r="J238" t="s">
        <v>1358</v>
      </c>
      <c r="K238" t="s">
        <v>1359</v>
      </c>
      <c r="L238" s="11"/>
      <c r="M238">
        <v>1100</v>
      </c>
      <c r="N238" s="2">
        <v>45575</v>
      </c>
      <c r="O238" t="s">
        <v>1354</v>
      </c>
      <c r="Q238" t="s">
        <v>1747</v>
      </c>
      <c r="R238" t="s">
        <v>701</v>
      </c>
    </row>
    <row r="239" spans="1:18" hidden="1" x14ac:dyDescent="0.25">
      <c r="A239" s="11"/>
      <c r="B239" t="s">
        <v>703</v>
      </c>
      <c r="C239" t="s">
        <v>3924</v>
      </c>
      <c r="D239">
        <v>2022</v>
      </c>
      <c r="E239">
        <v>2033</v>
      </c>
      <c r="F239" t="s">
        <v>1748</v>
      </c>
      <c r="G239">
        <v>550</v>
      </c>
      <c r="I239">
        <v>2024</v>
      </c>
      <c r="J239" t="s">
        <v>1358</v>
      </c>
      <c r="K239" t="s">
        <v>1359</v>
      </c>
      <c r="L239" s="11"/>
      <c r="M239">
        <v>550</v>
      </c>
      <c r="N239" s="2">
        <v>45570</v>
      </c>
      <c r="O239" t="s">
        <v>1354</v>
      </c>
      <c r="Q239" t="s">
        <v>1749</v>
      </c>
      <c r="R239" t="s">
        <v>704</v>
      </c>
    </row>
    <row r="240" spans="1:18" hidden="1" x14ac:dyDescent="0.25">
      <c r="A240" s="11"/>
      <c r="B240" t="s">
        <v>706</v>
      </c>
      <c r="C240" t="s">
        <v>3924</v>
      </c>
      <c r="D240">
        <v>2023</v>
      </c>
      <c r="E240">
        <v>2033</v>
      </c>
      <c r="F240" t="s">
        <v>1750</v>
      </c>
      <c r="G240">
        <v>1100</v>
      </c>
      <c r="I240">
        <v>2024</v>
      </c>
      <c r="J240" t="s">
        <v>1358</v>
      </c>
      <c r="K240" t="s">
        <v>1359</v>
      </c>
      <c r="L240" s="11"/>
      <c r="M240">
        <v>1100</v>
      </c>
      <c r="N240" s="2">
        <v>45643</v>
      </c>
      <c r="O240" t="s">
        <v>1354</v>
      </c>
      <c r="Q240" t="s">
        <v>1751</v>
      </c>
      <c r="R240" t="s">
        <v>668</v>
      </c>
    </row>
    <row r="241" spans="1:18" hidden="1" x14ac:dyDescent="0.25">
      <c r="A241" s="11"/>
      <c r="B241" t="s">
        <v>707</v>
      </c>
      <c r="C241" t="s">
        <v>3924</v>
      </c>
      <c r="D241">
        <v>2023</v>
      </c>
      <c r="E241">
        <v>2033</v>
      </c>
      <c r="F241" t="s">
        <v>1752</v>
      </c>
      <c r="G241">
        <v>1100</v>
      </c>
      <c r="I241">
        <v>2024</v>
      </c>
      <c r="J241" t="s">
        <v>1358</v>
      </c>
      <c r="K241" t="s">
        <v>1359</v>
      </c>
      <c r="L241" s="11"/>
      <c r="M241">
        <v>1100</v>
      </c>
      <c r="N241" s="2">
        <v>45569</v>
      </c>
      <c r="O241" t="s">
        <v>1354</v>
      </c>
      <c r="Q241" t="s">
        <v>1753</v>
      </c>
      <c r="R241" t="s">
        <v>708</v>
      </c>
    </row>
    <row r="242" spans="1:18" hidden="1" x14ac:dyDescent="0.25">
      <c r="A242" s="11"/>
      <c r="B242" t="s">
        <v>710</v>
      </c>
      <c r="C242" t="s">
        <v>3924</v>
      </c>
      <c r="D242">
        <v>2023</v>
      </c>
      <c r="E242">
        <v>2033</v>
      </c>
      <c r="F242" t="s">
        <v>1383</v>
      </c>
      <c r="G242">
        <v>550</v>
      </c>
      <c r="H242" t="s">
        <v>1384</v>
      </c>
      <c r="I242">
        <v>2024</v>
      </c>
      <c r="J242" t="s">
        <v>1358</v>
      </c>
      <c r="K242" t="s">
        <v>1359</v>
      </c>
      <c r="L242" s="11"/>
      <c r="M242">
        <v>550</v>
      </c>
      <c r="N242" s="2">
        <v>45659</v>
      </c>
      <c r="O242" t="s">
        <v>1354</v>
      </c>
      <c r="P242" t="s">
        <v>1385</v>
      </c>
      <c r="Q242" t="s">
        <v>1386</v>
      </c>
      <c r="R242" t="s">
        <v>711</v>
      </c>
    </row>
    <row r="243" spans="1:18" hidden="1" x14ac:dyDescent="0.25">
      <c r="A243" s="11"/>
      <c r="B243" t="s">
        <v>713</v>
      </c>
      <c r="C243" t="s">
        <v>3924</v>
      </c>
      <c r="D243">
        <v>2023</v>
      </c>
      <c r="E243">
        <v>2033</v>
      </c>
      <c r="F243" t="s">
        <v>2167</v>
      </c>
      <c r="G243">
        <v>1100</v>
      </c>
      <c r="I243">
        <v>2024</v>
      </c>
      <c r="J243" t="s">
        <v>1358</v>
      </c>
      <c r="K243" t="s">
        <v>1359</v>
      </c>
      <c r="L243" s="11"/>
      <c r="M243">
        <v>1100</v>
      </c>
      <c r="N243" s="2">
        <v>45572</v>
      </c>
      <c r="O243" t="s">
        <v>1354</v>
      </c>
      <c r="Q243" t="s">
        <v>2168</v>
      </c>
      <c r="R243" t="s">
        <v>714</v>
      </c>
    </row>
    <row r="244" spans="1:18" hidden="1" x14ac:dyDescent="0.25">
      <c r="A244" s="11"/>
      <c r="B244" t="s">
        <v>716</v>
      </c>
      <c r="C244" t="s">
        <v>3924</v>
      </c>
      <c r="D244">
        <v>2022</v>
      </c>
      <c r="E244">
        <v>2033</v>
      </c>
      <c r="F244" t="s">
        <v>2169</v>
      </c>
      <c r="G244">
        <v>550</v>
      </c>
      <c r="I244">
        <v>2024</v>
      </c>
      <c r="J244" t="s">
        <v>1358</v>
      </c>
      <c r="K244" t="s">
        <v>1359</v>
      </c>
      <c r="L244" s="11"/>
      <c r="M244">
        <v>550</v>
      </c>
      <c r="N244" s="2">
        <v>45576</v>
      </c>
      <c r="O244" t="s">
        <v>1354</v>
      </c>
      <c r="Q244" t="s">
        <v>2170</v>
      </c>
      <c r="R244" t="s">
        <v>668</v>
      </c>
    </row>
    <row r="245" spans="1:18" hidden="1" x14ac:dyDescent="0.25">
      <c r="A245" s="11"/>
      <c r="B245" t="s">
        <v>717</v>
      </c>
      <c r="C245" t="s">
        <v>3924</v>
      </c>
      <c r="D245">
        <v>2023</v>
      </c>
      <c r="E245">
        <v>2033</v>
      </c>
      <c r="F245" t="s">
        <v>2171</v>
      </c>
      <c r="G245">
        <v>1100</v>
      </c>
      <c r="I245">
        <v>2024</v>
      </c>
      <c r="J245" t="s">
        <v>1358</v>
      </c>
      <c r="K245" t="s">
        <v>1359</v>
      </c>
      <c r="L245" s="11"/>
      <c r="M245">
        <v>1100</v>
      </c>
      <c r="N245" s="2">
        <v>45585</v>
      </c>
      <c r="O245" t="s">
        <v>1354</v>
      </c>
      <c r="Q245" t="s">
        <v>2172</v>
      </c>
      <c r="R245" t="s">
        <v>718</v>
      </c>
    </row>
    <row r="246" spans="1:18" hidden="1" x14ac:dyDescent="0.25">
      <c r="A246" s="11"/>
      <c r="B246" t="s">
        <v>720</v>
      </c>
      <c r="C246" t="s">
        <v>3924</v>
      </c>
      <c r="D246">
        <v>2023</v>
      </c>
      <c r="E246">
        <v>2033</v>
      </c>
      <c r="F246" t="s">
        <v>2192</v>
      </c>
      <c r="G246">
        <v>550</v>
      </c>
      <c r="I246">
        <v>2024</v>
      </c>
      <c r="J246" t="s">
        <v>1358</v>
      </c>
      <c r="K246" t="s">
        <v>1359</v>
      </c>
      <c r="L246" s="11"/>
      <c r="M246">
        <v>550</v>
      </c>
      <c r="N246" s="2">
        <v>45640</v>
      </c>
      <c r="O246" t="s">
        <v>1354</v>
      </c>
      <c r="Q246" t="s">
        <v>2193</v>
      </c>
      <c r="R246" t="s">
        <v>721</v>
      </c>
    </row>
    <row r="247" spans="1:18" hidden="1" x14ac:dyDescent="0.25">
      <c r="A247" s="11"/>
      <c r="B247" t="s">
        <v>723</v>
      </c>
      <c r="C247" t="s">
        <v>3924</v>
      </c>
      <c r="D247">
        <v>2022</v>
      </c>
      <c r="E247">
        <v>2033</v>
      </c>
      <c r="F247" t="s">
        <v>2194</v>
      </c>
      <c r="G247">
        <v>550</v>
      </c>
      <c r="I247">
        <v>2024</v>
      </c>
      <c r="J247" t="s">
        <v>1358</v>
      </c>
      <c r="K247" t="s">
        <v>1359</v>
      </c>
      <c r="L247" s="11"/>
      <c r="M247">
        <v>550</v>
      </c>
      <c r="N247" s="2">
        <v>45562</v>
      </c>
      <c r="O247" t="s">
        <v>1354</v>
      </c>
      <c r="Q247" t="s">
        <v>2195</v>
      </c>
      <c r="R247" t="s">
        <v>724</v>
      </c>
    </row>
    <row r="248" spans="1:18" hidden="1" x14ac:dyDescent="0.25">
      <c r="A248" s="11"/>
      <c r="B248" t="s">
        <v>726</v>
      </c>
      <c r="C248" t="s">
        <v>3924</v>
      </c>
      <c r="D248">
        <v>2022</v>
      </c>
      <c r="E248">
        <v>2033</v>
      </c>
      <c r="F248" t="s">
        <v>2196</v>
      </c>
      <c r="G248">
        <v>1650</v>
      </c>
      <c r="I248">
        <v>2024</v>
      </c>
      <c r="J248" t="s">
        <v>1358</v>
      </c>
      <c r="K248" t="s">
        <v>1359</v>
      </c>
      <c r="L248" s="11"/>
      <c r="M248">
        <v>1650</v>
      </c>
      <c r="N248" s="2">
        <v>45619</v>
      </c>
      <c r="O248" t="s">
        <v>1354</v>
      </c>
      <c r="Q248" t="s">
        <v>2197</v>
      </c>
      <c r="R248" t="s">
        <v>727</v>
      </c>
    </row>
    <row r="249" spans="1:18" hidden="1" x14ac:dyDescent="0.25">
      <c r="A249" s="11"/>
      <c r="B249" t="s">
        <v>730</v>
      </c>
      <c r="C249" t="s">
        <v>3924</v>
      </c>
      <c r="D249">
        <v>2022</v>
      </c>
      <c r="E249">
        <v>2033</v>
      </c>
      <c r="F249" t="s">
        <v>2198</v>
      </c>
      <c r="G249">
        <v>5500</v>
      </c>
      <c r="I249">
        <v>2024</v>
      </c>
      <c r="J249" t="s">
        <v>1358</v>
      </c>
      <c r="K249" t="s">
        <v>1359</v>
      </c>
      <c r="L249" s="11"/>
      <c r="M249">
        <v>5500</v>
      </c>
      <c r="N249" s="2">
        <v>45617</v>
      </c>
      <c r="O249" t="s">
        <v>1354</v>
      </c>
      <c r="Q249" t="s">
        <v>2199</v>
      </c>
      <c r="R249" t="s">
        <v>731</v>
      </c>
    </row>
    <row r="250" spans="1:18" hidden="1" x14ac:dyDescent="0.25">
      <c r="A250" s="11"/>
      <c r="B250" t="s">
        <v>733</v>
      </c>
      <c r="C250" t="s">
        <v>3924</v>
      </c>
      <c r="D250">
        <v>2022</v>
      </c>
      <c r="E250">
        <v>2033</v>
      </c>
      <c r="F250" t="s">
        <v>2200</v>
      </c>
      <c r="G250">
        <v>2200</v>
      </c>
      <c r="I250">
        <v>2024</v>
      </c>
      <c r="J250" t="s">
        <v>1358</v>
      </c>
      <c r="K250" t="s">
        <v>1359</v>
      </c>
      <c r="L250" s="11"/>
      <c r="M250">
        <v>2200</v>
      </c>
      <c r="N250" s="2">
        <v>45615</v>
      </c>
      <c r="O250" t="s">
        <v>1354</v>
      </c>
      <c r="Q250" t="s">
        <v>2201</v>
      </c>
      <c r="R250" t="s">
        <v>734</v>
      </c>
    </row>
    <row r="251" spans="1:18" hidden="1" x14ac:dyDescent="0.25">
      <c r="A251" s="11"/>
      <c r="B251" t="s">
        <v>736</v>
      </c>
      <c r="C251" t="s">
        <v>3924</v>
      </c>
      <c r="D251">
        <v>2022</v>
      </c>
      <c r="E251">
        <v>2033</v>
      </c>
      <c r="F251" t="s">
        <v>2202</v>
      </c>
      <c r="G251">
        <v>2750</v>
      </c>
      <c r="I251">
        <v>2024</v>
      </c>
      <c r="J251" t="s">
        <v>1358</v>
      </c>
      <c r="K251" t="s">
        <v>1359</v>
      </c>
      <c r="L251" s="11"/>
      <c r="M251">
        <v>2750</v>
      </c>
      <c r="N251" s="2">
        <v>45591</v>
      </c>
      <c r="O251" t="s">
        <v>1354</v>
      </c>
      <c r="Q251" t="s">
        <v>2203</v>
      </c>
      <c r="R251" t="s">
        <v>737</v>
      </c>
    </row>
    <row r="252" spans="1:18" hidden="1" x14ac:dyDescent="0.25">
      <c r="A252" s="11"/>
      <c r="B252" t="s">
        <v>740</v>
      </c>
      <c r="C252" t="s">
        <v>3924</v>
      </c>
      <c r="D252">
        <v>2022</v>
      </c>
      <c r="E252">
        <v>2033</v>
      </c>
      <c r="F252" t="s">
        <v>2204</v>
      </c>
      <c r="G252">
        <v>2200</v>
      </c>
      <c r="I252">
        <v>2024</v>
      </c>
      <c r="J252" t="s">
        <v>1358</v>
      </c>
      <c r="K252" t="s">
        <v>1359</v>
      </c>
      <c r="L252" s="11"/>
      <c r="M252">
        <v>2200</v>
      </c>
      <c r="N252" s="2">
        <v>45619</v>
      </c>
      <c r="O252" t="s">
        <v>1354</v>
      </c>
      <c r="Q252" t="s">
        <v>2205</v>
      </c>
      <c r="R252" t="s">
        <v>741</v>
      </c>
    </row>
    <row r="253" spans="1:18" hidden="1" x14ac:dyDescent="0.25">
      <c r="A253" s="11"/>
      <c r="B253" t="s">
        <v>743</v>
      </c>
      <c r="C253" t="s">
        <v>3924</v>
      </c>
      <c r="D253">
        <v>2022</v>
      </c>
      <c r="E253">
        <v>2033</v>
      </c>
      <c r="F253" t="s">
        <v>2206</v>
      </c>
      <c r="G253">
        <v>1100</v>
      </c>
      <c r="I253">
        <v>2024</v>
      </c>
      <c r="J253" t="s">
        <v>1358</v>
      </c>
      <c r="K253" t="s">
        <v>1359</v>
      </c>
      <c r="L253" s="11"/>
      <c r="M253">
        <v>1100</v>
      </c>
      <c r="N253" s="2">
        <v>45654</v>
      </c>
      <c r="O253" t="s">
        <v>1354</v>
      </c>
      <c r="Q253" t="s">
        <v>2207</v>
      </c>
      <c r="R253" t="s">
        <v>744</v>
      </c>
    </row>
    <row r="254" spans="1:18" hidden="1" x14ac:dyDescent="0.25">
      <c r="A254" s="11"/>
      <c r="B254" t="s">
        <v>746</v>
      </c>
      <c r="C254" t="s">
        <v>3924</v>
      </c>
      <c r="D254">
        <v>2022</v>
      </c>
      <c r="E254">
        <v>2033</v>
      </c>
      <c r="F254" t="s">
        <v>2208</v>
      </c>
      <c r="G254">
        <v>2750</v>
      </c>
      <c r="I254">
        <v>2024</v>
      </c>
      <c r="J254" t="s">
        <v>1358</v>
      </c>
      <c r="K254" t="s">
        <v>1359</v>
      </c>
      <c r="L254" s="11"/>
      <c r="M254">
        <v>2750</v>
      </c>
      <c r="N254" s="2">
        <v>45582</v>
      </c>
      <c r="O254" t="s">
        <v>1354</v>
      </c>
      <c r="Q254" t="s">
        <v>2209</v>
      </c>
      <c r="R254" t="s">
        <v>747</v>
      </c>
    </row>
    <row r="255" spans="1:18" hidden="1" x14ac:dyDescent="0.25">
      <c r="A255" s="11"/>
      <c r="B255" t="s">
        <v>750</v>
      </c>
      <c r="C255" t="s">
        <v>3924</v>
      </c>
      <c r="D255">
        <v>2022</v>
      </c>
      <c r="E255">
        <v>2033</v>
      </c>
      <c r="F255" t="s">
        <v>2117</v>
      </c>
      <c r="G255">
        <v>550</v>
      </c>
      <c r="I255">
        <v>2024</v>
      </c>
      <c r="J255" t="s">
        <v>1358</v>
      </c>
      <c r="K255" t="s">
        <v>1359</v>
      </c>
      <c r="L255" s="11"/>
      <c r="M255">
        <v>550</v>
      </c>
      <c r="N255" s="2">
        <v>45644</v>
      </c>
      <c r="O255" t="s">
        <v>1354</v>
      </c>
      <c r="Q255" t="s">
        <v>2118</v>
      </c>
      <c r="R255" t="s">
        <v>630</v>
      </c>
    </row>
    <row r="256" spans="1:18" hidden="1" x14ac:dyDescent="0.25">
      <c r="A256" s="11"/>
      <c r="B256" t="s">
        <v>751</v>
      </c>
      <c r="C256" t="s">
        <v>3924</v>
      </c>
      <c r="D256">
        <v>2022</v>
      </c>
      <c r="E256">
        <v>2033</v>
      </c>
      <c r="F256" t="s">
        <v>2119</v>
      </c>
      <c r="G256">
        <v>1100</v>
      </c>
      <c r="I256">
        <v>2024</v>
      </c>
      <c r="J256" t="s">
        <v>1358</v>
      </c>
      <c r="K256" t="s">
        <v>1359</v>
      </c>
      <c r="L256" s="11"/>
      <c r="M256">
        <v>1100</v>
      </c>
      <c r="N256" s="2">
        <v>45644</v>
      </c>
      <c r="O256" t="s">
        <v>1354</v>
      </c>
      <c r="Q256" t="s">
        <v>2120</v>
      </c>
      <c r="R256" t="s">
        <v>752</v>
      </c>
    </row>
    <row r="257" spans="1:18" hidden="1" x14ac:dyDescent="0.25">
      <c r="A257" s="11"/>
      <c r="B257" t="s">
        <v>755</v>
      </c>
      <c r="C257" t="s">
        <v>3924</v>
      </c>
      <c r="D257">
        <v>2023</v>
      </c>
      <c r="E257">
        <v>2033</v>
      </c>
      <c r="F257" t="s">
        <v>2121</v>
      </c>
      <c r="G257">
        <v>1100</v>
      </c>
      <c r="I257">
        <v>2024</v>
      </c>
      <c r="J257" t="s">
        <v>1358</v>
      </c>
      <c r="K257" t="s">
        <v>1359</v>
      </c>
      <c r="L257" s="11"/>
      <c r="M257">
        <v>1100</v>
      </c>
      <c r="N257" s="2">
        <v>45662</v>
      </c>
      <c r="O257" t="s">
        <v>1354</v>
      </c>
      <c r="Q257" t="s">
        <v>2122</v>
      </c>
      <c r="R257" t="s">
        <v>756</v>
      </c>
    </row>
    <row r="258" spans="1:18" hidden="1" x14ac:dyDescent="0.25">
      <c r="A258" s="11"/>
      <c r="B258" t="s">
        <v>758</v>
      </c>
      <c r="C258" t="s">
        <v>3924</v>
      </c>
      <c r="D258">
        <v>2024</v>
      </c>
      <c r="E258">
        <v>2033</v>
      </c>
      <c r="F258" t="s">
        <v>2214</v>
      </c>
      <c r="G258">
        <v>1380</v>
      </c>
      <c r="H258" t="s">
        <v>2215</v>
      </c>
      <c r="I258">
        <v>2024</v>
      </c>
      <c r="J258" t="s">
        <v>1358</v>
      </c>
      <c r="K258" t="s">
        <v>1359</v>
      </c>
      <c r="L258" s="11"/>
      <c r="M258">
        <v>2200</v>
      </c>
      <c r="N258" s="2">
        <v>45606</v>
      </c>
      <c r="O258" t="s">
        <v>1354</v>
      </c>
      <c r="Q258" t="s">
        <v>2216</v>
      </c>
      <c r="R258" t="s">
        <v>759</v>
      </c>
    </row>
    <row r="259" spans="1:18" hidden="1" x14ac:dyDescent="0.25">
      <c r="A259" s="11"/>
      <c r="B259" t="s">
        <v>761</v>
      </c>
      <c r="C259" t="s">
        <v>3924</v>
      </c>
      <c r="D259">
        <v>2024</v>
      </c>
      <c r="E259">
        <v>2033</v>
      </c>
      <c r="F259" t="s">
        <v>2217</v>
      </c>
      <c r="G259">
        <v>1000</v>
      </c>
      <c r="H259" t="s">
        <v>2218</v>
      </c>
      <c r="I259">
        <v>2024</v>
      </c>
      <c r="J259" t="s">
        <v>1358</v>
      </c>
      <c r="K259" t="s">
        <v>1359</v>
      </c>
      <c r="L259" s="11"/>
      <c r="M259">
        <v>2475</v>
      </c>
      <c r="N259" s="2">
        <v>45620</v>
      </c>
      <c r="O259" t="s">
        <v>1354</v>
      </c>
      <c r="Q259" t="s">
        <v>2219</v>
      </c>
      <c r="R259" t="s">
        <v>762</v>
      </c>
    </row>
    <row r="260" spans="1:18" hidden="1" x14ac:dyDescent="0.25">
      <c r="A260" s="11"/>
      <c r="B260" t="s">
        <v>764</v>
      </c>
      <c r="C260" t="s">
        <v>3924</v>
      </c>
      <c r="D260">
        <v>2023</v>
      </c>
      <c r="E260">
        <v>2033</v>
      </c>
      <c r="F260" t="s">
        <v>2152</v>
      </c>
      <c r="G260">
        <v>550</v>
      </c>
      <c r="I260">
        <v>2024</v>
      </c>
      <c r="J260" t="s">
        <v>1358</v>
      </c>
      <c r="K260" t="s">
        <v>1359</v>
      </c>
      <c r="L260" s="11"/>
      <c r="M260">
        <v>550</v>
      </c>
      <c r="N260" s="2">
        <v>45687</v>
      </c>
      <c r="O260" t="s">
        <v>1354</v>
      </c>
      <c r="Q260" t="s">
        <v>2153</v>
      </c>
      <c r="R260" t="s">
        <v>765</v>
      </c>
    </row>
    <row r="261" spans="1:18" hidden="1" x14ac:dyDescent="0.25">
      <c r="A261" s="11"/>
      <c r="B261" t="s">
        <v>767</v>
      </c>
      <c r="C261" t="s">
        <v>3924</v>
      </c>
      <c r="D261">
        <v>2024</v>
      </c>
      <c r="E261">
        <v>2033</v>
      </c>
      <c r="F261" t="s">
        <v>2220</v>
      </c>
      <c r="G261">
        <v>1100</v>
      </c>
      <c r="I261">
        <v>2024</v>
      </c>
      <c r="J261" t="s">
        <v>1358</v>
      </c>
      <c r="K261" t="s">
        <v>1359</v>
      </c>
      <c r="L261" s="11"/>
      <c r="M261">
        <v>1100</v>
      </c>
      <c r="N261" s="2">
        <v>45560</v>
      </c>
      <c r="O261" t="s">
        <v>1354</v>
      </c>
      <c r="Q261" t="s">
        <v>2221</v>
      </c>
      <c r="R261" t="s">
        <v>768</v>
      </c>
    </row>
    <row r="262" spans="1:18" hidden="1" x14ac:dyDescent="0.25">
      <c r="A262" s="11"/>
      <c r="B262" t="s">
        <v>770</v>
      </c>
      <c r="C262" t="s">
        <v>3924</v>
      </c>
      <c r="D262">
        <v>2023</v>
      </c>
      <c r="E262">
        <v>2033</v>
      </c>
      <c r="F262" t="s">
        <v>2154</v>
      </c>
      <c r="G262">
        <v>1650</v>
      </c>
      <c r="I262">
        <v>2024</v>
      </c>
      <c r="J262" t="s">
        <v>1358</v>
      </c>
      <c r="K262" t="s">
        <v>1359</v>
      </c>
      <c r="L262" s="11"/>
      <c r="M262">
        <v>1650</v>
      </c>
      <c r="N262" s="2">
        <v>45641</v>
      </c>
      <c r="O262" t="s">
        <v>1354</v>
      </c>
      <c r="Q262" t="s">
        <v>2155</v>
      </c>
      <c r="R262" t="s">
        <v>771</v>
      </c>
    </row>
    <row r="263" spans="1:18" hidden="1" x14ac:dyDescent="0.25">
      <c r="A263" s="11"/>
      <c r="B263" t="s">
        <v>773</v>
      </c>
      <c r="C263" t="s">
        <v>3924</v>
      </c>
      <c r="D263">
        <v>2024</v>
      </c>
      <c r="E263">
        <v>2033</v>
      </c>
      <c r="F263" t="s">
        <v>2227</v>
      </c>
      <c r="G263">
        <v>1000</v>
      </c>
      <c r="H263" t="s">
        <v>2228</v>
      </c>
      <c r="I263">
        <v>2024</v>
      </c>
      <c r="J263" t="s">
        <v>1358</v>
      </c>
      <c r="K263" t="s">
        <v>1359</v>
      </c>
      <c r="L263" s="11"/>
      <c r="M263">
        <v>1000</v>
      </c>
      <c r="N263" s="2">
        <v>45663</v>
      </c>
      <c r="O263" t="s">
        <v>1354</v>
      </c>
      <c r="Q263" t="s">
        <v>2229</v>
      </c>
      <c r="R263" t="s">
        <v>774</v>
      </c>
    </row>
    <row r="264" spans="1:18" hidden="1" x14ac:dyDescent="0.25">
      <c r="A264" s="11"/>
      <c r="B264" t="s">
        <v>776</v>
      </c>
      <c r="C264" t="s">
        <v>3924</v>
      </c>
      <c r="D264">
        <v>2024</v>
      </c>
      <c r="E264">
        <v>2033</v>
      </c>
      <c r="F264" t="s">
        <v>2222</v>
      </c>
      <c r="G264">
        <v>1260</v>
      </c>
      <c r="H264" t="s">
        <v>2223</v>
      </c>
      <c r="I264">
        <v>2024</v>
      </c>
      <c r="J264" t="s">
        <v>1358</v>
      </c>
      <c r="K264" t="s">
        <v>1359</v>
      </c>
      <c r="L264" s="11"/>
      <c r="M264">
        <v>1650</v>
      </c>
      <c r="N264" s="2">
        <v>45687</v>
      </c>
      <c r="O264" t="s">
        <v>1354</v>
      </c>
      <c r="Q264" t="s">
        <v>2224</v>
      </c>
      <c r="R264" t="s">
        <v>777</v>
      </c>
    </row>
    <row r="265" spans="1:18" hidden="1" x14ac:dyDescent="0.25">
      <c r="A265" s="11" t="s">
        <v>1361</v>
      </c>
      <c r="B265" t="s">
        <v>779</v>
      </c>
      <c r="C265" t="s">
        <v>3924</v>
      </c>
      <c r="D265">
        <v>2024</v>
      </c>
      <c r="E265">
        <v>2033</v>
      </c>
      <c r="F265" t="s">
        <v>1362</v>
      </c>
      <c r="G265">
        <v>1496</v>
      </c>
      <c r="H265" t="s">
        <v>1363</v>
      </c>
      <c r="I265">
        <v>2024</v>
      </c>
      <c r="J265" t="s">
        <v>1358</v>
      </c>
      <c r="K265" t="s">
        <v>1359</v>
      </c>
      <c r="L265" s="11"/>
      <c r="M265">
        <v>1496</v>
      </c>
      <c r="N265" s="2">
        <v>45686</v>
      </c>
      <c r="O265" t="s">
        <v>1354</v>
      </c>
      <c r="Q265" t="s">
        <v>1364</v>
      </c>
      <c r="R265" t="s">
        <v>780</v>
      </c>
    </row>
    <row r="266" spans="1:18" hidden="1" x14ac:dyDescent="0.25">
      <c r="A266" s="11"/>
      <c r="B266" t="s">
        <v>782</v>
      </c>
      <c r="C266" t="s">
        <v>3924</v>
      </c>
      <c r="D266">
        <v>2024</v>
      </c>
      <c r="E266">
        <v>2033</v>
      </c>
      <c r="F266" t="s">
        <v>2225</v>
      </c>
      <c r="G266">
        <v>550</v>
      </c>
      <c r="I266">
        <v>2024</v>
      </c>
      <c r="J266" t="s">
        <v>1358</v>
      </c>
      <c r="K266" t="s">
        <v>1359</v>
      </c>
      <c r="L266" s="11"/>
      <c r="M266">
        <v>550</v>
      </c>
      <c r="N266" s="2">
        <v>45666</v>
      </c>
      <c r="O266" t="s">
        <v>1354</v>
      </c>
      <c r="Q266" t="s">
        <v>2226</v>
      </c>
      <c r="R266" t="s">
        <v>783</v>
      </c>
    </row>
    <row r="267" spans="1:18" hidden="1" x14ac:dyDescent="0.25">
      <c r="A267" s="11"/>
      <c r="B267" t="s">
        <v>785</v>
      </c>
      <c r="C267" t="s">
        <v>3924</v>
      </c>
      <c r="D267">
        <v>2022</v>
      </c>
      <c r="E267">
        <v>2033</v>
      </c>
      <c r="F267" t="s">
        <v>2156</v>
      </c>
      <c r="G267">
        <v>2750</v>
      </c>
      <c r="I267">
        <v>2024</v>
      </c>
      <c r="J267" t="s">
        <v>1358</v>
      </c>
      <c r="K267" t="s">
        <v>1359</v>
      </c>
      <c r="L267" s="11"/>
      <c r="M267">
        <v>2750</v>
      </c>
      <c r="N267" s="2">
        <v>45630</v>
      </c>
      <c r="O267" t="s">
        <v>1354</v>
      </c>
      <c r="Q267" t="s">
        <v>2157</v>
      </c>
      <c r="R267" t="s">
        <v>752</v>
      </c>
    </row>
    <row r="268" spans="1:18" hidden="1" x14ac:dyDescent="0.25">
      <c r="A268" s="11"/>
      <c r="B268" t="s">
        <v>786</v>
      </c>
      <c r="C268" t="s">
        <v>3924</v>
      </c>
      <c r="D268">
        <v>2023</v>
      </c>
      <c r="E268">
        <v>2033</v>
      </c>
      <c r="F268" t="s">
        <v>2158</v>
      </c>
      <c r="G268">
        <v>550</v>
      </c>
      <c r="I268">
        <v>2024</v>
      </c>
      <c r="J268" t="s">
        <v>1358</v>
      </c>
      <c r="K268" t="s">
        <v>1359</v>
      </c>
      <c r="L268" s="11"/>
      <c r="M268">
        <v>550</v>
      </c>
      <c r="N268" s="2">
        <v>45646</v>
      </c>
      <c r="O268" t="s">
        <v>1354</v>
      </c>
      <c r="Q268" t="s">
        <v>2159</v>
      </c>
      <c r="R268" t="s">
        <v>787</v>
      </c>
    </row>
    <row r="269" spans="1:18" hidden="1" x14ac:dyDescent="0.25">
      <c r="A269" s="11"/>
      <c r="B269" t="s">
        <v>789</v>
      </c>
      <c r="C269" t="s">
        <v>3924</v>
      </c>
      <c r="D269">
        <v>2023</v>
      </c>
      <c r="E269">
        <v>2033</v>
      </c>
      <c r="F269" t="s">
        <v>2160</v>
      </c>
      <c r="G269">
        <v>1650</v>
      </c>
      <c r="I269">
        <v>2024</v>
      </c>
      <c r="J269" t="s">
        <v>1358</v>
      </c>
      <c r="K269" t="s">
        <v>1359</v>
      </c>
      <c r="L269" s="11"/>
      <c r="M269">
        <v>1650</v>
      </c>
      <c r="N269" s="2">
        <v>45652</v>
      </c>
      <c r="O269" t="s">
        <v>1354</v>
      </c>
      <c r="Q269" t="s">
        <v>2161</v>
      </c>
      <c r="R269" t="s">
        <v>790</v>
      </c>
    </row>
    <row r="270" spans="1:18" hidden="1" x14ac:dyDescent="0.25">
      <c r="A270" s="11"/>
      <c r="B270" t="s">
        <v>792</v>
      </c>
      <c r="C270" t="s">
        <v>3924</v>
      </c>
      <c r="D270">
        <v>2024</v>
      </c>
      <c r="E270">
        <v>2035</v>
      </c>
      <c r="F270" t="s">
        <v>1368</v>
      </c>
      <c r="I270">
        <v>2025</v>
      </c>
      <c r="K270" t="s">
        <v>1359</v>
      </c>
      <c r="L270" s="11"/>
      <c r="M270">
        <v>1650</v>
      </c>
      <c r="O270" t="s">
        <v>1369</v>
      </c>
      <c r="Q270" s="8" t="str">
        <f>IF(Tabla1[[#This Row],[land_location]]&lt;&gt;"None",_xlfn.CONCAT("POINT(",Tabla1[[#This Row],[land_location]],")"),"No land location info")</f>
        <v>POINT(18.021140, -94.304699)</v>
      </c>
      <c r="R270" t="s">
        <v>793</v>
      </c>
    </row>
    <row r="271" spans="1:18" hidden="1" x14ac:dyDescent="0.25">
      <c r="A271" s="11"/>
      <c r="B271" t="s">
        <v>796</v>
      </c>
      <c r="C271" t="s">
        <v>3925</v>
      </c>
      <c r="D271">
        <v>2024</v>
      </c>
      <c r="E271">
        <v>2035</v>
      </c>
      <c r="F271" t="s">
        <v>1436</v>
      </c>
      <c r="G271" s="8" t="str">
        <f>IF(SEARCH("Pending",O271)&gt;0,"Not active contract","Input planted trees")</f>
        <v>Not active contract</v>
      </c>
      <c r="I271">
        <v>2025</v>
      </c>
      <c r="K271" t="s">
        <v>1359</v>
      </c>
      <c r="L271" s="11"/>
      <c r="M271">
        <v>550</v>
      </c>
      <c r="N271" s="8" t="str">
        <f>IF(SEARCH("Pending",Tabla1[[#This Row],[status]])&gt;0,"Not active contract","Input planted trees")</f>
        <v>Not active contract</v>
      </c>
      <c r="O271" t="s">
        <v>1369</v>
      </c>
      <c r="Q271" s="8" t="str">
        <f>_xlfn.CONCAT("POINT(",Tabla1[[#This Row],[land_location]],")")</f>
        <v>POINT(17.322416, -94.140967)</v>
      </c>
      <c r="R271" t="s">
        <v>714</v>
      </c>
    </row>
    <row r="272" spans="1:18" hidden="1" x14ac:dyDescent="0.25">
      <c r="A272" s="11"/>
      <c r="B272" t="s">
        <v>797</v>
      </c>
      <c r="C272" t="s">
        <v>3925</v>
      </c>
      <c r="D272">
        <v>2025</v>
      </c>
      <c r="E272">
        <v>2035</v>
      </c>
      <c r="F272" t="s">
        <v>1568</v>
      </c>
      <c r="G272" s="8" t="str">
        <f t="shared" ref="G272:G293" si="0">IF(SEARCH("Pending",O271)&gt;0,"Not active contract","Input planted trees")</f>
        <v>Not active contract</v>
      </c>
      <c r="I272">
        <v>2025</v>
      </c>
      <c r="K272" t="s">
        <v>1359</v>
      </c>
      <c r="L272" s="11"/>
      <c r="M272">
        <v>550</v>
      </c>
      <c r="N272" s="8" t="str">
        <f>IF(SEARCH("Pending",Tabla1[[#This Row],[status]])&gt;0,"Not active contract","Input planted trees")</f>
        <v>Not active contract</v>
      </c>
      <c r="O272" t="s">
        <v>1369</v>
      </c>
      <c r="Q272" s="8" t="str">
        <f>_xlfn.CONCAT("POINT(",Tabla1[[#This Row],[land_location]],")")</f>
        <v>POINT(17.223254, -94.637088)</v>
      </c>
      <c r="R272" t="s">
        <v>678</v>
      </c>
    </row>
    <row r="273" spans="1:18" hidden="1" x14ac:dyDescent="0.25">
      <c r="A273" s="11"/>
      <c r="B273" t="s">
        <v>798</v>
      </c>
      <c r="C273" t="s">
        <v>3925</v>
      </c>
      <c r="D273">
        <v>2025</v>
      </c>
      <c r="E273">
        <v>2035</v>
      </c>
      <c r="F273" t="s">
        <v>1594</v>
      </c>
      <c r="G273" s="8" t="str">
        <f t="shared" si="0"/>
        <v>Not active contract</v>
      </c>
      <c r="I273">
        <v>2025</v>
      </c>
      <c r="K273" t="s">
        <v>1359</v>
      </c>
      <c r="L273" s="11"/>
      <c r="M273">
        <v>1100</v>
      </c>
      <c r="N273" s="8" t="str">
        <f>IF(SEARCH("Pending",Tabla1[[#This Row],[status]])&gt;0,"Not active contract","Input planted trees")</f>
        <v>Not active contract</v>
      </c>
      <c r="O273" t="s">
        <v>1369</v>
      </c>
      <c r="Q273" s="8" t="str">
        <f>_xlfn.CONCAT("POINT(",Tabla1[[#This Row],[land_location]],")")</f>
        <v>POINT(17.217823, -94.628687)</v>
      </c>
      <c r="R273" t="s">
        <v>799</v>
      </c>
    </row>
    <row r="274" spans="1:18" hidden="1" x14ac:dyDescent="0.25">
      <c r="A274" s="11"/>
      <c r="B274" t="s">
        <v>801</v>
      </c>
      <c r="C274" t="s">
        <v>3925</v>
      </c>
      <c r="D274">
        <v>2025</v>
      </c>
      <c r="E274">
        <v>2035</v>
      </c>
      <c r="F274" t="s">
        <v>1675</v>
      </c>
      <c r="G274" s="8" t="str">
        <f t="shared" si="0"/>
        <v>Not active contract</v>
      </c>
      <c r="I274">
        <v>2025</v>
      </c>
      <c r="K274" t="s">
        <v>1359</v>
      </c>
      <c r="L274" s="11"/>
      <c r="M274">
        <v>1650</v>
      </c>
      <c r="N274" s="8" t="str">
        <f>IF(SEARCH("Pending",Tabla1[[#This Row],[status]])&gt;0,"Not active contract","Input planted trees")</f>
        <v>Not active contract</v>
      </c>
      <c r="O274" t="s">
        <v>1369</v>
      </c>
      <c r="Q274" s="8" t="str">
        <f>_xlfn.CONCAT("POINT(",Tabla1[[#This Row],[land_location]],")")</f>
        <v>POINT(17.485038872682228, -95.59815403706945)</v>
      </c>
      <c r="R274" t="s">
        <v>727</v>
      </c>
    </row>
    <row r="275" spans="1:18" hidden="1" x14ac:dyDescent="0.25">
      <c r="A275" s="11"/>
      <c r="B275" t="s">
        <v>802</v>
      </c>
      <c r="C275" t="s">
        <v>3925</v>
      </c>
      <c r="D275">
        <v>2025</v>
      </c>
      <c r="E275">
        <v>2035</v>
      </c>
      <c r="F275" t="s">
        <v>1602</v>
      </c>
      <c r="G275" s="8" t="str">
        <f t="shared" si="0"/>
        <v>Not active contract</v>
      </c>
      <c r="I275">
        <v>2025</v>
      </c>
      <c r="K275" t="s">
        <v>1359</v>
      </c>
      <c r="L275" s="11"/>
      <c r="M275">
        <v>2750</v>
      </c>
      <c r="N275" s="8" t="str">
        <f>IF(SEARCH("Pending",Tabla1[[#This Row],[status]])&gt;0,"Not active contract","Input planted trees")</f>
        <v>Not active contract</v>
      </c>
      <c r="O275" t="s">
        <v>1369</v>
      </c>
      <c r="Q275" s="8" t="str">
        <f>_xlfn.CONCAT("POINT(",Tabla1[[#This Row],[land_location]],")")</f>
        <v>POINT(17.476400478068953, -95.60631006752998)</v>
      </c>
      <c r="R275" t="s">
        <v>803</v>
      </c>
    </row>
    <row r="276" spans="1:18" hidden="1" x14ac:dyDescent="0.25">
      <c r="A276" s="11"/>
      <c r="B276" t="s">
        <v>805</v>
      </c>
      <c r="C276" t="s">
        <v>3925</v>
      </c>
      <c r="D276">
        <v>2025</v>
      </c>
      <c r="E276">
        <v>2035</v>
      </c>
      <c r="F276" t="s">
        <v>1614</v>
      </c>
      <c r="G276" s="8" t="str">
        <f t="shared" si="0"/>
        <v>Not active contract</v>
      </c>
      <c r="I276">
        <v>2025</v>
      </c>
      <c r="K276" t="s">
        <v>1359</v>
      </c>
      <c r="L276" s="11"/>
      <c r="M276">
        <v>1100</v>
      </c>
      <c r="N276" s="8" t="str">
        <f>IF(SEARCH("Pending",Tabla1[[#This Row],[status]])&gt;0,"Not active contract","Input planted trees")</f>
        <v>Not active contract</v>
      </c>
      <c r="O276" t="s">
        <v>1369</v>
      </c>
      <c r="Q276" s="8" t="str">
        <f>_xlfn.CONCAT("POINT(",Tabla1[[#This Row],[land_location]],")")</f>
        <v>POINT(17.390432, -93.767104)</v>
      </c>
      <c r="R276" t="s">
        <v>806</v>
      </c>
    </row>
    <row r="277" spans="1:18" hidden="1" x14ac:dyDescent="0.25">
      <c r="A277" s="11"/>
      <c r="B277" t="s">
        <v>808</v>
      </c>
      <c r="C277" t="s">
        <v>3925</v>
      </c>
      <c r="D277">
        <v>2025</v>
      </c>
      <c r="E277">
        <v>2035</v>
      </c>
      <c r="F277" t="s">
        <v>1832</v>
      </c>
      <c r="G277" s="8" t="str">
        <f t="shared" si="0"/>
        <v>Not active contract</v>
      </c>
      <c r="I277">
        <v>2025</v>
      </c>
      <c r="K277" t="s">
        <v>1359</v>
      </c>
      <c r="L277" s="11"/>
      <c r="M277">
        <v>2750</v>
      </c>
      <c r="N277" s="8" t="str">
        <f>IF(SEARCH("Pending",Tabla1[[#This Row],[status]])&gt;0,"Not active contract","Input planted trees")</f>
        <v>Not active contract</v>
      </c>
      <c r="O277" t="s">
        <v>1369</v>
      </c>
      <c r="Q277" s="8" t="str">
        <f>_xlfn.CONCAT("POINT(",Tabla1[[#This Row],[land_location]],")")</f>
        <v>POINT(17.2572108,-94.6050448)</v>
      </c>
      <c r="R277" t="s">
        <v>811</v>
      </c>
    </row>
    <row r="278" spans="1:18" hidden="1" x14ac:dyDescent="0.25">
      <c r="A278" s="11"/>
      <c r="B278" t="s">
        <v>813</v>
      </c>
      <c r="C278" t="s">
        <v>3925</v>
      </c>
      <c r="D278">
        <v>2024</v>
      </c>
      <c r="E278">
        <v>2035</v>
      </c>
      <c r="F278" t="s">
        <v>1912</v>
      </c>
      <c r="G278" s="8" t="str">
        <f t="shared" si="0"/>
        <v>Not active contract</v>
      </c>
      <c r="I278">
        <v>2025</v>
      </c>
      <c r="K278" t="s">
        <v>1359</v>
      </c>
      <c r="L278" s="11"/>
      <c r="M278">
        <v>5500</v>
      </c>
      <c r="N278" s="8" t="str">
        <f>IF(SEARCH("Pending",Tabla1[[#This Row],[status]])&gt;0,"Not active contract","Input planted trees")</f>
        <v>Not active contract</v>
      </c>
      <c r="O278" t="s">
        <v>1369</v>
      </c>
      <c r="Q278" s="8" t="str">
        <f>_xlfn.CONCAT("POINT(",Tabla1[[#This Row],[land_location]],")")</f>
        <v>POINT(17.002723, -95.064282)</v>
      </c>
      <c r="R278" t="s">
        <v>811</v>
      </c>
    </row>
    <row r="279" spans="1:18" hidden="1" x14ac:dyDescent="0.25">
      <c r="A279" s="11"/>
      <c r="B279" t="s">
        <v>814</v>
      </c>
      <c r="C279" t="s">
        <v>3925</v>
      </c>
      <c r="D279">
        <v>2025</v>
      </c>
      <c r="E279">
        <v>2035</v>
      </c>
      <c r="F279" t="s">
        <v>1971</v>
      </c>
      <c r="G279" s="8" t="str">
        <f t="shared" si="0"/>
        <v>Not active contract</v>
      </c>
      <c r="I279">
        <v>2025</v>
      </c>
      <c r="K279" t="s">
        <v>1359</v>
      </c>
      <c r="L279" s="11"/>
      <c r="M279">
        <v>2750</v>
      </c>
      <c r="N279" s="8" t="str">
        <f>IF(SEARCH("Pending",Tabla1[[#This Row],[status]])&gt;0,"Not active contract","Input planted trees")</f>
        <v>Not active contract</v>
      </c>
      <c r="O279" t="s">
        <v>1369</v>
      </c>
      <c r="Q279" s="8" t="str">
        <f>_xlfn.CONCAT("POINT(",Tabla1[[#This Row],[land_location]],")")</f>
        <v>POINT(17.235938, -94.891213)</v>
      </c>
      <c r="R279" t="s">
        <v>803</v>
      </c>
    </row>
    <row r="280" spans="1:18" hidden="1" x14ac:dyDescent="0.25">
      <c r="A280" s="11"/>
      <c r="B280" t="s">
        <v>815</v>
      </c>
      <c r="C280" t="s">
        <v>3925</v>
      </c>
      <c r="D280">
        <v>2025</v>
      </c>
      <c r="E280">
        <v>2035</v>
      </c>
      <c r="F280" t="s">
        <v>2018</v>
      </c>
      <c r="G280" s="8" t="str">
        <f t="shared" si="0"/>
        <v>Not active contract</v>
      </c>
      <c r="I280">
        <v>2025</v>
      </c>
      <c r="K280" t="s">
        <v>1359</v>
      </c>
      <c r="L280" s="11"/>
      <c r="M280">
        <v>2750</v>
      </c>
      <c r="N280" s="8" t="str">
        <f>IF(SEARCH("Pending",Tabla1[[#This Row],[status]])&gt;0,"Not active contract","Input planted trees")</f>
        <v>Not active contract</v>
      </c>
      <c r="O280" t="s">
        <v>1369</v>
      </c>
      <c r="Q280" s="8" t="str">
        <f>_xlfn.CONCAT("POINT(",Tabla1[[#This Row],[land_location]],")")</f>
        <v>POINT(17.246038, -94.898974)</v>
      </c>
      <c r="R280" t="s">
        <v>806</v>
      </c>
    </row>
    <row r="281" spans="1:18" hidden="1" x14ac:dyDescent="0.25">
      <c r="A281" s="11"/>
      <c r="B281" t="s">
        <v>816</v>
      </c>
      <c r="C281" t="s">
        <v>3925</v>
      </c>
      <c r="D281">
        <v>2025</v>
      </c>
      <c r="E281">
        <v>2035</v>
      </c>
      <c r="F281" t="s">
        <v>2023</v>
      </c>
      <c r="G281" s="8" t="str">
        <f t="shared" si="0"/>
        <v>Not active contract</v>
      </c>
      <c r="I281">
        <v>2025</v>
      </c>
      <c r="K281" t="s">
        <v>1359</v>
      </c>
      <c r="L281" s="11"/>
      <c r="M281">
        <v>2750</v>
      </c>
      <c r="N281" s="8" t="str">
        <f>IF(SEARCH("Pending",Tabla1[[#This Row],[status]])&gt;0,"Not active contract","Input planted trees")</f>
        <v>Not active contract</v>
      </c>
      <c r="O281" t="s">
        <v>1369</v>
      </c>
      <c r="Q281" s="8" t="str">
        <f>_xlfn.CONCAT("POINT(",Tabla1[[#This Row],[land_location]],")")</f>
        <v>POINT(17.244685, -94.902886)</v>
      </c>
      <c r="R281" t="s">
        <v>809</v>
      </c>
    </row>
    <row r="282" spans="1:18" hidden="1" x14ac:dyDescent="0.25">
      <c r="A282" s="11"/>
      <c r="B282" t="s">
        <v>817</v>
      </c>
      <c r="C282" t="s">
        <v>3925</v>
      </c>
      <c r="D282">
        <v>2025</v>
      </c>
      <c r="E282">
        <v>2035</v>
      </c>
      <c r="F282" t="s">
        <v>2051</v>
      </c>
      <c r="G282" s="8" t="str">
        <f t="shared" si="0"/>
        <v>Not active contract</v>
      </c>
      <c r="I282">
        <v>2025</v>
      </c>
      <c r="K282" t="s">
        <v>1359</v>
      </c>
      <c r="L282" s="11"/>
      <c r="M282">
        <v>2750</v>
      </c>
      <c r="N282" s="8" t="str">
        <f>IF(SEARCH("Pending",Tabla1[[#This Row],[status]])&gt;0,"Not active contract","Input planted trees")</f>
        <v>Not active contract</v>
      </c>
      <c r="O282" t="s">
        <v>1369</v>
      </c>
      <c r="Q282" s="8" t="str">
        <f>_xlfn.CONCAT("POINT(",Tabla1[[#This Row],[land_location]],")")</f>
        <v>POINT(17.216591, -94.906441)</v>
      </c>
      <c r="R282" t="s">
        <v>818</v>
      </c>
    </row>
    <row r="283" spans="1:18" hidden="1" x14ac:dyDescent="0.25">
      <c r="A283" s="11"/>
      <c r="B283" t="s">
        <v>820</v>
      </c>
      <c r="C283" t="s">
        <v>3925</v>
      </c>
      <c r="D283">
        <v>2025</v>
      </c>
      <c r="E283">
        <v>2035</v>
      </c>
      <c r="F283" t="s">
        <v>2116</v>
      </c>
      <c r="G283" s="8" t="str">
        <f t="shared" si="0"/>
        <v>Not active contract</v>
      </c>
      <c r="I283">
        <v>2025</v>
      </c>
      <c r="K283" t="s">
        <v>1359</v>
      </c>
      <c r="L283" s="11"/>
      <c r="M283">
        <v>1650</v>
      </c>
      <c r="N283" s="8" t="str">
        <f>IF(SEARCH("Pending",Tabla1[[#This Row],[status]])&gt;0,"Not active contract","Input planted trees")</f>
        <v>Not active contract</v>
      </c>
      <c r="O283" t="s">
        <v>1369</v>
      </c>
      <c r="Q283" s="8" t="str">
        <f>_xlfn.CONCAT("POINT(",Tabla1[[#This Row],[land_location]],")")</f>
        <v>POINT(17.735231695097593, -95.89492031715417)</v>
      </c>
      <c r="R283" t="s">
        <v>821</v>
      </c>
    </row>
    <row r="284" spans="1:18" hidden="1" x14ac:dyDescent="0.25">
      <c r="A284" s="11"/>
      <c r="B284" t="s">
        <v>823</v>
      </c>
      <c r="C284" t="s">
        <v>3925</v>
      </c>
      <c r="D284">
        <v>2024</v>
      </c>
      <c r="E284">
        <v>2035</v>
      </c>
      <c r="F284" t="s">
        <v>1370</v>
      </c>
      <c r="G284" s="8" t="str">
        <f t="shared" si="0"/>
        <v>Not active contract</v>
      </c>
      <c r="I284">
        <v>2025</v>
      </c>
      <c r="K284" t="s">
        <v>1359</v>
      </c>
      <c r="L284" s="11"/>
      <c r="M284">
        <v>4400</v>
      </c>
      <c r="N284" s="8" t="str">
        <f>IF(SEARCH("Pending",Tabla1[[#This Row],[status]])&gt;0,"Not active contract","Input planted trees")</f>
        <v>Not active contract</v>
      </c>
      <c r="O284" t="s">
        <v>1369</v>
      </c>
      <c r="Q284" s="8" t="str">
        <f>_xlfn.CONCAT("POINT(",Tabla1[[#This Row],[land_location]],")")</f>
        <v>POINT(17.548329, -95.403114)</v>
      </c>
      <c r="R284" t="s">
        <v>824</v>
      </c>
    </row>
    <row r="285" spans="1:18" hidden="1" x14ac:dyDescent="0.25">
      <c r="A285" s="11"/>
      <c r="B285" t="s">
        <v>826</v>
      </c>
      <c r="C285" t="s">
        <v>3925</v>
      </c>
      <c r="D285">
        <v>2025</v>
      </c>
      <c r="E285">
        <v>2035</v>
      </c>
      <c r="F285" t="s">
        <v>1437</v>
      </c>
      <c r="G285" s="8" t="str">
        <f t="shared" si="0"/>
        <v>Not active contract</v>
      </c>
      <c r="I285">
        <v>2025</v>
      </c>
      <c r="K285" t="s">
        <v>1359</v>
      </c>
      <c r="L285" s="11"/>
      <c r="M285">
        <v>2750</v>
      </c>
      <c r="N285" s="8" t="str">
        <f>IF(SEARCH("Pending",Tabla1[[#This Row],[status]])&gt;0,"Not active contract","Input planted trees")</f>
        <v>Not active contract</v>
      </c>
      <c r="O285" t="s">
        <v>1369</v>
      </c>
      <c r="Q285" s="8" t="str">
        <f>_xlfn.CONCAT("POINT(",Tabla1[[#This Row],[land_location]],")")</f>
        <v>POINT(17.7307534, -95.8595157)</v>
      </c>
      <c r="R285" t="s">
        <v>768</v>
      </c>
    </row>
    <row r="286" spans="1:18" hidden="1" x14ac:dyDescent="0.25">
      <c r="A286" s="11"/>
      <c r="B286" t="s">
        <v>830</v>
      </c>
      <c r="C286" t="s">
        <v>3925</v>
      </c>
      <c r="D286">
        <v>2024</v>
      </c>
      <c r="E286">
        <v>2035</v>
      </c>
      <c r="F286" t="s">
        <v>1459</v>
      </c>
      <c r="G286" s="8" t="str">
        <f t="shared" si="0"/>
        <v>Not active contract</v>
      </c>
      <c r="I286">
        <v>2025</v>
      </c>
      <c r="K286" t="s">
        <v>1359</v>
      </c>
      <c r="L286" s="11"/>
      <c r="M286">
        <v>2200</v>
      </c>
      <c r="N286" s="8" t="str">
        <f>IF(SEARCH("Pending",Tabla1[[#This Row],[status]])&gt;0,"Not active contract","Input planted trees")</f>
        <v>Not active contract</v>
      </c>
      <c r="O286" t="s">
        <v>1369</v>
      </c>
      <c r="Q286" s="8" t="str">
        <f>_xlfn.CONCAT("POINT(",Tabla1[[#This Row],[land_location]],")")</f>
        <v>POINT(18.085089697134027, -95.59988029456701 y 18.096114440235162, -95.63865216740112)</v>
      </c>
      <c r="R286" t="s">
        <v>793</v>
      </c>
    </row>
    <row r="287" spans="1:18" hidden="1" x14ac:dyDescent="0.25">
      <c r="A287" s="11"/>
      <c r="B287" t="s">
        <v>833</v>
      </c>
      <c r="C287" t="s">
        <v>3925</v>
      </c>
      <c r="D287">
        <v>2024</v>
      </c>
      <c r="E287">
        <v>2035</v>
      </c>
      <c r="F287" t="s">
        <v>1483</v>
      </c>
      <c r="G287" s="8" t="str">
        <f t="shared" si="0"/>
        <v>Not active contract</v>
      </c>
      <c r="I287">
        <v>2025</v>
      </c>
      <c r="K287" t="s">
        <v>1359</v>
      </c>
      <c r="L287" s="11"/>
      <c r="M287">
        <v>5500</v>
      </c>
      <c r="N287" s="8" t="str">
        <f>IF(SEARCH("Pending",Tabla1[[#This Row],[status]])&gt;0,"Not active contract","Input planted trees")</f>
        <v>Not active contract</v>
      </c>
      <c r="O287" t="s">
        <v>1369</v>
      </c>
      <c r="Q287" s="8" t="str">
        <f>_xlfn.CONCAT("POINT(",Tabla1[[#This Row],[land_location]],")")</f>
        <v>POINT(17.8528199, -95.2825474)</v>
      </c>
      <c r="R287" t="s">
        <v>834</v>
      </c>
    </row>
    <row r="288" spans="1:18" hidden="1" x14ac:dyDescent="0.25">
      <c r="A288" s="11"/>
      <c r="B288" t="s">
        <v>837</v>
      </c>
      <c r="C288" t="s">
        <v>3925</v>
      </c>
      <c r="D288">
        <v>2025</v>
      </c>
      <c r="E288">
        <v>2035</v>
      </c>
      <c r="F288" t="s">
        <v>1545</v>
      </c>
      <c r="G288" s="8" t="str">
        <f t="shared" si="0"/>
        <v>Not active contract</v>
      </c>
      <c r="I288">
        <v>2025</v>
      </c>
      <c r="K288" t="s">
        <v>1359</v>
      </c>
      <c r="L288" s="11"/>
      <c r="M288">
        <v>1100</v>
      </c>
      <c r="N288" s="8" t="str">
        <f>IF(SEARCH("Pending",Tabla1[[#This Row],[status]])&gt;0,"Not active contract","Input planted trees")</f>
        <v>Not active contract</v>
      </c>
      <c r="O288" t="s">
        <v>1369</v>
      </c>
      <c r="Q288" s="8" t="str">
        <f>_xlfn.CONCAT("POINT(",Tabla1[[#This Row],[land_location]],")")</f>
        <v>POINT(17.432654, -93.798530)</v>
      </c>
      <c r="R288" t="s">
        <v>838</v>
      </c>
    </row>
    <row r="289" spans="1:18" hidden="1" x14ac:dyDescent="0.25">
      <c r="A289" s="11"/>
      <c r="B289" t="s">
        <v>840</v>
      </c>
      <c r="C289" t="s">
        <v>3925</v>
      </c>
      <c r="D289">
        <v>2025</v>
      </c>
      <c r="E289">
        <v>2035</v>
      </c>
      <c r="F289" t="s">
        <v>1552</v>
      </c>
      <c r="G289" s="8" t="str">
        <f t="shared" si="0"/>
        <v>Not active contract</v>
      </c>
      <c r="I289">
        <v>2025</v>
      </c>
      <c r="K289" t="s">
        <v>1359</v>
      </c>
      <c r="L289" s="11"/>
      <c r="M289">
        <v>1650</v>
      </c>
      <c r="N289" s="8" t="str">
        <f>IF(SEARCH("Pending",Tabla1[[#This Row],[status]])&gt;0,"Not active contract","Input planted trees")</f>
        <v>Not active contract</v>
      </c>
      <c r="O289" t="s">
        <v>1369</v>
      </c>
      <c r="Q289" s="8" t="str">
        <f>_xlfn.CONCAT("POINT(",Tabla1[[#This Row],[land_location]],")")</f>
        <v>POINT(17.5368368027441, -95.68759611234026)</v>
      </c>
      <c r="R289" t="s">
        <v>841</v>
      </c>
    </row>
    <row r="290" spans="1:18" hidden="1" x14ac:dyDescent="0.25">
      <c r="A290" s="11"/>
      <c r="B290" t="s">
        <v>843</v>
      </c>
      <c r="C290" t="s">
        <v>3925</v>
      </c>
      <c r="D290">
        <v>2025</v>
      </c>
      <c r="E290">
        <v>2035</v>
      </c>
      <c r="F290" t="s">
        <v>1567</v>
      </c>
      <c r="G290" s="8" t="str">
        <f t="shared" si="0"/>
        <v>Not active contract</v>
      </c>
      <c r="I290">
        <v>2025</v>
      </c>
      <c r="K290" t="s">
        <v>1359</v>
      </c>
      <c r="L290" s="11"/>
      <c r="M290">
        <v>550</v>
      </c>
      <c r="N290" s="8" t="str">
        <f>IF(SEARCH("Pending",Tabla1[[#This Row],[status]])&gt;0,"Not active contract","Input planted trees")</f>
        <v>Not active contract</v>
      </c>
      <c r="O290" t="s">
        <v>1369</v>
      </c>
      <c r="Q290" s="8" t="str">
        <f>_xlfn.CONCAT("POINT(",Tabla1[[#This Row],[land_location]],")")</f>
        <v>POINT(17.37289027 -93.76689468)</v>
      </c>
      <c r="R290" t="s">
        <v>844</v>
      </c>
    </row>
    <row r="291" spans="1:18" hidden="1" x14ac:dyDescent="0.25">
      <c r="A291" s="11"/>
      <c r="B291" t="s">
        <v>846</v>
      </c>
      <c r="C291" t="s">
        <v>3925</v>
      </c>
      <c r="D291">
        <v>2025</v>
      </c>
      <c r="E291">
        <v>2035</v>
      </c>
      <c r="F291" t="s">
        <v>1676</v>
      </c>
      <c r="G291" s="8" t="str">
        <f t="shared" si="0"/>
        <v>Not active contract</v>
      </c>
      <c r="I291">
        <v>2025</v>
      </c>
      <c r="K291" t="s">
        <v>1359</v>
      </c>
      <c r="L291" s="11"/>
      <c r="M291">
        <v>550</v>
      </c>
      <c r="N291" s="8" t="str">
        <f>IF(SEARCH("Pending",Tabla1[[#This Row],[status]])&gt;0,"Not active contract","Input planted trees")</f>
        <v>Not active contract</v>
      </c>
      <c r="O291" t="s">
        <v>1369</v>
      </c>
      <c r="Q291" s="8" t="str">
        <f>_xlfn.CONCAT("POINT(",Tabla1[[#This Row],[land_location]],")")</f>
        <v>POINT(17.39948168, -93.78466934)</v>
      </c>
      <c r="R291" t="s">
        <v>847</v>
      </c>
    </row>
    <row r="292" spans="1:18" hidden="1" x14ac:dyDescent="0.25">
      <c r="A292" s="11"/>
      <c r="B292" t="s">
        <v>849</v>
      </c>
      <c r="C292" t="s">
        <v>3925</v>
      </c>
      <c r="D292">
        <v>2025</v>
      </c>
      <c r="E292">
        <v>2035</v>
      </c>
      <c r="F292" t="s">
        <v>1601</v>
      </c>
      <c r="G292" s="8" t="str">
        <f t="shared" si="0"/>
        <v>Not active contract</v>
      </c>
      <c r="I292">
        <v>2025</v>
      </c>
      <c r="K292" t="s">
        <v>1359</v>
      </c>
      <c r="L292" s="11"/>
      <c r="M292">
        <v>550</v>
      </c>
      <c r="N292" s="8" t="str">
        <f>IF(SEARCH("Pending",Tabla1[[#This Row],[status]])&gt;0,"Not active contract","Input planted trees")</f>
        <v>Not active contract</v>
      </c>
      <c r="O292" t="s">
        <v>1369</v>
      </c>
      <c r="Q292" s="8" t="str">
        <f>_xlfn.CONCAT("POINT(",Tabla1[[#This Row],[land_location]],")")</f>
        <v>POINT(17.336209, -93.752678)</v>
      </c>
      <c r="R292" t="s">
        <v>850</v>
      </c>
    </row>
    <row r="293" spans="1:18" hidden="1" x14ac:dyDescent="0.25">
      <c r="A293" s="11"/>
      <c r="B293" t="s">
        <v>852</v>
      </c>
      <c r="C293" t="s">
        <v>3925</v>
      </c>
      <c r="D293">
        <v>2025</v>
      </c>
      <c r="E293">
        <v>2035</v>
      </c>
      <c r="F293" t="s">
        <v>1613</v>
      </c>
      <c r="G293" s="8" t="str">
        <f t="shared" si="0"/>
        <v>Not active contract</v>
      </c>
      <c r="I293">
        <v>2025</v>
      </c>
      <c r="K293" t="s">
        <v>1359</v>
      </c>
      <c r="L293" s="11"/>
      <c r="M293">
        <v>1100</v>
      </c>
      <c r="N293" s="8" t="str">
        <f>IF(SEARCH("Pending",Tabla1[[#This Row],[status]])&gt;0,"Not active contract","Input planted trees")</f>
        <v>Not active contract</v>
      </c>
      <c r="O293" t="s">
        <v>1369</v>
      </c>
      <c r="Q293" s="8" t="str">
        <f>_xlfn.CONCAT("POINT(",Tabla1[[#This Row],[land_location]],")")</f>
        <v>POINT(17.411565, -93.789705)</v>
      </c>
      <c r="R293" t="s">
        <v>853</v>
      </c>
    </row>
    <row r="294" spans="1:18" hidden="1" x14ac:dyDescent="0.25">
      <c r="A294" s="11"/>
      <c r="B294" t="s">
        <v>855</v>
      </c>
      <c r="C294" t="s">
        <v>3924</v>
      </c>
      <c r="D294">
        <v>2015</v>
      </c>
      <c r="E294">
        <v>2024</v>
      </c>
      <c r="F294" t="s">
        <v>1961</v>
      </c>
      <c r="G294">
        <v>2200</v>
      </c>
      <c r="I294">
        <v>2015</v>
      </c>
      <c r="J294" t="s">
        <v>1351</v>
      </c>
      <c r="K294" t="s">
        <v>1352</v>
      </c>
      <c r="L294" s="11" t="s">
        <v>1393</v>
      </c>
      <c r="M294">
        <v>2200</v>
      </c>
      <c r="N294" s="2">
        <v>42125</v>
      </c>
      <c r="O294" t="s">
        <v>1394</v>
      </c>
      <c r="Q294" t="s">
        <v>1962</v>
      </c>
      <c r="R294" t="s">
        <v>856</v>
      </c>
    </row>
    <row r="295" spans="1:18" x14ac:dyDescent="0.25">
      <c r="A295" s="11"/>
      <c r="B295" t="s">
        <v>858</v>
      </c>
      <c r="C295" t="s">
        <v>3924</v>
      </c>
      <c r="D295">
        <v>2015</v>
      </c>
      <c r="E29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295" t="s">
        <v>1965</v>
      </c>
      <c r="G295">
        <v>1200</v>
      </c>
      <c r="I295">
        <v>2016</v>
      </c>
      <c r="J295" t="s">
        <v>1351</v>
      </c>
      <c r="K295" t="s">
        <v>1352</v>
      </c>
      <c r="L295" s="11"/>
      <c r="M295">
        <v>1200</v>
      </c>
      <c r="N295" s="2">
        <v>42491</v>
      </c>
      <c r="O295" t="s">
        <v>1405</v>
      </c>
      <c r="Q295" t="s">
        <v>1966</v>
      </c>
      <c r="R295" t="s">
        <v>859</v>
      </c>
    </row>
    <row r="296" spans="1:18" x14ac:dyDescent="0.25">
      <c r="A296" s="11"/>
      <c r="B296" t="s">
        <v>861</v>
      </c>
      <c r="C296" t="s">
        <v>3924</v>
      </c>
      <c r="D296">
        <v>2015</v>
      </c>
      <c r="E296" s="8">
        <f>IF(
    AND(
        NOT(LEFT(Tabla1[[#This Row],[status]])="Pending"),
        NOT(ISBLANK(Tabla1[[#This Row],[planted]])),
        NOT(ISBLANK(Tabla1[[#This Row],[planting_date]]))
    ),
    Tabla1[[#This Row],[planting_year]]+10,
    "Not active contract"
)</f>
        <v>2026</v>
      </c>
      <c r="F296" t="s">
        <v>1982</v>
      </c>
      <c r="G296">
        <v>1100</v>
      </c>
      <c r="I296">
        <v>2016</v>
      </c>
      <c r="J296" t="s">
        <v>1351</v>
      </c>
      <c r="K296" t="s">
        <v>1352</v>
      </c>
      <c r="L296" s="11"/>
      <c r="M296">
        <v>1100</v>
      </c>
      <c r="N296" s="2">
        <v>42491</v>
      </c>
      <c r="O296" t="s">
        <v>1405</v>
      </c>
      <c r="Q296" s="8" t="str">
        <f>IF(Tabla1[[#This Row],[land_location]]&lt;&gt;"None",_xlfn.CONCAT("POINT(",Tabla1[[#This Row],[land_location]],")"),"No land location info")</f>
        <v>POINT(45.321683 -122.533558)</v>
      </c>
      <c r="R296" t="s">
        <v>862</v>
      </c>
    </row>
    <row r="297" spans="1:18" hidden="1" x14ac:dyDescent="0.25">
      <c r="A297" s="11"/>
      <c r="B297" t="s">
        <v>864</v>
      </c>
      <c r="C297" t="s">
        <v>3924</v>
      </c>
      <c r="D297">
        <v>2015</v>
      </c>
      <c r="E297">
        <v>2025</v>
      </c>
      <c r="F297" t="s">
        <v>1963</v>
      </c>
      <c r="G297">
        <v>2200</v>
      </c>
      <c r="I297">
        <v>2016</v>
      </c>
      <c r="J297" t="s">
        <v>1351</v>
      </c>
      <c r="K297" t="s">
        <v>1352</v>
      </c>
      <c r="L297" s="11" t="s">
        <v>1393</v>
      </c>
      <c r="M297">
        <v>2200</v>
      </c>
      <c r="N297" s="2">
        <v>42491</v>
      </c>
      <c r="O297" t="s">
        <v>1354</v>
      </c>
      <c r="Q297" t="s">
        <v>1964</v>
      </c>
      <c r="R297" t="s">
        <v>856</v>
      </c>
    </row>
    <row r="298" spans="1:18" hidden="1" x14ac:dyDescent="0.25">
      <c r="A298" s="11"/>
      <c r="B298" t="s">
        <v>865</v>
      </c>
      <c r="C298" t="s">
        <v>3924</v>
      </c>
      <c r="D298">
        <v>2016</v>
      </c>
      <c r="E298">
        <v>2025</v>
      </c>
      <c r="F298" t="s">
        <v>1961</v>
      </c>
      <c r="G298">
        <v>2200</v>
      </c>
      <c r="I298">
        <v>2016</v>
      </c>
      <c r="J298" t="s">
        <v>1351</v>
      </c>
      <c r="K298" t="s">
        <v>1352</v>
      </c>
      <c r="L298" s="11" t="s">
        <v>1393</v>
      </c>
      <c r="M298">
        <v>2200</v>
      </c>
      <c r="N298" s="2">
        <v>42491</v>
      </c>
      <c r="O298" t="s">
        <v>1394</v>
      </c>
      <c r="Q298" t="s">
        <v>1962</v>
      </c>
      <c r="R298" t="s">
        <v>856</v>
      </c>
    </row>
    <row r="299" spans="1:18" hidden="1" x14ac:dyDescent="0.25">
      <c r="A299" s="11"/>
      <c r="B299" t="s">
        <v>866</v>
      </c>
      <c r="C299" t="s">
        <v>3924</v>
      </c>
      <c r="D299">
        <v>2015</v>
      </c>
      <c r="E299">
        <v>2025</v>
      </c>
      <c r="F299" t="s">
        <v>1983</v>
      </c>
      <c r="G299">
        <v>2200</v>
      </c>
      <c r="I299">
        <v>2016</v>
      </c>
      <c r="J299" t="s">
        <v>1351</v>
      </c>
      <c r="K299" t="s">
        <v>1352</v>
      </c>
      <c r="L299" s="11" t="s">
        <v>1400</v>
      </c>
      <c r="M299">
        <v>2200</v>
      </c>
      <c r="N299" s="2">
        <v>42491</v>
      </c>
      <c r="O299" t="s">
        <v>1354</v>
      </c>
      <c r="Q299" t="s">
        <v>1984</v>
      </c>
      <c r="R299" t="s">
        <v>867</v>
      </c>
    </row>
    <row r="300" spans="1:18" x14ac:dyDescent="0.25">
      <c r="A300" s="11"/>
      <c r="B300" t="s">
        <v>869</v>
      </c>
      <c r="C300" t="s">
        <v>3924</v>
      </c>
      <c r="D300">
        <v>2015</v>
      </c>
      <c r="E300" s="8">
        <f>IF(
    AND(
        NOT(LEFT(Tabla1[[#This Row],[status]])="Pending"),
        NOT(ISBLANK(Tabla1[[#This Row],[planted]])),
        NOT(ISBLANK(Tabla1[[#This Row],[planting_date]]))
    ),
    Tabla1[[#This Row],[planting_year]]+10,
    "Not active contract"
)</f>
        <v>2026</v>
      </c>
      <c r="F300" t="s">
        <v>1985</v>
      </c>
      <c r="G300">
        <v>1100</v>
      </c>
      <c r="I300">
        <v>2016</v>
      </c>
      <c r="J300" t="s">
        <v>1351</v>
      </c>
      <c r="K300" t="s">
        <v>1352</v>
      </c>
      <c r="L300" s="11"/>
      <c r="M300">
        <v>1100</v>
      </c>
      <c r="N300" s="2">
        <v>42491</v>
      </c>
      <c r="O300" t="s">
        <v>1405</v>
      </c>
      <c r="Q300" s="8" t="str">
        <f>IF(Tabla1[[#This Row],[land_location]]&lt;&gt;"None",_xlfn.CONCAT("POINT(",Tabla1[[#This Row],[land_location]],")"),"No land location info")</f>
        <v>POINT(30.13526 -83.18676)</v>
      </c>
      <c r="R300" t="s">
        <v>870</v>
      </c>
    </row>
    <row r="301" spans="1:18" hidden="1" x14ac:dyDescent="0.25">
      <c r="A301" s="11"/>
      <c r="B301" t="s">
        <v>872</v>
      </c>
      <c r="C301" t="s">
        <v>3924</v>
      </c>
      <c r="D301">
        <v>2015</v>
      </c>
      <c r="E301">
        <v>2025</v>
      </c>
      <c r="F301" t="s">
        <v>1986</v>
      </c>
      <c r="G301">
        <v>800</v>
      </c>
      <c r="I301">
        <v>2016</v>
      </c>
      <c r="J301" t="s">
        <v>1351</v>
      </c>
      <c r="K301" t="s">
        <v>1352</v>
      </c>
      <c r="L301" s="11" t="s">
        <v>1763</v>
      </c>
      <c r="M301">
        <v>800</v>
      </c>
      <c r="N301" s="2">
        <v>42491</v>
      </c>
      <c r="O301" t="s">
        <v>1354</v>
      </c>
      <c r="Q301" t="s">
        <v>1987</v>
      </c>
      <c r="R301" t="s">
        <v>873</v>
      </c>
    </row>
    <row r="302" spans="1:18" hidden="1" x14ac:dyDescent="0.25">
      <c r="A302" s="11"/>
      <c r="B302" t="s">
        <v>875</v>
      </c>
      <c r="C302" t="s">
        <v>3924</v>
      </c>
      <c r="D302">
        <v>2015</v>
      </c>
      <c r="E302">
        <v>2025</v>
      </c>
      <c r="F302" t="s">
        <v>1524</v>
      </c>
      <c r="G302">
        <v>1650</v>
      </c>
      <c r="I302">
        <v>2016</v>
      </c>
      <c r="J302" t="s">
        <v>1351</v>
      </c>
      <c r="K302" t="s">
        <v>1352</v>
      </c>
      <c r="L302" s="11"/>
      <c r="M302">
        <v>1650</v>
      </c>
      <c r="N302" s="2">
        <v>42491</v>
      </c>
      <c r="O302" t="s">
        <v>1405</v>
      </c>
      <c r="Q302" t="s">
        <v>1525</v>
      </c>
      <c r="R302" t="s">
        <v>876</v>
      </c>
    </row>
    <row r="303" spans="1:18" x14ac:dyDescent="0.25">
      <c r="A303" s="11"/>
      <c r="B303" t="s">
        <v>878</v>
      </c>
      <c r="C303" t="s">
        <v>3924</v>
      </c>
      <c r="D303">
        <v>2015</v>
      </c>
      <c r="E303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303" t="s">
        <v>1988</v>
      </c>
      <c r="G303">
        <v>550</v>
      </c>
      <c r="I303">
        <v>2016</v>
      </c>
      <c r="J303" t="s">
        <v>1351</v>
      </c>
      <c r="K303" t="s">
        <v>1352</v>
      </c>
      <c r="L303" s="11"/>
      <c r="M303">
        <v>550</v>
      </c>
      <c r="N303" s="2">
        <v>42491</v>
      </c>
      <c r="O303" t="s">
        <v>1405</v>
      </c>
      <c r="Q303" t="s">
        <v>1989</v>
      </c>
      <c r="R303" t="s">
        <v>879</v>
      </c>
    </row>
    <row r="304" spans="1:18" hidden="1" x14ac:dyDescent="0.25">
      <c r="A304" s="11"/>
      <c r="B304" t="s">
        <v>881</v>
      </c>
      <c r="C304" t="s">
        <v>3924</v>
      </c>
      <c r="D304">
        <v>2015</v>
      </c>
      <c r="E304">
        <v>2025</v>
      </c>
      <c r="F304" t="s">
        <v>1990</v>
      </c>
      <c r="G304">
        <v>1295</v>
      </c>
      <c r="I304">
        <v>2016</v>
      </c>
      <c r="J304" t="s">
        <v>1351</v>
      </c>
      <c r="K304" t="s">
        <v>1352</v>
      </c>
      <c r="L304" s="11" t="s">
        <v>1393</v>
      </c>
      <c r="M304">
        <v>1295</v>
      </c>
      <c r="N304" s="2">
        <v>42491</v>
      </c>
      <c r="O304" t="s">
        <v>1354</v>
      </c>
      <c r="Q304" t="s">
        <v>1991</v>
      </c>
      <c r="R304" t="s">
        <v>882</v>
      </c>
    </row>
    <row r="305" spans="1:18" x14ac:dyDescent="0.25">
      <c r="A305" s="11"/>
      <c r="B305" t="s">
        <v>884</v>
      </c>
      <c r="C305" t="s">
        <v>3924</v>
      </c>
      <c r="D305">
        <v>2015</v>
      </c>
      <c r="E30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305" t="s">
        <v>1992</v>
      </c>
      <c r="G305">
        <v>2200</v>
      </c>
      <c r="I305">
        <v>2016</v>
      </c>
      <c r="J305" t="s">
        <v>1351</v>
      </c>
      <c r="K305" t="s">
        <v>1352</v>
      </c>
      <c r="L305" s="11"/>
      <c r="M305">
        <v>2200</v>
      </c>
      <c r="N305" s="2">
        <v>42491</v>
      </c>
      <c r="O305" t="s">
        <v>1405</v>
      </c>
      <c r="Q305" t="s">
        <v>1993</v>
      </c>
      <c r="R305" t="s">
        <v>885</v>
      </c>
    </row>
    <row r="306" spans="1:18" x14ac:dyDescent="0.25">
      <c r="A306" s="11"/>
      <c r="B306" t="s">
        <v>887</v>
      </c>
      <c r="C306" t="s">
        <v>3924</v>
      </c>
      <c r="D306">
        <v>2015</v>
      </c>
      <c r="E30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2026</v>
      </c>
      <c r="F306" t="s">
        <v>1994</v>
      </c>
      <c r="G306">
        <v>550</v>
      </c>
      <c r="I306">
        <v>2016</v>
      </c>
      <c r="J306" t="s">
        <v>1351</v>
      </c>
      <c r="K306" t="s">
        <v>1352</v>
      </c>
      <c r="L306" s="11"/>
      <c r="M306">
        <v>550</v>
      </c>
      <c r="N306" s="2">
        <v>42491</v>
      </c>
      <c r="O306" t="s">
        <v>1405</v>
      </c>
      <c r="Q306" t="s">
        <v>1995</v>
      </c>
      <c r="R306" t="s">
        <v>888</v>
      </c>
    </row>
    <row r="307" spans="1:18" hidden="1" x14ac:dyDescent="0.25">
      <c r="A307" s="11"/>
      <c r="B307" t="s">
        <v>890</v>
      </c>
      <c r="C307" t="s">
        <v>3924</v>
      </c>
      <c r="D307">
        <v>2015</v>
      </c>
      <c r="E307">
        <v>2025</v>
      </c>
      <c r="F307" t="s">
        <v>1996</v>
      </c>
      <c r="G307">
        <v>660</v>
      </c>
      <c r="I307">
        <v>2016</v>
      </c>
      <c r="J307" t="s">
        <v>1351</v>
      </c>
      <c r="K307" t="s">
        <v>1352</v>
      </c>
      <c r="L307" s="11" t="s">
        <v>1418</v>
      </c>
      <c r="M307">
        <v>660</v>
      </c>
      <c r="N307" s="2">
        <v>42491</v>
      </c>
      <c r="O307" t="s">
        <v>1354</v>
      </c>
      <c r="Q307" t="s">
        <v>1997</v>
      </c>
      <c r="R307" t="s">
        <v>891</v>
      </c>
    </row>
    <row r="308" spans="1:18" hidden="1" x14ac:dyDescent="0.25">
      <c r="A308" s="11"/>
      <c r="B308" t="s">
        <v>894</v>
      </c>
      <c r="C308" t="s">
        <v>3924</v>
      </c>
      <c r="D308">
        <v>2016</v>
      </c>
      <c r="E308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308" t="s">
        <v>2000</v>
      </c>
      <c r="G308">
        <v>2200</v>
      </c>
      <c r="I308">
        <v>2017</v>
      </c>
      <c r="J308" t="s">
        <v>1351</v>
      </c>
      <c r="K308" t="s">
        <v>1352</v>
      </c>
      <c r="L308" s="11"/>
      <c r="M308">
        <v>2200</v>
      </c>
      <c r="N308" s="2">
        <v>42856</v>
      </c>
      <c r="O308" t="s">
        <v>1405</v>
      </c>
      <c r="Q308" t="s">
        <v>2001</v>
      </c>
      <c r="R308" t="s">
        <v>895</v>
      </c>
    </row>
    <row r="309" spans="1:18" hidden="1" x14ac:dyDescent="0.25">
      <c r="A309" s="11"/>
      <c r="B309" t="s">
        <v>898</v>
      </c>
      <c r="C309" t="s">
        <v>3924</v>
      </c>
      <c r="D309">
        <v>2016</v>
      </c>
      <c r="E309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309" t="s">
        <v>2002</v>
      </c>
      <c r="G309">
        <v>2200</v>
      </c>
      <c r="I309">
        <v>2017</v>
      </c>
      <c r="J309" t="s">
        <v>1351</v>
      </c>
      <c r="K309" t="s">
        <v>1352</v>
      </c>
      <c r="L309" s="11"/>
      <c r="M309">
        <v>2200</v>
      </c>
      <c r="N309" s="2">
        <v>42856</v>
      </c>
      <c r="O309" t="s">
        <v>1405</v>
      </c>
      <c r="Q309" t="s">
        <v>2003</v>
      </c>
      <c r="R309" t="s">
        <v>899</v>
      </c>
    </row>
    <row r="310" spans="1:18" hidden="1" x14ac:dyDescent="0.25">
      <c r="A310" s="11"/>
      <c r="B310" t="s">
        <v>901</v>
      </c>
      <c r="C310" t="s">
        <v>3924</v>
      </c>
      <c r="D310">
        <v>2016</v>
      </c>
      <c r="E310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310" t="s">
        <v>2004</v>
      </c>
      <c r="G310">
        <v>550</v>
      </c>
      <c r="I310">
        <v>2017</v>
      </c>
      <c r="J310" t="s">
        <v>1351</v>
      </c>
      <c r="K310" t="s">
        <v>1352</v>
      </c>
      <c r="L310" s="11"/>
      <c r="M310">
        <v>550</v>
      </c>
      <c r="N310" s="2">
        <v>42856</v>
      </c>
      <c r="O310" t="s">
        <v>1405</v>
      </c>
      <c r="Q310" t="s">
        <v>2005</v>
      </c>
      <c r="R310" t="s">
        <v>902</v>
      </c>
    </row>
    <row r="311" spans="1:18" hidden="1" x14ac:dyDescent="0.25">
      <c r="A311" s="11"/>
      <c r="B311" t="s">
        <v>904</v>
      </c>
      <c r="C311" t="s">
        <v>3924</v>
      </c>
      <c r="D311">
        <v>2016</v>
      </c>
      <c r="E31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311" t="s">
        <v>2006</v>
      </c>
      <c r="G311">
        <v>951</v>
      </c>
      <c r="I311">
        <v>2017</v>
      </c>
      <c r="J311" t="s">
        <v>1351</v>
      </c>
      <c r="K311" t="s">
        <v>1352</v>
      </c>
      <c r="L311" s="11" t="s">
        <v>1393</v>
      </c>
      <c r="M311">
        <v>951</v>
      </c>
      <c r="N311" s="2">
        <v>42856</v>
      </c>
      <c r="O311" t="s">
        <v>1405</v>
      </c>
      <c r="Q311" t="s">
        <v>2007</v>
      </c>
      <c r="R311" t="s">
        <v>905</v>
      </c>
    </row>
    <row r="312" spans="1:18" hidden="1" x14ac:dyDescent="0.25">
      <c r="A312" s="11"/>
      <c r="B312" t="s">
        <v>908</v>
      </c>
      <c r="C312" t="s">
        <v>3924</v>
      </c>
      <c r="D312">
        <v>2016</v>
      </c>
      <c r="E31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312" t="s">
        <v>2008</v>
      </c>
      <c r="G312">
        <v>2200</v>
      </c>
      <c r="I312">
        <v>2017</v>
      </c>
      <c r="J312" t="s">
        <v>1351</v>
      </c>
      <c r="K312" t="s">
        <v>1352</v>
      </c>
      <c r="L312" s="11"/>
      <c r="M312">
        <v>2200</v>
      </c>
      <c r="N312" s="2">
        <v>42856</v>
      </c>
      <c r="O312" t="s">
        <v>1405</v>
      </c>
      <c r="Q312" t="s">
        <v>2009</v>
      </c>
      <c r="R312" t="s">
        <v>909</v>
      </c>
    </row>
    <row r="313" spans="1:18" hidden="1" x14ac:dyDescent="0.25">
      <c r="A313" s="11"/>
      <c r="B313" t="s">
        <v>911</v>
      </c>
      <c r="C313" t="s">
        <v>3924</v>
      </c>
      <c r="D313">
        <v>2016</v>
      </c>
      <c r="E313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2027</v>
      </c>
      <c r="F313" t="s">
        <v>2010</v>
      </c>
      <c r="G313">
        <v>200</v>
      </c>
      <c r="I313">
        <v>2017</v>
      </c>
      <c r="J313" t="s">
        <v>1351</v>
      </c>
      <c r="K313" t="s">
        <v>1352</v>
      </c>
      <c r="L313" s="11"/>
      <c r="M313">
        <v>200</v>
      </c>
      <c r="N313" s="2">
        <v>42856</v>
      </c>
      <c r="O313" t="s">
        <v>1405</v>
      </c>
      <c r="Q313" t="s">
        <v>2011</v>
      </c>
      <c r="R313" t="s">
        <v>912</v>
      </c>
    </row>
    <row r="314" spans="1:18" hidden="1" x14ac:dyDescent="0.25">
      <c r="A314" s="11"/>
      <c r="B314" t="s">
        <v>914</v>
      </c>
      <c r="C314" t="s">
        <v>3924</v>
      </c>
      <c r="D314">
        <v>2016</v>
      </c>
      <c r="E314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314" t="s">
        <v>1767</v>
      </c>
      <c r="G314">
        <v>2200</v>
      </c>
      <c r="I314">
        <v>2018</v>
      </c>
      <c r="J314" t="s">
        <v>1351</v>
      </c>
      <c r="K314" t="s">
        <v>1352</v>
      </c>
      <c r="L314" s="11"/>
      <c r="M314">
        <v>2200</v>
      </c>
      <c r="N314" s="2">
        <v>43221</v>
      </c>
      <c r="O314" t="s">
        <v>1405</v>
      </c>
      <c r="Q314" t="s">
        <v>1768</v>
      </c>
      <c r="R314" t="s">
        <v>915</v>
      </c>
    </row>
    <row r="315" spans="1:18" hidden="1" x14ac:dyDescent="0.25">
      <c r="A315" s="11"/>
      <c r="B315" t="s">
        <v>917</v>
      </c>
      <c r="C315" t="s">
        <v>3924</v>
      </c>
      <c r="D315">
        <v>2016</v>
      </c>
      <c r="E315">
        <v>2027</v>
      </c>
      <c r="F315" t="s">
        <v>1769</v>
      </c>
      <c r="G315">
        <v>2530</v>
      </c>
      <c r="I315">
        <v>2018</v>
      </c>
      <c r="J315" t="s">
        <v>1351</v>
      </c>
      <c r="K315" t="s">
        <v>1352</v>
      </c>
      <c r="L315" s="11" t="s">
        <v>1393</v>
      </c>
      <c r="M315">
        <v>2530</v>
      </c>
      <c r="N315" s="2">
        <v>43221</v>
      </c>
      <c r="O315" t="s">
        <v>1354</v>
      </c>
      <c r="Q315" t="s">
        <v>1770</v>
      </c>
      <c r="R315" t="s">
        <v>918</v>
      </c>
    </row>
    <row r="316" spans="1:18" hidden="1" x14ac:dyDescent="0.25">
      <c r="A316" s="11"/>
      <c r="B316" t="s">
        <v>921</v>
      </c>
      <c r="C316" t="s">
        <v>3924</v>
      </c>
      <c r="D316">
        <v>2016</v>
      </c>
      <c r="E316">
        <v>2027</v>
      </c>
      <c r="F316" t="s">
        <v>1762</v>
      </c>
      <c r="G316">
        <v>660</v>
      </c>
      <c r="I316">
        <v>2018</v>
      </c>
      <c r="J316" t="s">
        <v>1351</v>
      </c>
      <c r="K316" t="s">
        <v>1352</v>
      </c>
      <c r="L316" s="11" t="s">
        <v>1763</v>
      </c>
      <c r="M316">
        <v>660</v>
      </c>
      <c r="N316" s="2">
        <v>43221</v>
      </c>
      <c r="O316" t="s">
        <v>1354</v>
      </c>
      <c r="Q316" t="s">
        <v>1764</v>
      </c>
      <c r="R316" t="s">
        <v>873</v>
      </c>
    </row>
    <row r="317" spans="1:18" hidden="1" x14ac:dyDescent="0.25">
      <c r="A317" s="11"/>
      <c r="B317" t="s">
        <v>922</v>
      </c>
      <c r="C317" t="s">
        <v>3924</v>
      </c>
      <c r="D317">
        <v>2016</v>
      </c>
      <c r="E317" s="8">
        <f>IF(
    AND(
        NOT(LEFT(Tabla1[[#This Row],[status]])="Pending"),
        NOT(ISBLANK(Tabla1[[#This Row],[planted]])),
        NOT(ISBLANK(Tabla1[[#This Row],[planting_date]]))
    ),
    Tabla1[[#This Row],[planting_year]]+10,
    "Not active contract"
)</f>
        <v>2028</v>
      </c>
      <c r="F317" t="s">
        <v>1387</v>
      </c>
      <c r="G317">
        <v>2200</v>
      </c>
      <c r="I317">
        <v>2018</v>
      </c>
      <c r="J317" t="s">
        <v>1351</v>
      </c>
      <c r="K317" t="s">
        <v>1352</v>
      </c>
      <c r="L317" s="11" t="s">
        <v>1388</v>
      </c>
      <c r="M317">
        <v>2200</v>
      </c>
      <c r="N317" s="2">
        <v>43221</v>
      </c>
      <c r="O317" t="s">
        <v>1354</v>
      </c>
      <c r="Q317" s="8" t="str">
        <f>IF(Tabla1[[#This Row],[land_location]]&lt;&gt;"None",_xlfn.CONCAT("POINT(",Tabla1[[#This Row],[land_location]],")"),"No land location info")</f>
        <v>POINT(34.250719, -86.527252 )</v>
      </c>
      <c r="R317" t="s">
        <v>923</v>
      </c>
    </row>
    <row r="318" spans="1:18" hidden="1" x14ac:dyDescent="0.25">
      <c r="A318" s="11"/>
      <c r="B318" t="s">
        <v>926</v>
      </c>
      <c r="C318" t="s">
        <v>3924</v>
      </c>
      <c r="D318">
        <v>2016</v>
      </c>
      <c r="E318">
        <v>2027</v>
      </c>
      <c r="F318" t="s">
        <v>1488</v>
      </c>
      <c r="G318">
        <v>1100</v>
      </c>
      <c r="I318">
        <v>2018</v>
      </c>
      <c r="J318" t="s">
        <v>1351</v>
      </c>
      <c r="K318" t="s">
        <v>1352</v>
      </c>
      <c r="L318" s="11" t="s">
        <v>1393</v>
      </c>
      <c r="M318">
        <v>1100</v>
      </c>
      <c r="N318" s="2">
        <v>43221</v>
      </c>
      <c r="O318" t="s">
        <v>1405</v>
      </c>
      <c r="Q318" t="s">
        <v>1489</v>
      </c>
      <c r="R318" t="s">
        <v>927</v>
      </c>
    </row>
    <row r="319" spans="1:18" hidden="1" x14ac:dyDescent="0.25">
      <c r="A319" s="11"/>
      <c r="B319" t="s">
        <v>929</v>
      </c>
      <c r="C319" t="s">
        <v>3924</v>
      </c>
      <c r="D319">
        <v>2018</v>
      </c>
      <c r="E319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319" t="s">
        <v>1910</v>
      </c>
      <c r="G319">
        <v>550</v>
      </c>
      <c r="I319">
        <v>2018</v>
      </c>
      <c r="J319" t="s">
        <v>1351</v>
      </c>
      <c r="K319" t="s">
        <v>1352</v>
      </c>
      <c r="L319" s="11"/>
      <c r="M319">
        <v>550</v>
      </c>
      <c r="N319" s="2">
        <v>43221</v>
      </c>
      <c r="O319" t="s">
        <v>1405</v>
      </c>
      <c r="Q319" t="s">
        <v>1911</v>
      </c>
      <c r="R319" t="s">
        <v>930</v>
      </c>
    </row>
    <row r="320" spans="1:18" hidden="1" x14ac:dyDescent="0.25">
      <c r="A320" s="11"/>
      <c r="B320" t="s">
        <v>932</v>
      </c>
      <c r="C320" t="s">
        <v>3924</v>
      </c>
      <c r="D320">
        <v>2016</v>
      </c>
      <c r="E320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2028</v>
      </c>
      <c r="F320" t="s">
        <v>1765</v>
      </c>
      <c r="G320">
        <v>425</v>
      </c>
      <c r="I320">
        <v>2018</v>
      </c>
      <c r="J320" t="s">
        <v>1351</v>
      </c>
      <c r="K320" t="s">
        <v>1352</v>
      </c>
      <c r="L320" s="11" t="s">
        <v>1393</v>
      </c>
      <c r="M320">
        <v>425</v>
      </c>
      <c r="N320" s="2">
        <v>43221</v>
      </c>
      <c r="O320" t="s">
        <v>1405</v>
      </c>
      <c r="Q320" t="s">
        <v>1766</v>
      </c>
      <c r="R320" t="s">
        <v>905</v>
      </c>
    </row>
    <row r="321" spans="1:18" hidden="1" x14ac:dyDescent="0.25">
      <c r="A321" s="11"/>
      <c r="B321" t="s">
        <v>933</v>
      </c>
      <c r="C321" t="s">
        <v>3924</v>
      </c>
      <c r="D321">
        <v>2016</v>
      </c>
      <c r="E321">
        <v>2027</v>
      </c>
      <c r="F321" t="s">
        <v>1389</v>
      </c>
      <c r="G321">
        <v>550</v>
      </c>
      <c r="I321">
        <v>2018</v>
      </c>
      <c r="J321" t="s">
        <v>1351</v>
      </c>
      <c r="K321" t="s">
        <v>1352</v>
      </c>
      <c r="L321" s="11" t="s">
        <v>1390</v>
      </c>
      <c r="M321">
        <v>550</v>
      </c>
      <c r="N321" s="2">
        <v>43221</v>
      </c>
      <c r="O321" t="s">
        <v>1354</v>
      </c>
      <c r="Q321" t="s">
        <v>1391</v>
      </c>
      <c r="R321" t="s">
        <v>934</v>
      </c>
    </row>
    <row r="322" spans="1:18" hidden="1" x14ac:dyDescent="0.25">
      <c r="A322" s="11"/>
      <c r="B322" t="s">
        <v>936</v>
      </c>
      <c r="C322" t="s">
        <v>3924</v>
      </c>
      <c r="D322">
        <v>2016</v>
      </c>
      <c r="E322">
        <v>2027</v>
      </c>
      <c r="F322" t="s">
        <v>1392</v>
      </c>
      <c r="G322">
        <v>1100</v>
      </c>
      <c r="I322">
        <v>2018</v>
      </c>
      <c r="J322" t="s">
        <v>1351</v>
      </c>
      <c r="K322" t="s">
        <v>1352</v>
      </c>
      <c r="L322" s="11" t="s">
        <v>1393</v>
      </c>
      <c r="M322">
        <v>1100</v>
      </c>
      <c r="N322" s="2">
        <v>43221</v>
      </c>
      <c r="O322" t="s">
        <v>1394</v>
      </c>
      <c r="Q322" t="s">
        <v>1395</v>
      </c>
      <c r="R322" t="s">
        <v>937</v>
      </c>
    </row>
    <row r="323" spans="1:18" hidden="1" x14ac:dyDescent="0.25">
      <c r="A323" s="11"/>
      <c r="B323" t="s">
        <v>939</v>
      </c>
      <c r="C323" t="s">
        <v>3924</v>
      </c>
      <c r="D323">
        <v>2016</v>
      </c>
      <c r="E323">
        <v>2027</v>
      </c>
      <c r="F323" t="s">
        <v>1396</v>
      </c>
      <c r="G323">
        <v>2530</v>
      </c>
      <c r="I323">
        <v>2018</v>
      </c>
      <c r="J323" t="s">
        <v>1351</v>
      </c>
      <c r="K323" t="s">
        <v>1352</v>
      </c>
      <c r="L323" s="11" t="s">
        <v>1397</v>
      </c>
      <c r="M323">
        <v>2530</v>
      </c>
      <c r="N323" s="2">
        <v>43221</v>
      </c>
      <c r="O323" t="s">
        <v>1354</v>
      </c>
      <c r="Q323" t="s">
        <v>1398</v>
      </c>
      <c r="R323" t="s">
        <v>940</v>
      </c>
    </row>
    <row r="324" spans="1:18" hidden="1" x14ac:dyDescent="0.25">
      <c r="A324" s="11"/>
      <c r="B324" t="s">
        <v>942</v>
      </c>
      <c r="C324" t="s">
        <v>3924</v>
      </c>
      <c r="D324">
        <v>2016</v>
      </c>
      <c r="E324">
        <v>2027</v>
      </c>
      <c r="F324" t="s">
        <v>1443</v>
      </c>
      <c r="G324">
        <v>550</v>
      </c>
      <c r="I324">
        <v>2018</v>
      </c>
      <c r="J324" t="s">
        <v>1351</v>
      </c>
      <c r="K324" t="s">
        <v>1352</v>
      </c>
      <c r="L324" s="11" t="s">
        <v>1444</v>
      </c>
      <c r="M324">
        <v>550</v>
      </c>
      <c r="N324" s="2">
        <v>43221</v>
      </c>
      <c r="O324" t="s">
        <v>1354</v>
      </c>
      <c r="Q324" t="s">
        <v>1445</v>
      </c>
      <c r="R324" t="s">
        <v>943</v>
      </c>
    </row>
    <row r="325" spans="1:18" hidden="1" x14ac:dyDescent="0.25">
      <c r="A325" s="11"/>
      <c r="B325" t="s">
        <v>945</v>
      </c>
      <c r="C325" t="s">
        <v>3924</v>
      </c>
      <c r="D325">
        <v>2016</v>
      </c>
      <c r="E325">
        <v>2027</v>
      </c>
      <c r="F325" t="s">
        <v>1446</v>
      </c>
      <c r="G325">
        <v>1166</v>
      </c>
      <c r="I325">
        <v>2018</v>
      </c>
      <c r="J325" t="s">
        <v>1351</v>
      </c>
      <c r="K325" t="s">
        <v>1352</v>
      </c>
      <c r="L325" s="11" t="s">
        <v>1353</v>
      </c>
      <c r="M325">
        <v>1166</v>
      </c>
      <c r="N325" s="2">
        <v>43221</v>
      </c>
      <c r="O325" t="s">
        <v>1354</v>
      </c>
      <c r="Q325" t="s">
        <v>1447</v>
      </c>
      <c r="R325" t="s">
        <v>946</v>
      </c>
    </row>
    <row r="326" spans="1:18" hidden="1" x14ac:dyDescent="0.25">
      <c r="A326" s="11"/>
      <c r="B326" t="s">
        <v>949</v>
      </c>
      <c r="C326" t="s">
        <v>3924</v>
      </c>
      <c r="D326">
        <v>2018</v>
      </c>
      <c r="E32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326" t="s">
        <v>1492</v>
      </c>
      <c r="G326">
        <v>4400</v>
      </c>
      <c r="I326">
        <v>2019</v>
      </c>
      <c r="J326" t="s">
        <v>1351</v>
      </c>
      <c r="K326" t="s">
        <v>1352</v>
      </c>
      <c r="L326" s="11"/>
      <c r="M326">
        <v>4400</v>
      </c>
      <c r="N326" s="2">
        <v>43586</v>
      </c>
      <c r="O326" t="s">
        <v>1405</v>
      </c>
      <c r="Q326" t="s">
        <v>1493</v>
      </c>
      <c r="R326" t="s">
        <v>950</v>
      </c>
    </row>
    <row r="327" spans="1:18" hidden="1" x14ac:dyDescent="0.25">
      <c r="A327" s="11"/>
      <c r="B327" t="s">
        <v>952</v>
      </c>
      <c r="C327" t="s">
        <v>3924</v>
      </c>
      <c r="D327">
        <v>2018</v>
      </c>
      <c r="E327">
        <v>2028</v>
      </c>
      <c r="F327" t="s">
        <v>1494</v>
      </c>
      <c r="G327">
        <v>1100</v>
      </c>
      <c r="I327">
        <v>2019</v>
      </c>
      <c r="J327" t="s">
        <v>1351</v>
      </c>
      <c r="K327" t="s">
        <v>1352</v>
      </c>
      <c r="L327" s="11" t="s">
        <v>1397</v>
      </c>
      <c r="M327">
        <v>1100</v>
      </c>
      <c r="N327" s="2">
        <v>43586</v>
      </c>
      <c r="O327" t="s">
        <v>1354</v>
      </c>
      <c r="Q327" t="s">
        <v>1495</v>
      </c>
      <c r="R327" t="s">
        <v>953</v>
      </c>
    </row>
    <row r="328" spans="1:18" hidden="1" x14ac:dyDescent="0.25">
      <c r="A328" s="11"/>
      <c r="B328" t="s">
        <v>956</v>
      </c>
      <c r="C328" t="s">
        <v>3924</v>
      </c>
      <c r="D328">
        <v>2018</v>
      </c>
      <c r="E328">
        <v>2028</v>
      </c>
      <c r="F328" t="s">
        <v>1816</v>
      </c>
      <c r="G328">
        <v>460</v>
      </c>
      <c r="I328">
        <v>2019</v>
      </c>
      <c r="J328" t="s">
        <v>1351</v>
      </c>
      <c r="K328" t="s">
        <v>1352</v>
      </c>
      <c r="L328" s="11" t="s">
        <v>1397</v>
      </c>
      <c r="M328">
        <v>460</v>
      </c>
      <c r="N328" s="2">
        <v>43586</v>
      </c>
      <c r="O328" t="s">
        <v>1354</v>
      </c>
      <c r="Q328" t="s">
        <v>1817</v>
      </c>
      <c r="R328" t="s">
        <v>953</v>
      </c>
    </row>
    <row r="329" spans="1:18" hidden="1" x14ac:dyDescent="0.25">
      <c r="A329" s="11"/>
      <c r="B329" t="s">
        <v>957</v>
      </c>
      <c r="C329" t="s">
        <v>3924</v>
      </c>
      <c r="D329">
        <v>2018</v>
      </c>
      <c r="E329" s="8">
        <f>IF(
    AND(
        NOT(LEFT(Tabla1[[#This Row],[status]])="Pending"),
        NOT(ISBLANK(Tabla1[[#This Row],[planted]])),
        NOT(ISBLANK(Tabla1[[#This Row],[planting_date]]))
    ),
    Tabla1[[#This Row],[planting_year]]+10,
    "Not active contract"
)</f>
        <v>2029</v>
      </c>
      <c r="F329" t="s">
        <v>1496</v>
      </c>
      <c r="G329">
        <v>1300</v>
      </c>
      <c r="I329">
        <v>2019</v>
      </c>
      <c r="J329" t="s">
        <v>1351</v>
      </c>
      <c r="K329" t="s">
        <v>1352</v>
      </c>
      <c r="L329" s="11" t="s">
        <v>1397</v>
      </c>
      <c r="M329">
        <v>1300</v>
      </c>
      <c r="N329" s="2">
        <v>43586</v>
      </c>
      <c r="O329" t="s">
        <v>1405</v>
      </c>
      <c r="Q329" s="8" t="str">
        <f>IF(Tabla1[[#This Row],[land_location]]&lt;&gt;"None",_xlfn.CONCAT("POINT(",Tabla1[[#This Row],[land_location]],")"),"No land location info")</f>
        <v>POINT( 30.836336, -84.884128)</v>
      </c>
      <c r="R329" t="s">
        <v>953</v>
      </c>
    </row>
    <row r="330" spans="1:18" hidden="1" x14ac:dyDescent="0.25">
      <c r="A330" s="11"/>
      <c r="B330" t="s">
        <v>958</v>
      </c>
      <c r="C330" t="s">
        <v>3924</v>
      </c>
      <c r="D330">
        <v>2018</v>
      </c>
      <c r="E330">
        <v>2028</v>
      </c>
      <c r="F330" t="s">
        <v>1818</v>
      </c>
      <c r="G330">
        <v>550</v>
      </c>
      <c r="I330">
        <v>2019</v>
      </c>
      <c r="J330" t="s">
        <v>1351</v>
      </c>
      <c r="K330" t="s">
        <v>1352</v>
      </c>
      <c r="L330" s="11" t="s">
        <v>1397</v>
      </c>
      <c r="M330">
        <v>550</v>
      </c>
      <c r="N330" s="2">
        <v>43586</v>
      </c>
      <c r="O330" t="s">
        <v>1354</v>
      </c>
      <c r="Q330" t="s">
        <v>1819</v>
      </c>
      <c r="R330" t="s">
        <v>959</v>
      </c>
    </row>
    <row r="331" spans="1:18" hidden="1" x14ac:dyDescent="0.25">
      <c r="A331" s="11"/>
      <c r="B331" t="s">
        <v>961</v>
      </c>
      <c r="C331" t="s">
        <v>3924</v>
      </c>
      <c r="D331">
        <v>2018</v>
      </c>
      <c r="E331">
        <v>2028</v>
      </c>
      <c r="F331" t="s">
        <v>1820</v>
      </c>
      <c r="G331">
        <v>3400</v>
      </c>
      <c r="I331">
        <v>2019</v>
      </c>
      <c r="J331" t="s">
        <v>1351</v>
      </c>
      <c r="K331" t="s">
        <v>1352</v>
      </c>
      <c r="L331" s="11" t="s">
        <v>1821</v>
      </c>
      <c r="M331">
        <v>3400</v>
      </c>
      <c r="N331" s="2">
        <v>43586</v>
      </c>
      <c r="O331" t="s">
        <v>1354</v>
      </c>
      <c r="Q331" t="s">
        <v>1822</v>
      </c>
      <c r="R331" t="s">
        <v>962</v>
      </c>
    </row>
    <row r="332" spans="1:18" hidden="1" x14ac:dyDescent="0.25">
      <c r="A332" s="11"/>
      <c r="B332" t="s">
        <v>965</v>
      </c>
      <c r="C332" t="s">
        <v>3924</v>
      </c>
      <c r="D332">
        <v>2018</v>
      </c>
      <c r="E332">
        <v>2028</v>
      </c>
      <c r="F332" t="s">
        <v>1823</v>
      </c>
      <c r="G332">
        <v>1100</v>
      </c>
      <c r="I332">
        <v>2019</v>
      </c>
      <c r="J332" t="s">
        <v>1351</v>
      </c>
      <c r="K332" t="s">
        <v>1352</v>
      </c>
      <c r="L332" s="11" t="s">
        <v>1418</v>
      </c>
      <c r="M332">
        <v>1100</v>
      </c>
      <c r="N332" s="2">
        <v>43586</v>
      </c>
      <c r="O332" t="s">
        <v>1354</v>
      </c>
      <c r="Q332" t="s">
        <v>1824</v>
      </c>
      <c r="R332" t="s">
        <v>966</v>
      </c>
    </row>
    <row r="333" spans="1:18" hidden="1" x14ac:dyDescent="0.25">
      <c r="A333" s="11"/>
      <c r="B333" t="s">
        <v>968</v>
      </c>
      <c r="C333" t="s">
        <v>3924</v>
      </c>
      <c r="D333">
        <v>2018</v>
      </c>
      <c r="E333">
        <v>2028</v>
      </c>
      <c r="F333" t="s">
        <v>1825</v>
      </c>
      <c r="G333">
        <v>1320</v>
      </c>
      <c r="I333">
        <v>2019</v>
      </c>
      <c r="J333" t="s">
        <v>1351</v>
      </c>
      <c r="K333" t="s">
        <v>1352</v>
      </c>
      <c r="L333" s="11" t="s">
        <v>1372</v>
      </c>
      <c r="M333">
        <v>1320</v>
      </c>
      <c r="N333" s="2">
        <v>43586</v>
      </c>
      <c r="O333" t="s">
        <v>1354</v>
      </c>
      <c r="Q333" t="s">
        <v>1826</v>
      </c>
      <c r="R333" t="s">
        <v>969</v>
      </c>
    </row>
    <row r="334" spans="1:18" hidden="1" x14ac:dyDescent="0.25">
      <c r="A334" s="11"/>
      <c r="B334" t="s">
        <v>971</v>
      </c>
      <c r="C334" t="s">
        <v>3924</v>
      </c>
      <c r="D334">
        <v>2018</v>
      </c>
      <c r="E334">
        <v>2028</v>
      </c>
      <c r="F334" t="s">
        <v>1827</v>
      </c>
      <c r="G334">
        <v>1100</v>
      </c>
      <c r="I334">
        <v>2019</v>
      </c>
      <c r="J334" t="s">
        <v>1351</v>
      </c>
      <c r="K334" t="s">
        <v>1352</v>
      </c>
      <c r="L334" s="11" t="s">
        <v>1397</v>
      </c>
      <c r="M334">
        <v>1100</v>
      </c>
      <c r="N334" s="2">
        <v>43586</v>
      </c>
      <c r="O334" t="s">
        <v>1354</v>
      </c>
      <c r="Q334" t="s">
        <v>1828</v>
      </c>
      <c r="R334" t="s">
        <v>972</v>
      </c>
    </row>
    <row r="335" spans="1:18" hidden="1" x14ac:dyDescent="0.25">
      <c r="A335" s="11"/>
      <c r="B335" t="s">
        <v>974</v>
      </c>
      <c r="C335" t="s">
        <v>3924</v>
      </c>
      <c r="D335">
        <v>2017</v>
      </c>
      <c r="E335">
        <v>2028</v>
      </c>
      <c r="F335" t="s">
        <v>1484</v>
      </c>
      <c r="G335">
        <v>15620</v>
      </c>
      <c r="I335">
        <v>2019</v>
      </c>
      <c r="J335" t="s">
        <v>1351</v>
      </c>
      <c r="K335" t="s">
        <v>1352</v>
      </c>
      <c r="L335" s="11" t="s">
        <v>1388</v>
      </c>
      <c r="M335">
        <v>15620</v>
      </c>
      <c r="N335" s="2">
        <v>43586</v>
      </c>
      <c r="O335" t="s">
        <v>1354</v>
      </c>
      <c r="Q335" t="s">
        <v>1485</v>
      </c>
      <c r="R335" t="s">
        <v>923</v>
      </c>
    </row>
    <row r="336" spans="1:18" hidden="1" x14ac:dyDescent="0.25">
      <c r="A336" s="11"/>
      <c r="B336" t="s">
        <v>975</v>
      </c>
      <c r="C336" t="s">
        <v>3924</v>
      </c>
      <c r="D336">
        <v>2018</v>
      </c>
      <c r="E336">
        <v>2028</v>
      </c>
      <c r="F336" t="s">
        <v>1829</v>
      </c>
      <c r="G336">
        <v>3170</v>
      </c>
      <c r="I336">
        <v>2019</v>
      </c>
      <c r="J336" t="s">
        <v>1351</v>
      </c>
      <c r="K336" t="s">
        <v>1352</v>
      </c>
      <c r="L336" s="11" t="s">
        <v>1830</v>
      </c>
      <c r="M336">
        <v>3170</v>
      </c>
      <c r="N336" s="2">
        <v>43586</v>
      </c>
      <c r="O336" t="s">
        <v>1354</v>
      </c>
      <c r="Q336" t="s">
        <v>1831</v>
      </c>
      <c r="R336" t="s">
        <v>976</v>
      </c>
    </row>
    <row r="337" spans="1:18" hidden="1" x14ac:dyDescent="0.25">
      <c r="A337" s="11"/>
      <c r="B337" t="s">
        <v>978</v>
      </c>
      <c r="C337" t="s">
        <v>3924</v>
      </c>
      <c r="D337">
        <v>2018</v>
      </c>
      <c r="E337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337" t="s">
        <v>2024</v>
      </c>
      <c r="G337">
        <v>1100</v>
      </c>
      <c r="I337">
        <v>2019</v>
      </c>
      <c r="J337" t="s">
        <v>1351</v>
      </c>
      <c r="K337" t="s">
        <v>1352</v>
      </c>
      <c r="L337" s="11"/>
      <c r="M337">
        <v>1100</v>
      </c>
      <c r="N337" s="2">
        <v>43586</v>
      </c>
      <c r="O337" t="s">
        <v>1405</v>
      </c>
      <c r="Q337" t="s">
        <v>2025</v>
      </c>
      <c r="R337" t="s">
        <v>979</v>
      </c>
    </row>
    <row r="338" spans="1:18" hidden="1" x14ac:dyDescent="0.25">
      <c r="A338" s="11"/>
      <c r="B338" t="s">
        <v>981</v>
      </c>
      <c r="C338" t="s">
        <v>3924</v>
      </c>
      <c r="D338">
        <v>2018</v>
      </c>
      <c r="E338">
        <v>2028</v>
      </c>
      <c r="F338" t="s">
        <v>1546</v>
      </c>
      <c r="G338">
        <v>1100</v>
      </c>
      <c r="I338">
        <v>2019</v>
      </c>
      <c r="J338" t="s">
        <v>1351</v>
      </c>
      <c r="K338" t="s">
        <v>1352</v>
      </c>
      <c r="L338" s="11" t="s">
        <v>1547</v>
      </c>
      <c r="M338">
        <v>1100</v>
      </c>
      <c r="N338" s="2">
        <v>43586</v>
      </c>
      <c r="O338" t="s">
        <v>1354</v>
      </c>
      <c r="Q338" t="s">
        <v>1548</v>
      </c>
      <c r="R338" t="s">
        <v>982</v>
      </c>
    </row>
    <row r="339" spans="1:18" hidden="1" x14ac:dyDescent="0.25">
      <c r="A339" s="11"/>
      <c r="B339" t="s">
        <v>984</v>
      </c>
      <c r="C339" t="s">
        <v>3924</v>
      </c>
      <c r="D339">
        <v>2018</v>
      </c>
      <c r="E339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339" t="s">
        <v>1549</v>
      </c>
      <c r="G339">
        <v>1100</v>
      </c>
      <c r="I339">
        <v>2019</v>
      </c>
      <c r="J339" t="s">
        <v>1351</v>
      </c>
      <c r="K339" t="s">
        <v>1352</v>
      </c>
      <c r="L339" s="11" t="s">
        <v>1550</v>
      </c>
      <c r="M339">
        <v>1100</v>
      </c>
      <c r="N339" s="2">
        <v>43586</v>
      </c>
      <c r="O339" t="s">
        <v>1405</v>
      </c>
      <c r="Q339" t="s">
        <v>1551</v>
      </c>
      <c r="R339" t="s">
        <v>985</v>
      </c>
    </row>
    <row r="340" spans="1:18" hidden="1" x14ac:dyDescent="0.25">
      <c r="A340" s="11"/>
      <c r="B340" t="s">
        <v>988</v>
      </c>
      <c r="C340" t="s">
        <v>3924</v>
      </c>
      <c r="D340">
        <v>2018</v>
      </c>
      <c r="E340">
        <v>2028</v>
      </c>
      <c r="F340" t="s">
        <v>1833</v>
      </c>
      <c r="G340">
        <v>1100</v>
      </c>
      <c r="I340">
        <v>2019</v>
      </c>
      <c r="J340" t="s">
        <v>1351</v>
      </c>
      <c r="K340" t="s">
        <v>1352</v>
      </c>
      <c r="L340" s="11" t="s">
        <v>1390</v>
      </c>
      <c r="M340">
        <v>1100</v>
      </c>
      <c r="N340" s="2">
        <v>43586</v>
      </c>
      <c r="O340" t="s">
        <v>1354</v>
      </c>
      <c r="Q340" t="s">
        <v>1834</v>
      </c>
      <c r="R340" t="s">
        <v>989</v>
      </c>
    </row>
    <row r="341" spans="1:18" hidden="1" x14ac:dyDescent="0.25">
      <c r="A341" s="11"/>
      <c r="B341" t="s">
        <v>991</v>
      </c>
      <c r="C341" t="s">
        <v>3924</v>
      </c>
      <c r="D341">
        <v>2018</v>
      </c>
      <c r="E34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2029</v>
      </c>
      <c r="F341" t="s">
        <v>1835</v>
      </c>
      <c r="G341">
        <v>1100</v>
      </c>
      <c r="I341">
        <v>2019</v>
      </c>
      <c r="J341" t="s">
        <v>1351</v>
      </c>
      <c r="K341" t="s">
        <v>1352</v>
      </c>
      <c r="L341" s="11"/>
      <c r="M341">
        <v>1100</v>
      </c>
      <c r="N341" s="2">
        <v>43586</v>
      </c>
      <c r="O341" t="s">
        <v>1405</v>
      </c>
      <c r="Q341" t="s">
        <v>1836</v>
      </c>
      <c r="R341" t="s">
        <v>992</v>
      </c>
    </row>
    <row r="342" spans="1:18" hidden="1" x14ac:dyDescent="0.25">
      <c r="A342" s="11"/>
      <c r="B342" t="s">
        <v>994</v>
      </c>
      <c r="C342" t="s">
        <v>3924</v>
      </c>
      <c r="D342">
        <v>2018</v>
      </c>
      <c r="E342">
        <v>2028</v>
      </c>
      <c r="F342" t="s">
        <v>1837</v>
      </c>
      <c r="G342">
        <v>880</v>
      </c>
      <c r="I342">
        <v>2019</v>
      </c>
      <c r="J342" t="s">
        <v>1351</v>
      </c>
      <c r="K342" t="s">
        <v>1352</v>
      </c>
      <c r="L342" s="11" t="s">
        <v>1418</v>
      </c>
      <c r="M342">
        <v>880</v>
      </c>
      <c r="N342" s="2">
        <v>43586</v>
      </c>
      <c r="O342" t="s">
        <v>1354</v>
      </c>
      <c r="Q342" t="s">
        <v>1838</v>
      </c>
      <c r="R342" t="s">
        <v>995</v>
      </c>
    </row>
    <row r="343" spans="1:18" hidden="1" x14ac:dyDescent="0.25">
      <c r="A343" s="11"/>
      <c r="B343" t="s">
        <v>997</v>
      </c>
      <c r="C343" t="s">
        <v>3924</v>
      </c>
      <c r="D343">
        <v>2018</v>
      </c>
      <c r="E343">
        <v>2028</v>
      </c>
      <c r="F343" t="s">
        <v>1902</v>
      </c>
      <c r="G343">
        <v>1100</v>
      </c>
      <c r="I343">
        <v>2019</v>
      </c>
      <c r="J343" t="s">
        <v>1351</v>
      </c>
      <c r="K343" t="s">
        <v>1352</v>
      </c>
      <c r="L343" s="11" t="s">
        <v>1903</v>
      </c>
      <c r="M343">
        <v>1100</v>
      </c>
      <c r="N343" s="2">
        <v>43586</v>
      </c>
      <c r="O343" t="s">
        <v>1405</v>
      </c>
      <c r="Q343" t="s">
        <v>1904</v>
      </c>
      <c r="R343" t="s">
        <v>998</v>
      </c>
    </row>
    <row r="344" spans="1:18" hidden="1" x14ac:dyDescent="0.25">
      <c r="A344" s="11"/>
      <c r="B344" t="s">
        <v>1000</v>
      </c>
      <c r="C344" t="s">
        <v>3924</v>
      </c>
      <c r="D344">
        <v>2018</v>
      </c>
      <c r="E344">
        <v>2028</v>
      </c>
      <c r="F344" t="s">
        <v>1561</v>
      </c>
      <c r="G344">
        <v>1100</v>
      </c>
      <c r="I344">
        <v>2019</v>
      </c>
      <c r="J344" t="s">
        <v>1351</v>
      </c>
      <c r="K344" t="s">
        <v>1352</v>
      </c>
      <c r="L344" s="11" t="s">
        <v>1418</v>
      </c>
      <c r="M344">
        <v>1100</v>
      </c>
      <c r="N344" s="2">
        <v>43586</v>
      </c>
      <c r="O344" t="s">
        <v>1354</v>
      </c>
      <c r="Q344" t="s">
        <v>1562</v>
      </c>
      <c r="R344" t="s">
        <v>1001</v>
      </c>
    </row>
    <row r="345" spans="1:18" hidden="1" x14ac:dyDescent="0.25">
      <c r="A345" s="11"/>
      <c r="B345" t="s">
        <v>1003</v>
      </c>
      <c r="C345" t="s">
        <v>3924</v>
      </c>
      <c r="D345">
        <v>2020</v>
      </c>
      <c r="E345">
        <v>2029</v>
      </c>
      <c r="F345" t="s">
        <v>1619</v>
      </c>
      <c r="G345">
        <v>1100</v>
      </c>
      <c r="I345">
        <v>2020</v>
      </c>
      <c r="J345" t="s">
        <v>1351</v>
      </c>
      <c r="K345" t="s">
        <v>1352</v>
      </c>
      <c r="L345" s="11" t="s">
        <v>1620</v>
      </c>
      <c r="M345">
        <v>1100</v>
      </c>
      <c r="N345" s="2">
        <v>43952</v>
      </c>
      <c r="O345" t="s">
        <v>1354</v>
      </c>
      <c r="Q345" t="s">
        <v>1621</v>
      </c>
      <c r="R345" t="s">
        <v>1004</v>
      </c>
    </row>
    <row r="346" spans="1:18" hidden="1" x14ac:dyDescent="0.25">
      <c r="A346" s="11"/>
      <c r="B346" t="s">
        <v>1006</v>
      </c>
      <c r="C346" t="s">
        <v>3924</v>
      </c>
      <c r="D346">
        <v>2020</v>
      </c>
      <c r="E34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346" t="s">
        <v>1622</v>
      </c>
      <c r="G346">
        <v>3300</v>
      </c>
      <c r="I346">
        <v>2020</v>
      </c>
      <c r="J346" t="s">
        <v>1351</v>
      </c>
      <c r="K346" t="s">
        <v>1352</v>
      </c>
      <c r="L346" s="11" t="s">
        <v>1623</v>
      </c>
      <c r="M346">
        <v>3300</v>
      </c>
      <c r="N346" s="2">
        <v>43952</v>
      </c>
      <c r="O346" t="s">
        <v>1405</v>
      </c>
      <c r="Q346" t="s">
        <v>1624</v>
      </c>
      <c r="R346" t="s">
        <v>1007</v>
      </c>
    </row>
    <row r="347" spans="1:18" hidden="1" x14ac:dyDescent="0.25">
      <c r="A347" s="11"/>
      <c r="B347" t="s">
        <v>1010</v>
      </c>
      <c r="C347" t="s">
        <v>3924</v>
      </c>
      <c r="D347">
        <v>2020</v>
      </c>
      <c r="E347">
        <v>2029</v>
      </c>
      <c r="F347" t="s">
        <v>1625</v>
      </c>
      <c r="G347">
        <v>1100</v>
      </c>
      <c r="I347">
        <v>2020</v>
      </c>
      <c r="J347" t="s">
        <v>1351</v>
      </c>
      <c r="K347" t="s">
        <v>1352</v>
      </c>
      <c r="L347" s="11" t="s">
        <v>1620</v>
      </c>
      <c r="M347">
        <v>1100</v>
      </c>
      <c r="N347" s="2">
        <v>43952</v>
      </c>
      <c r="O347" t="s">
        <v>1354</v>
      </c>
      <c r="Q347" t="s">
        <v>1626</v>
      </c>
      <c r="R347" t="s">
        <v>1011</v>
      </c>
    </row>
    <row r="348" spans="1:18" hidden="1" x14ac:dyDescent="0.25">
      <c r="A348" s="11"/>
      <c r="B348" t="s">
        <v>1013</v>
      </c>
      <c r="C348" t="s">
        <v>3924</v>
      </c>
      <c r="D348">
        <v>2020</v>
      </c>
      <c r="E348">
        <v>2029</v>
      </c>
      <c r="F348" t="s">
        <v>1627</v>
      </c>
      <c r="G348">
        <v>500</v>
      </c>
      <c r="I348">
        <v>2020</v>
      </c>
      <c r="J348" t="s">
        <v>1351</v>
      </c>
      <c r="K348" t="s">
        <v>1352</v>
      </c>
      <c r="L348" s="11" t="s">
        <v>1431</v>
      </c>
      <c r="M348">
        <v>500</v>
      </c>
      <c r="N348" s="2">
        <v>43952</v>
      </c>
      <c r="O348" t="s">
        <v>1354</v>
      </c>
      <c r="Q348" t="s">
        <v>1628</v>
      </c>
      <c r="R348" t="s">
        <v>1014</v>
      </c>
    </row>
    <row r="349" spans="1:18" hidden="1" x14ac:dyDescent="0.25">
      <c r="A349" s="11"/>
      <c r="B349" t="s">
        <v>1016</v>
      </c>
      <c r="C349" t="s">
        <v>3924</v>
      </c>
      <c r="D349">
        <v>2018</v>
      </c>
      <c r="E349">
        <v>2029</v>
      </c>
      <c r="F349" t="s">
        <v>1415</v>
      </c>
      <c r="G349">
        <v>1320</v>
      </c>
      <c r="I349">
        <v>2020</v>
      </c>
      <c r="J349" t="s">
        <v>1351</v>
      </c>
      <c r="K349" t="s">
        <v>1352</v>
      </c>
      <c r="L349" s="11" t="s">
        <v>1397</v>
      </c>
      <c r="M349">
        <v>1320</v>
      </c>
      <c r="N349" s="2">
        <v>43952</v>
      </c>
      <c r="O349" t="s">
        <v>1354</v>
      </c>
      <c r="Q349" t="s">
        <v>1416</v>
      </c>
      <c r="R349" t="s">
        <v>953</v>
      </c>
    </row>
    <row r="350" spans="1:18" hidden="1" x14ac:dyDescent="0.25">
      <c r="A350" s="11"/>
      <c r="B350" t="s">
        <v>1017</v>
      </c>
      <c r="C350" t="s">
        <v>3924</v>
      </c>
      <c r="D350">
        <v>2020</v>
      </c>
      <c r="E350">
        <v>2029</v>
      </c>
      <c r="F350" t="s">
        <v>1629</v>
      </c>
      <c r="G350">
        <v>1650</v>
      </c>
      <c r="I350">
        <v>2020</v>
      </c>
      <c r="J350" t="s">
        <v>1351</v>
      </c>
      <c r="K350" t="s">
        <v>1352</v>
      </c>
      <c r="L350" s="11" t="s">
        <v>1630</v>
      </c>
      <c r="M350">
        <v>1650</v>
      </c>
      <c r="N350" s="2">
        <v>43952</v>
      </c>
      <c r="O350" t="s">
        <v>1354</v>
      </c>
      <c r="Q350" t="s">
        <v>1631</v>
      </c>
      <c r="R350" t="s">
        <v>1018</v>
      </c>
    </row>
    <row r="351" spans="1:18" hidden="1" x14ac:dyDescent="0.25">
      <c r="A351" s="11"/>
      <c r="B351" t="s">
        <v>1020</v>
      </c>
      <c r="C351" t="s">
        <v>3924</v>
      </c>
      <c r="D351">
        <v>2020</v>
      </c>
      <c r="E351">
        <v>2029</v>
      </c>
      <c r="F351" t="s">
        <v>1632</v>
      </c>
      <c r="G351">
        <v>1100</v>
      </c>
      <c r="I351">
        <v>2020</v>
      </c>
      <c r="J351" t="s">
        <v>1351</v>
      </c>
      <c r="K351" t="s">
        <v>1352</v>
      </c>
      <c r="L351" s="11" t="s">
        <v>1390</v>
      </c>
      <c r="M351">
        <v>1100</v>
      </c>
      <c r="N351" s="2">
        <v>43952</v>
      </c>
      <c r="O351" t="s">
        <v>1354</v>
      </c>
      <c r="Q351" t="s">
        <v>1633</v>
      </c>
      <c r="R351" t="s">
        <v>1021</v>
      </c>
    </row>
    <row r="352" spans="1:18" hidden="1" x14ac:dyDescent="0.25">
      <c r="A352" s="11"/>
      <c r="B352" t="s">
        <v>1024</v>
      </c>
      <c r="C352" t="s">
        <v>3924</v>
      </c>
      <c r="D352">
        <v>2020</v>
      </c>
      <c r="E352">
        <v>2029</v>
      </c>
      <c r="F352" t="s">
        <v>1634</v>
      </c>
      <c r="G352">
        <v>1360</v>
      </c>
      <c r="I352">
        <v>2020</v>
      </c>
      <c r="J352" t="s">
        <v>1351</v>
      </c>
      <c r="K352" t="s">
        <v>1352</v>
      </c>
      <c r="L352" s="11" t="s">
        <v>1635</v>
      </c>
      <c r="M352">
        <v>1360</v>
      </c>
      <c r="N352" s="2">
        <v>43952</v>
      </c>
      <c r="O352" t="s">
        <v>1354</v>
      </c>
      <c r="Q352" t="s">
        <v>1636</v>
      </c>
      <c r="R352" t="s">
        <v>1025</v>
      </c>
    </row>
    <row r="353" spans="1:18" hidden="1" x14ac:dyDescent="0.25">
      <c r="A353" s="11"/>
      <c r="B353" t="s">
        <v>1028</v>
      </c>
      <c r="C353" t="s">
        <v>3924</v>
      </c>
      <c r="D353">
        <v>2020</v>
      </c>
      <c r="E353">
        <v>2029</v>
      </c>
      <c r="F353" t="s">
        <v>2176</v>
      </c>
      <c r="G353">
        <v>1100</v>
      </c>
      <c r="I353">
        <v>2020</v>
      </c>
      <c r="J353" t="s">
        <v>1351</v>
      </c>
      <c r="K353" t="s">
        <v>1352</v>
      </c>
      <c r="L353" s="11" t="s">
        <v>2175</v>
      </c>
      <c r="M353">
        <v>1100</v>
      </c>
      <c r="N353" s="2">
        <v>43952</v>
      </c>
      <c r="O353" t="s">
        <v>1405</v>
      </c>
      <c r="Q353" t="s">
        <v>2177</v>
      </c>
      <c r="R353" t="s">
        <v>1029</v>
      </c>
    </row>
    <row r="354" spans="1:18" hidden="1" x14ac:dyDescent="0.25">
      <c r="A354" s="11"/>
      <c r="B354" t="s">
        <v>1031</v>
      </c>
      <c r="C354" t="s">
        <v>3924</v>
      </c>
      <c r="D354">
        <v>2020</v>
      </c>
      <c r="E354">
        <v>2029</v>
      </c>
      <c r="F354" t="s">
        <v>1672</v>
      </c>
      <c r="G354">
        <v>2200</v>
      </c>
      <c r="I354">
        <v>2020</v>
      </c>
      <c r="J354" t="s">
        <v>1351</v>
      </c>
      <c r="K354" t="s">
        <v>1352</v>
      </c>
      <c r="L354" s="11" t="s">
        <v>1673</v>
      </c>
      <c r="M354">
        <v>2200</v>
      </c>
      <c r="N354" s="2">
        <v>43952</v>
      </c>
      <c r="O354" t="s">
        <v>1354</v>
      </c>
      <c r="Q354" t="s">
        <v>1674</v>
      </c>
      <c r="R354" t="s">
        <v>1032</v>
      </c>
    </row>
    <row r="355" spans="1:18" hidden="1" x14ac:dyDescent="0.25">
      <c r="A355" s="11"/>
      <c r="B355" t="s">
        <v>1034</v>
      </c>
      <c r="C355" t="s">
        <v>3924</v>
      </c>
      <c r="D355">
        <v>2020</v>
      </c>
      <c r="E355">
        <v>2029</v>
      </c>
      <c r="F355" t="s">
        <v>1417</v>
      </c>
      <c r="G355">
        <v>550</v>
      </c>
      <c r="I355">
        <v>2020</v>
      </c>
      <c r="J355" t="s">
        <v>1351</v>
      </c>
      <c r="K355" t="s">
        <v>1352</v>
      </c>
      <c r="L355" s="11" t="s">
        <v>1418</v>
      </c>
      <c r="M355">
        <v>550</v>
      </c>
      <c r="N355" s="2">
        <v>43952</v>
      </c>
      <c r="O355" t="s">
        <v>1354</v>
      </c>
      <c r="Q355" t="s">
        <v>1419</v>
      </c>
      <c r="R355" t="s">
        <v>966</v>
      </c>
    </row>
    <row r="356" spans="1:18" hidden="1" x14ac:dyDescent="0.25">
      <c r="A356" s="11"/>
      <c r="B356" t="s">
        <v>1035</v>
      </c>
      <c r="C356" t="s">
        <v>3924</v>
      </c>
      <c r="D356">
        <v>2020</v>
      </c>
      <c r="E356">
        <v>2029</v>
      </c>
      <c r="F356" t="s">
        <v>1420</v>
      </c>
      <c r="G356">
        <v>440</v>
      </c>
      <c r="I356">
        <v>2020</v>
      </c>
      <c r="J356" t="s">
        <v>1351</v>
      </c>
      <c r="K356" t="s">
        <v>1352</v>
      </c>
      <c r="L356" s="11" t="s">
        <v>1397</v>
      </c>
      <c r="M356">
        <v>440</v>
      </c>
      <c r="N356" s="2">
        <v>43952</v>
      </c>
      <c r="O356" t="s">
        <v>1354</v>
      </c>
      <c r="Q356" t="s">
        <v>1421</v>
      </c>
      <c r="R356" t="s">
        <v>972</v>
      </c>
    </row>
    <row r="357" spans="1:18" hidden="1" x14ac:dyDescent="0.25">
      <c r="A357" s="11"/>
      <c r="B357" t="s">
        <v>1036</v>
      </c>
      <c r="C357" t="s">
        <v>3924</v>
      </c>
      <c r="D357">
        <v>2020</v>
      </c>
      <c r="E357">
        <v>2029</v>
      </c>
      <c r="F357" t="s">
        <v>1863</v>
      </c>
      <c r="G357">
        <v>1100</v>
      </c>
      <c r="I357">
        <v>2020</v>
      </c>
      <c r="J357" t="s">
        <v>1351</v>
      </c>
      <c r="K357" t="s">
        <v>1352</v>
      </c>
      <c r="L357" s="11" t="s">
        <v>1372</v>
      </c>
      <c r="M357">
        <v>1100</v>
      </c>
      <c r="N357" s="2">
        <v>43952</v>
      </c>
      <c r="O357" t="s">
        <v>1354</v>
      </c>
      <c r="Q357" t="s">
        <v>1864</v>
      </c>
      <c r="R357" t="s">
        <v>1037</v>
      </c>
    </row>
    <row r="358" spans="1:18" hidden="1" x14ac:dyDescent="0.25">
      <c r="A358" s="11"/>
      <c r="B358" t="s">
        <v>1039</v>
      </c>
      <c r="C358" t="s">
        <v>3924</v>
      </c>
      <c r="D358">
        <v>2020</v>
      </c>
      <c r="E358">
        <v>2029</v>
      </c>
      <c r="F358" t="s">
        <v>1865</v>
      </c>
      <c r="G358">
        <v>1100</v>
      </c>
      <c r="I358">
        <v>2020</v>
      </c>
      <c r="J358" t="s">
        <v>1351</v>
      </c>
      <c r="K358" t="s">
        <v>1352</v>
      </c>
      <c r="L358" s="11" t="s">
        <v>1763</v>
      </c>
      <c r="M358">
        <v>1100</v>
      </c>
      <c r="N358" s="2">
        <v>43952</v>
      </c>
      <c r="O358" t="s">
        <v>1354</v>
      </c>
      <c r="Q358" t="s">
        <v>1866</v>
      </c>
      <c r="R358" t="s">
        <v>1040</v>
      </c>
    </row>
    <row r="359" spans="1:18" hidden="1" x14ac:dyDescent="0.25">
      <c r="A359" s="11"/>
      <c r="B359" t="s">
        <v>1043</v>
      </c>
      <c r="C359" t="s">
        <v>3924</v>
      </c>
      <c r="D359">
        <v>2020</v>
      </c>
      <c r="E359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359" t="s">
        <v>1867</v>
      </c>
      <c r="G359">
        <v>5500</v>
      </c>
      <c r="I359">
        <v>2020</v>
      </c>
      <c r="J359" t="s">
        <v>1351</v>
      </c>
      <c r="K359" t="s">
        <v>1352</v>
      </c>
      <c r="L359" s="11" t="s">
        <v>1868</v>
      </c>
      <c r="M359">
        <v>5500</v>
      </c>
      <c r="N359" s="2">
        <v>43952</v>
      </c>
      <c r="O359" t="s">
        <v>1405</v>
      </c>
      <c r="Q359" t="s">
        <v>1869</v>
      </c>
      <c r="R359" t="s">
        <v>1044</v>
      </c>
    </row>
    <row r="360" spans="1:18" hidden="1" x14ac:dyDescent="0.25">
      <c r="A360" s="11"/>
      <c r="B360" t="s">
        <v>1046</v>
      </c>
      <c r="C360" t="s">
        <v>3924</v>
      </c>
      <c r="D360">
        <v>2020</v>
      </c>
      <c r="E360">
        <v>2029</v>
      </c>
      <c r="F360" t="s">
        <v>1870</v>
      </c>
      <c r="G360">
        <v>2200</v>
      </c>
      <c r="I360">
        <v>2020</v>
      </c>
      <c r="J360" t="s">
        <v>1351</v>
      </c>
      <c r="K360" t="s">
        <v>1352</v>
      </c>
      <c r="L360" s="11" t="s">
        <v>1871</v>
      </c>
      <c r="M360">
        <v>2200</v>
      </c>
      <c r="N360" s="2">
        <v>43952</v>
      </c>
      <c r="O360" t="s">
        <v>1354</v>
      </c>
      <c r="Q360" t="s">
        <v>1872</v>
      </c>
      <c r="R360" t="s">
        <v>1047</v>
      </c>
    </row>
    <row r="361" spans="1:18" hidden="1" x14ac:dyDescent="0.25">
      <c r="A361" s="11"/>
      <c r="B361" t="s">
        <v>1049</v>
      </c>
      <c r="C361" t="s">
        <v>3924</v>
      </c>
      <c r="D361">
        <v>2020</v>
      </c>
      <c r="E361">
        <v>2029</v>
      </c>
      <c r="F361" t="s">
        <v>1873</v>
      </c>
      <c r="G361">
        <v>1100</v>
      </c>
      <c r="I361">
        <v>2020</v>
      </c>
      <c r="J361" t="s">
        <v>1351</v>
      </c>
      <c r="K361" t="s">
        <v>1352</v>
      </c>
      <c r="L361" s="11" t="s">
        <v>1444</v>
      </c>
      <c r="M361">
        <v>1100</v>
      </c>
      <c r="N361" s="2">
        <v>43952</v>
      </c>
      <c r="O361" t="s">
        <v>1354</v>
      </c>
      <c r="Q361" t="s">
        <v>1874</v>
      </c>
      <c r="R361" t="s">
        <v>1050</v>
      </c>
    </row>
    <row r="362" spans="1:18" hidden="1" x14ac:dyDescent="0.25">
      <c r="A362" s="11"/>
      <c r="B362" t="s">
        <v>1053</v>
      </c>
      <c r="C362" t="s">
        <v>3924</v>
      </c>
      <c r="D362">
        <v>2020</v>
      </c>
      <c r="E362">
        <v>2029</v>
      </c>
      <c r="F362" t="s">
        <v>1875</v>
      </c>
      <c r="G362">
        <v>1100</v>
      </c>
      <c r="I362">
        <v>2020</v>
      </c>
      <c r="J362" t="s">
        <v>1351</v>
      </c>
      <c r="K362" t="s">
        <v>1352</v>
      </c>
      <c r="L362" s="11" t="s">
        <v>1876</v>
      </c>
      <c r="M362">
        <v>1100</v>
      </c>
      <c r="N362" s="2">
        <v>43952</v>
      </c>
      <c r="O362" t="s">
        <v>1354</v>
      </c>
      <c r="Q362" t="s">
        <v>1877</v>
      </c>
      <c r="R362" t="s">
        <v>1054</v>
      </c>
    </row>
    <row r="363" spans="1:18" hidden="1" x14ac:dyDescent="0.25">
      <c r="A363" s="11"/>
      <c r="B363" t="s">
        <v>1056</v>
      </c>
      <c r="C363" t="s">
        <v>3924</v>
      </c>
      <c r="D363">
        <v>2020</v>
      </c>
      <c r="E363">
        <v>2029</v>
      </c>
      <c r="F363" t="s">
        <v>1878</v>
      </c>
      <c r="G363">
        <v>1100</v>
      </c>
      <c r="I363">
        <v>2020</v>
      </c>
      <c r="J363" t="s">
        <v>1351</v>
      </c>
      <c r="K363" t="s">
        <v>1352</v>
      </c>
      <c r="L363" s="11" t="s">
        <v>1879</v>
      </c>
      <c r="M363">
        <v>1100</v>
      </c>
      <c r="N363" s="2">
        <v>43952</v>
      </c>
      <c r="O363" t="s">
        <v>1354</v>
      </c>
      <c r="Q363" t="s">
        <v>1880</v>
      </c>
      <c r="R363" t="s">
        <v>1057</v>
      </c>
    </row>
    <row r="364" spans="1:18" hidden="1" x14ac:dyDescent="0.25">
      <c r="A364" s="11"/>
      <c r="B364" t="s">
        <v>1060</v>
      </c>
      <c r="C364" t="s">
        <v>3924</v>
      </c>
      <c r="D364">
        <v>2020</v>
      </c>
      <c r="E364">
        <v>2029</v>
      </c>
      <c r="F364" t="s">
        <v>1881</v>
      </c>
      <c r="G364">
        <v>1100</v>
      </c>
      <c r="I364">
        <v>2020</v>
      </c>
      <c r="J364" t="s">
        <v>1351</v>
      </c>
      <c r="K364" t="s">
        <v>1352</v>
      </c>
      <c r="L364" s="11" t="s">
        <v>1763</v>
      </c>
      <c r="M364">
        <v>1100</v>
      </c>
      <c r="N364" s="2">
        <v>43952</v>
      </c>
      <c r="O364" t="s">
        <v>1354</v>
      </c>
      <c r="Q364" t="s">
        <v>1882</v>
      </c>
      <c r="R364" t="s">
        <v>1061</v>
      </c>
    </row>
    <row r="365" spans="1:18" hidden="1" x14ac:dyDescent="0.25">
      <c r="A365" s="11"/>
      <c r="B365" t="s">
        <v>1063</v>
      </c>
      <c r="C365" t="s">
        <v>3924</v>
      </c>
      <c r="D365">
        <v>2020</v>
      </c>
      <c r="E36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365" t="s">
        <v>1883</v>
      </c>
      <c r="G365">
        <v>1100</v>
      </c>
      <c r="I365">
        <v>2020</v>
      </c>
      <c r="J365" t="s">
        <v>1351</v>
      </c>
      <c r="K365" t="s">
        <v>1352</v>
      </c>
      <c r="L365" s="11" t="s">
        <v>1763</v>
      </c>
      <c r="M365">
        <v>1100</v>
      </c>
      <c r="N365" s="2">
        <v>43952</v>
      </c>
      <c r="O365" t="s">
        <v>1405</v>
      </c>
      <c r="Q365" t="s">
        <v>1884</v>
      </c>
      <c r="R365" t="s">
        <v>1064</v>
      </c>
    </row>
    <row r="366" spans="1:18" hidden="1" x14ac:dyDescent="0.25">
      <c r="A366" s="11"/>
      <c r="B366" t="s">
        <v>1067</v>
      </c>
      <c r="C366" t="s">
        <v>3924</v>
      </c>
      <c r="D366">
        <v>2020</v>
      </c>
      <c r="E366">
        <v>2029</v>
      </c>
      <c r="F366" t="s">
        <v>1885</v>
      </c>
      <c r="G366">
        <v>1100</v>
      </c>
      <c r="I366">
        <v>2020</v>
      </c>
      <c r="J366" t="s">
        <v>1351</v>
      </c>
      <c r="K366" t="s">
        <v>1352</v>
      </c>
      <c r="L366" s="11" t="s">
        <v>1400</v>
      </c>
      <c r="M366">
        <v>1100</v>
      </c>
      <c r="N366" s="2">
        <v>43952</v>
      </c>
      <c r="O366" t="s">
        <v>1354</v>
      </c>
      <c r="Q366" t="s">
        <v>1886</v>
      </c>
      <c r="R366" t="s">
        <v>1068</v>
      </c>
    </row>
    <row r="367" spans="1:18" hidden="1" x14ac:dyDescent="0.25">
      <c r="A367" s="11"/>
      <c r="B367" t="s">
        <v>1070</v>
      </c>
      <c r="C367" t="s">
        <v>3924</v>
      </c>
      <c r="D367">
        <v>2020</v>
      </c>
      <c r="E367">
        <v>2029</v>
      </c>
      <c r="F367" t="s">
        <v>1887</v>
      </c>
      <c r="G367">
        <v>1100</v>
      </c>
      <c r="I367">
        <v>2020</v>
      </c>
      <c r="J367" t="s">
        <v>1351</v>
      </c>
      <c r="K367" t="s">
        <v>1352</v>
      </c>
      <c r="L367" s="11" t="s">
        <v>1397</v>
      </c>
      <c r="M367">
        <v>1100</v>
      </c>
      <c r="N367" s="2">
        <v>43952</v>
      </c>
      <c r="O367" t="s">
        <v>1354</v>
      </c>
      <c r="Q367" t="s">
        <v>1888</v>
      </c>
      <c r="R367" t="s">
        <v>1071</v>
      </c>
    </row>
    <row r="368" spans="1:18" hidden="1" x14ac:dyDescent="0.25">
      <c r="A368" s="11"/>
      <c r="B368" t="s">
        <v>1073</v>
      </c>
      <c r="C368" t="s">
        <v>3924</v>
      </c>
      <c r="D368">
        <v>2020</v>
      </c>
      <c r="E368">
        <v>2029</v>
      </c>
      <c r="F368" t="s">
        <v>1889</v>
      </c>
      <c r="G368">
        <v>1090</v>
      </c>
      <c r="I368">
        <v>2020</v>
      </c>
      <c r="J368" t="s">
        <v>1351</v>
      </c>
      <c r="K368" t="s">
        <v>1352</v>
      </c>
      <c r="L368" s="11" t="s">
        <v>1431</v>
      </c>
      <c r="M368">
        <v>1090</v>
      </c>
      <c r="N368" s="2">
        <v>43952</v>
      </c>
      <c r="O368" t="s">
        <v>1354</v>
      </c>
      <c r="Q368" t="s">
        <v>1890</v>
      </c>
      <c r="R368" t="s">
        <v>1074</v>
      </c>
    </row>
    <row r="369" spans="1:18" hidden="1" x14ac:dyDescent="0.25">
      <c r="A369" s="11"/>
      <c r="B369" t="s">
        <v>1076</v>
      </c>
      <c r="C369" t="s">
        <v>3924</v>
      </c>
      <c r="D369">
        <v>2020</v>
      </c>
      <c r="E369">
        <v>2029</v>
      </c>
      <c r="F369" t="s">
        <v>1891</v>
      </c>
      <c r="G369">
        <v>750</v>
      </c>
      <c r="I369">
        <v>2020</v>
      </c>
      <c r="J369" t="s">
        <v>1351</v>
      </c>
      <c r="K369" t="s">
        <v>1352</v>
      </c>
      <c r="L369" s="11" t="s">
        <v>1763</v>
      </c>
      <c r="M369">
        <v>750</v>
      </c>
      <c r="N369" s="2">
        <v>43952</v>
      </c>
      <c r="O369" t="s">
        <v>1354</v>
      </c>
      <c r="Q369" t="s">
        <v>1892</v>
      </c>
      <c r="R369" t="s">
        <v>1077</v>
      </c>
    </row>
    <row r="370" spans="1:18" hidden="1" x14ac:dyDescent="0.25">
      <c r="A370" s="11"/>
      <c r="B370" t="s">
        <v>1079</v>
      </c>
      <c r="C370" t="s">
        <v>3924</v>
      </c>
      <c r="D370">
        <v>2020</v>
      </c>
      <c r="E370">
        <v>2029</v>
      </c>
      <c r="F370" t="s">
        <v>1893</v>
      </c>
      <c r="G370">
        <v>2200</v>
      </c>
      <c r="I370">
        <v>2020</v>
      </c>
      <c r="J370" t="s">
        <v>1351</v>
      </c>
      <c r="K370" t="s">
        <v>1352</v>
      </c>
      <c r="L370" s="11" t="s">
        <v>1894</v>
      </c>
      <c r="M370">
        <v>2200</v>
      </c>
      <c r="N370" s="2">
        <v>43952</v>
      </c>
      <c r="O370" t="s">
        <v>1354</v>
      </c>
      <c r="Q370" t="s">
        <v>1895</v>
      </c>
      <c r="R370" t="s">
        <v>1080</v>
      </c>
    </row>
    <row r="371" spans="1:18" hidden="1" x14ac:dyDescent="0.25">
      <c r="A371" s="11"/>
      <c r="B371" t="s">
        <v>1083</v>
      </c>
      <c r="C371" t="s">
        <v>3924</v>
      </c>
      <c r="D371">
        <v>2020</v>
      </c>
      <c r="E371">
        <v>2029</v>
      </c>
      <c r="F371" t="s">
        <v>1422</v>
      </c>
      <c r="G371">
        <v>1100</v>
      </c>
      <c r="I371">
        <v>2020</v>
      </c>
      <c r="J371" t="s">
        <v>1351</v>
      </c>
      <c r="K371" t="s">
        <v>1352</v>
      </c>
      <c r="L371" s="11" t="s">
        <v>2175</v>
      </c>
      <c r="M371">
        <v>1100</v>
      </c>
      <c r="N371" s="2">
        <v>43952</v>
      </c>
      <c r="O371" t="s">
        <v>1405</v>
      </c>
      <c r="Q371" t="s">
        <v>1423</v>
      </c>
      <c r="R371" t="s">
        <v>1084</v>
      </c>
    </row>
    <row r="372" spans="1:18" hidden="1" x14ac:dyDescent="0.25">
      <c r="A372" s="11"/>
      <c r="B372" t="s">
        <v>1086</v>
      </c>
      <c r="C372" t="s">
        <v>3924</v>
      </c>
      <c r="D372">
        <v>2020</v>
      </c>
      <c r="E372">
        <v>2029</v>
      </c>
      <c r="F372" t="s">
        <v>1896</v>
      </c>
      <c r="G372">
        <v>2130</v>
      </c>
      <c r="I372">
        <v>2020</v>
      </c>
      <c r="J372" t="s">
        <v>1351</v>
      </c>
      <c r="K372" t="s">
        <v>1352</v>
      </c>
      <c r="L372" s="11" t="s">
        <v>1897</v>
      </c>
      <c r="M372">
        <v>2130</v>
      </c>
      <c r="N372" s="2">
        <v>43952</v>
      </c>
      <c r="O372" t="s">
        <v>1354</v>
      </c>
      <c r="Q372" t="s">
        <v>1898</v>
      </c>
      <c r="R372" t="s">
        <v>1087</v>
      </c>
    </row>
    <row r="373" spans="1:18" hidden="1" x14ac:dyDescent="0.25">
      <c r="A373" s="11"/>
      <c r="B373" t="s">
        <v>1089</v>
      </c>
      <c r="C373" t="s">
        <v>3924</v>
      </c>
      <c r="D373">
        <v>2020</v>
      </c>
      <c r="E373">
        <v>2029</v>
      </c>
      <c r="F373" t="s">
        <v>1899</v>
      </c>
      <c r="G373">
        <v>5300</v>
      </c>
      <c r="I373">
        <v>2020</v>
      </c>
      <c r="J373" t="s">
        <v>1351</v>
      </c>
      <c r="K373" t="s">
        <v>1352</v>
      </c>
      <c r="L373" s="11" t="s">
        <v>1900</v>
      </c>
      <c r="M373">
        <v>5300</v>
      </c>
      <c r="N373" s="2">
        <v>43952</v>
      </c>
      <c r="O373" t="s">
        <v>1354</v>
      </c>
      <c r="Q373" t="s">
        <v>1901</v>
      </c>
      <c r="R373" t="s">
        <v>1090</v>
      </c>
    </row>
    <row r="374" spans="1:18" hidden="1" x14ac:dyDescent="0.25">
      <c r="A374" s="11"/>
      <c r="B374" t="s">
        <v>1092</v>
      </c>
      <c r="C374" t="s">
        <v>3924</v>
      </c>
      <c r="D374">
        <v>2020</v>
      </c>
      <c r="E374">
        <v>2029</v>
      </c>
      <c r="F374" t="s">
        <v>1905</v>
      </c>
      <c r="G374">
        <v>1100</v>
      </c>
      <c r="I374">
        <v>2020</v>
      </c>
      <c r="J374" t="s">
        <v>1351</v>
      </c>
      <c r="K374" t="s">
        <v>1352</v>
      </c>
      <c r="L374" s="11" t="s">
        <v>1830</v>
      </c>
      <c r="M374">
        <v>1100</v>
      </c>
      <c r="N374" s="2">
        <v>43952</v>
      </c>
      <c r="O374" t="s">
        <v>1354</v>
      </c>
      <c r="Q374" t="s">
        <v>1906</v>
      </c>
      <c r="R374" t="s">
        <v>1093</v>
      </c>
    </row>
    <row r="375" spans="1:18" hidden="1" x14ac:dyDescent="0.25">
      <c r="A375" s="11"/>
      <c r="B375" t="s">
        <v>1095</v>
      </c>
      <c r="C375" t="s">
        <v>3924</v>
      </c>
      <c r="D375">
        <v>2020</v>
      </c>
      <c r="E375">
        <v>2029</v>
      </c>
      <c r="F375" t="s">
        <v>1907</v>
      </c>
      <c r="G375">
        <v>3850</v>
      </c>
      <c r="I375">
        <v>2020</v>
      </c>
      <c r="J375" t="s">
        <v>1351</v>
      </c>
      <c r="K375" t="s">
        <v>1352</v>
      </c>
      <c r="L375" s="11" t="s">
        <v>1908</v>
      </c>
      <c r="M375">
        <v>3850</v>
      </c>
      <c r="N375" s="2">
        <v>43952</v>
      </c>
      <c r="O375" t="s">
        <v>1354</v>
      </c>
      <c r="Q375" t="s">
        <v>1909</v>
      </c>
      <c r="R375" t="s">
        <v>1096</v>
      </c>
    </row>
    <row r="376" spans="1:18" hidden="1" x14ac:dyDescent="0.25">
      <c r="A376" s="11"/>
      <c r="B376" t="s">
        <v>1098</v>
      </c>
      <c r="C376" t="s">
        <v>3924</v>
      </c>
      <c r="D376">
        <v>2020</v>
      </c>
      <c r="E376">
        <v>2029</v>
      </c>
      <c r="F376" t="s">
        <v>1915</v>
      </c>
      <c r="G376">
        <v>1619</v>
      </c>
      <c r="I376">
        <v>2020</v>
      </c>
      <c r="J376" t="s">
        <v>1351</v>
      </c>
      <c r="K376" t="s">
        <v>1352</v>
      </c>
      <c r="L376" s="11" t="s">
        <v>1550</v>
      </c>
      <c r="M376">
        <v>1619</v>
      </c>
      <c r="N376" s="2">
        <v>43952</v>
      </c>
      <c r="O376" t="s">
        <v>1354</v>
      </c>
      <c r="Q376" t="s">
        <v>1916</v>
      </c>
      <c r="R376" t="s">
        <v>1099</v>
      </c>
    </row>
    <row r="377" spans="1:18" hidden="1" x14ac:dyDescent="0.25">
      <c r="A377" s="11"/>
      <c r="B377" t="s">
        <v>1101</v>
      </c>
      <c r="C377" t="s">
        <v>3924</v>
      </c>
      <c r="D377">
        <v>2020</v>
      </c>
      <c r="E377">
        <v>2029</v>
      </c>
      <c r="F377" t="s">
        <v>1917</v>
      </c>
      <c r="G377">
        <v>1100</v>
      </c>
      <c r="I377">
        <v>2020</v>
      </c>
      <c r="J377" t="s">
        <v>1351</v>
      </c>
      <c r="K377" t="s">
        <v>1352</v>
      </c>
      <c r="L377" s="11" t="s">
        <v>1431</v>
      </c>
      <c r="M377">
        <v>1100</v>
      </c>
      <c r="N377" s="2">
        <v>43952</v>
      </c>
      <c r="O377" t="s">
        <v>1354</v>
      </c>
      <c r="Q377" t="s">
        <v>1918</v>
      </c>
      <c r="R377" t="s">
        <v>1102</v>
      </c>
    </row>
    <row r="378" spans="1:18" hidden="1" x14ac:dyDescent="0.25">
      <c r="A378" s="11"/>
      <c r="B378" t="s">
        <v>1104</v>
      </c>
      <c r="C378" t="s">
        <v>3924</v>
      </c>
      <c r="D378">
        <v>2020</v>
      </c>
      <c r="E378">
        <v>2029</v>
      </c>
      <c r="F378" t="s">
        <v>1919</v>
      </c>
      <c r="G378">
        <v>1320</v>
      </c>
      <c r="I378">
        <v>2020</v>
      </c>
      <c r="J378" t="s">
        <v>1351</v>
      </c>
      <c r="K378" t="s">
        <v>1352</v>
      </c>
      <c r="L378" s="11" t="s">
        <v>1920</v>
      </c>
      <c r="M378">
        <v>1320</v>
      </c>
      <c r="N378" s="2">
        <v>43952</v>
      </c>
      <c r="O378" t="s">
        <v>1354</v>
      </c>
      <c r="Q378" t="s">
        <v>1921</v>
      </c>
      <c r="R378" t="s">
        <v>1105</v>
      </c>
    </row>
    <row r="379" spans="1:18" hidden="1" x14ac:dyDescent="0.25">
      <c r="A379" s="11"/>
      <c r="B379" t="s">
        <v>1108</v>
      </c>
      <c r="C379" t="s">
        <v>3924</v>
      </c>
      <c r="D379">
        <v>2020</v>
      </c>
      <c r="E379">
        <v>2029</v>
      </c>
      <c r="F379" t="s">
        <v>1615</v>
      </c>
      <c r="G379">
        <v>380</v>
      </c>
      <c r="I379">
        <v>2020</v>
      </c>
      <c r="J379" t="s">
        <v>1351</v>
      </c>
      <c r="K379" t="s">
        <v>1352</v>
      </c>
      <c r="L379" s="11" t="s">
        <v>1418</v>
      </c>
      <c r="M379">
        <v>380</v>
      </c>
      <c r="N379" s="2">
        <v>43952</v>
      </c>
      <c r="O379" t="s">
        <v>1354</v>
      </c>
      <c r="Q379" t="s">
        <v>1616</v>
      </c>
      <c r="R379" t="s">
        <v>995</v>
      </c>
    </row>
    <row r="380" spans="1:18" hidden="1" x14ac:dyDescent="0.25">
      <c r="A380" s="11"/>
      <c r="B380" t="s">
        <v>1109</v>
      </c>
      <c r="C380" t="s">
        <v>3924</v>
      </c>
      <c r="D380">
        <v>2020</v>
      </c>
      <c r="E380">
        <v>2029</v>
      </c>
      <c r="F380" t="s">
        <v>1617</v>
      </c>
      <c r="G380">
        <v>1100</v>
      </c>
      <c r="I380">
        <v>2020</v>
      </c>
      <c r="J380" t="s">
        <v>1351</v>
      </c>
      <c r="K380" t="s">
        <v>1352</v>
      </c>
      <c r="L380" s="11" t="s">
        <v>1418</v>
      </c>
      <c r="M380">
        <v>1100</v>
      </c>
      <c r="N380" s="2">
        <v>43952</v>
      </c>
      <c r="O380" t="s">
        <v>1354</v>
      </c>
      <c r="Q380" t="s">
        <v>1618</v>
      </c>
      <c r="R380" t="s">
        <v>995</v>
      </c>
    </row>
    <row r="381" spans="1:18" hidden="1" x14ac:dyDescent="0.25">
      <c r="A381" s="11"/>
      <c r="B381" t="s">
        <v>1110</v>
      </c>
      <c r="C381" t="s">
        <v>3924</v>
      </c>
      <c r="D381">
        <v>2020</v>
      </c>
      <c r="E38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2030</v>
      </c>
      <c r="F381" t="s">
        <v>1928</v>
      </c>
      <c r="G381">
        <v>1100</v>
      </c>
      <c r="I381">
        <v>2020</v>
      </c>
      <c r="J381" t="s">
        <v>1351</v>
      </c>
      <c r="K381" t="s">
        <v>1352</v>
      </c>
      <c r="L381" s="11" t="s">
        <v>1366</v>
      </c>
      <c r="M381">
        <v>1100</v>
      </c>
      <c r="N381" s="2">
        <v>43952</v>
      </c>
      <c r="O381" t="s">
        <v>1405</v>
      </c>
      <c r="Q381" t="s">
        <v>1929</v>
      </c>
      <c r="R381" t="s">
        <v>1111</v>
      </c>
    </row>
    <row r="382" spans="1:18" hidden="1" x14ac:dyDescent="0.25">
      <c r="A382" s="11"/>
      <c r="B382" t="s">
        <v>1113</v>
      </c>
      <c r="C382" t="s">
        <v>3924</v>
      </c>
      <c r="D382">
        <v>2021</v>
      </c>
      <c r="E382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2031</v>
      </c>
      <c r="F382" t="s">
        <v>2026</v>
      </c>
      <c r="G382">
        <v>1100</v>
      </c>
      <c r="I382">
        <v>2021</v>
      </c>
      <c r="J382" t="s">
        <v>1351</v>
      </c>
      <c r="K382" t="s">
        <v>1352</v>
      </c>
      <c r="L382" s="11" t="s">
        <v>1428</v>
      </c>
      <c r="M382">
        <v>1100</v>
      </c>
      <c r="N382" s="2">
        <v>44317</v>
      </c>
      <c r="O382" t="s">
        <v>1405</v>
      </c>
      <c r="Q382" t="s">
        <v>2027</v>
      </c>
      <c r="R382" t="s">
        <v>1114</v>
      </c>
    </row>
    <row r="383" spans="1:18" hidden="1" x14ac:dyDescent="0.25">
      <c r="A383" s="11"/>
      <c r="B383" t="s">
        <v>1117</v>
      </c>
      <c r="C383" t="s">
        <v>3924</v>
      </c>
      <c r="D383">
        <v>2020</v>
      </c>
      <c r="E383">
        <v>2030</v>
      </c>
      <c r="F383" t="s">
        <v>2028</v>
      </c>
      <c r="G383">
        <v>1805</v>
      </c>
      <c r="I383">
        <v>2021</v>
      </c>
      <c r="J383" t="s">
        <v>1351</v>
      </c>
      <c r="K383" t="s">
        <v>1352</v>
      </c>
      <c r="L383" s="11" t="s">
        <v>1400</v>
      </c>
      <c r="M383">
        <v>1805</v>
      </c>
      <c r="N383" s="2">
        <v>44317</v>
      </c>
      <c r="O383" t="s">
        <v>1354</v>
      </c>
      <c r="Q383" t="s">
        <v>2029</v>
      </c>
      <c r="R383" t="s">
        <v>1118</v>
      </c>
    </row>
    <row r="384" spans="1:18" hidden="1" x14ac:dyDescent="0.25">
      <c r="A384" s="11"/>
      <c r="B384" t="s">
        <v>1121</v>
      </c>
      <c r="C384" t="s">
        <v>3924</v>
      </c>
      <c r="D384">
        <v>2020</v>
      </c>
      <c r="E384">
        <v>2030</v>
      </c>
      <c r="F384" t="s">
        <v>2030</v>
      </c>
      <c r="G384">
        <v>1100</v>
      </c>
      <c r="I384">
        <v>2021</v>
      </c>
      <c r="J384" t="s">
        <v>1351</v>
      </c>
      <c r="K384" t="s">
        <v>1352</v>
      </c>
      <c r="L384" s="11" t="s">
        <v>1425</v>
      </c>
      <c r="M384">
        <v>1100</v>
      </c>
      <c r="N384" s="2">
        <v>44317</v>
      </c>
      <c r="O384" t="s">
        <v>1354</v>
      </c>
      <c r="Q384" t="s">
        <v>2031</v>
      </c>
      <c r="R384" t="s">
        <v>1122</v>
      </c>
    </row>
    <row r="385" spans="1:18" hidden="1" x14ac:dyDescent="0.25">
      <c r="A385" s="11"/>
      <c r="B385" t="s">
        <v>1124</v>
      </c>
      <c r="C385" t="s">
        <v>3924</v>
      </c>
      <c r="D385">
        <v>2020</v>
      </c>
      <c r="E385">
        <v>2030</v>
      </c>
      <c r="F385" t="s">
        <v>1627</v>
      </c>
      <c r="G385">
        <v>900</v>
      </c>
      <c r="I385">
        <v>2021</v>
      </c>
      <c r="J385" t="s">
        <v>1351</v>
      </c>
      <c r="K385" t="s">
        <v>1352</v>
      </c>
      <c r="L385" s="11" t="s">
        <v>1431</v>
      </c>
      <c r="M385">
        <v>900</v>
      </c>
      <c r="N385" s="2">
        <v>44317</v>
      </c>
      <c r="O385" t="s">
        <v>1354</v>
      </c>
      <c r="Q385" t="s">
        <v>1628</v>
      </c>
      <c r="R385" t="s">
        <v>1014</v>
      </c>
    </row>
    <row r="386" spans="1:18" hidden="1" x14ac:dyDescent="0.25">
      <c r="A386" s="11"/>
      <c r="B386" t="s">
        <v>1125</v>
      </c>
      <c r="C386" t="s">
        <v>3924</v>
      </c>
      <c r="D386">
        <v>2020</v>
      </c>
      <c r="E386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2031</v>
      </c>
      <c r="F386" t="s">
        <v>1494</v>
      </c>
      <c r="G386">
        <v>280</v>
      </c>
      <c r="I386">
        <v>2021</v>
      </c>
      <c r="J386" t="s">
        <v>1351</v>
      </c>
      <c r="K386" t="s">
        <v>1352</v>
      </c>
      <c r="L386" s="11" t="s">
        <v>1397</v>
      </c>
      <c r="M386">
        <v>280</v>
      </c>
      <c r="N386" s="2">
        <v>44317</v>
      </c>
      <c r="O386" t="s">
        <v>1405</v>
      </c>
      <c r="Q386" t="s">
        <v>1495</v>
      </c>
      <c r="R386" t="s">
        <v>953</v>
      </c>
    </row>
    <row r="387" spans="1:18" hidden="1" x14ac:dyDescent="0.25">
      <c r="A387" s="11"/>
      <c r="B387" t="s">
        <v>1126</v>
      </c>
      <c r="C387" t="s">
        <v>3924</v>
      </c>
      <c r="D387">
        <v>2020</v>
      </c>
      <c r="E387">
        <v>2030</v>
      </c>
      <c r="F387" t="s">
        <v>1399</v>
      </c>
      <c r="G387">
        <v>1540</v>
      </c>
      <c r="I387">
        <v>2021</v>
      </c>
      <c r="J387" t="s">
        <v>1351</v>
      </c>
      <c r="K387" t="s">
        <v>1352</v>
      </c>
      <c r="L387" s="11" t="s">
        <v>1400</v>
      </c>
      <c r="M387">
        <v>1540</v>
      </c>
      <c r="N387" s="2">
        <v>44317</v>
      </c>
      <c r="O387" t="s">
        <v>1394</v>
      </c>
      <c r="Q387" t="s">
        <v>1401</v>
      </c>
      <c r="R387" t="s">
        <v>1127</v>
      </c>
    </row>
    <row r="388" spans="1:18" hidden="1" x14ac:dyDescent="0.25">
      <c r="A388" s="11"/>
      <c r="B388" t="s">
        <v>1129</v>
      </c>
      <c r="C388" t="s">
        <v>3924</v>
      </c>
      <c r="D388">
        <v>2020</v>
      </c>
      <c r="E388">
        <v>2030</v>
      </c>
      <c r="F388" t="s">
        <v>2032</v>
      </c>
      <c r="G388">
        <v>1100</v>
      </c>
      <c r="I388">
        <v>2021</v>
      </c>
      <c r="J388" t="s">
        <v>1351</v>
      </c>
      <c r="K388" t="s">
        <v>1352</v>
      </c>
      <c r="L388" s="11" t="s">
        <v>1400</v>
      </c>
      <c r="M388">
        <v>1100</v>
      </c>
      <c r="N388" s="2">
        <v>44317</v>
      </c>
      <c r="O388" t="s">
        <v>1354</v>
      </c>
      <c r="Q388" t="s">
        <v>2033</v>
      </c>
      <c r="R388" t="s">
        <v>1130</v>
      </c>
    </row>
    <row r="389" spans="1:18" hidden="1" x14ac:dyDescent="0.25">
      <c r="A389" s="11"/>
      <c r="B389" t="s">
        <v>1133</v>
      </c>
      <c r="C389" t="s">
        <v>3924</v>
      </c>
      <c r="D389">
        <v>2020</v>
      </c>
      <c r="E389">
        <v>2030</v>
      </c>
      <c r="F389" t="s">
        <v>2034</v>
      </c>
      <c r="G389">
        <v>1100</v>
      </c>
      <c r="I389">
        <v>2021</v>
      </c>
      <c r="J389" t="s">
        <v>1351</v>
      </c>
      <c r="K389" t="s">
        <v>1352</v>
      </c>
      <c r="L389" s="11" t="s">
        <v>1425</v>
      </c>
      <c r="M389">
        <v>1100</v>
      </c>
      <c r="N389" s="2">
        <v>44317</v>
      </c>
      <c r="O389" t="s">
        <v>1354</v>
      </c>
      <c r="Q389" t="s">
        <v>2035</v>
      </c>
      <c r="R389" t="s">
        <v>1134</v>
      </c>
    </row>
    <row r="390" spans="1:18" hidden="1" x14ac:dyDescent="0.25">
      <c r="A390" s="11"/>
      <c r="B390" t="s">
        <v>1136</v>
      </c>
      <c r="C390" t="s">
        <v>3924</v>
      </c>
      <c r="D390">
        <v>2020</v>
      </c>
      <c r="E390">
        <v>2030</v>
      </c>
      <c r="F390" t="s">
        <v>2036</v>
      </c>
      <c r="G390">
        <v>2800</v>
      </c>
      <c r="I390">
        <v>2021</v>
      </c>
      <c r="J390" t="s">
        <v>1351</v>
      </c>
      <c r="K390" t="s">
        <v>1352</v>
      </c>
      <c r="L390" s="11" t="s">
        <v>1400</v>
      </c>
      <c r="M390">
        <v>2800</v>
      </c>
      <c r="N390" s="2">
        <v>44317</v>
      </c>
      <c r="O390" t="s">
        <v>1354</v>
      </c>
      <c r="Q390" t="s">
        <v>2037</v>
      </c>
      <c r="R390" t="s">
        <v>1137</v>
      </c>
    </row>
    <row r="391" spans="1:18" hidden="1" x14ac:dyDescent="0.25">
      <c r="A391" s="11"/>
      <c r="B391" t="s">
        <v>1140</v>
      </c>
      <c r="C391" t="s">
        <v>3924</v>
      </c>
      <c r="D391">
        <v>2020</v>
      </c>
      <c r="E391">
        <v>2030</v>
      </c>
      <c r="F391" t="s">
        <v>1740</v>
      </c>
      <c r="G391">
        <v>1650</v>
      </c>
      <c r="I391">
        <v>2021</v>
      </c>
      <c r="J391" t="s">
        <v>1351</v>
      </c>
      <c r="K391" t="s">
        <v>1352</v>
      </c>
      <c r="L391" s="11" t="s">
        <v>1434</v>
      </c>
      <c r="M391">
        <v>1650</v>
      </c>
      <c r="N391" s="2">
        <v>44317</v>
      </c>
      <c r="O391" t="s">
        <v>1405</v>
      </c>
      <c r="Q391" t="s">
        <v>1741</v>
      </c>
      <c r="R391" t="s">
        <v>1141</v>
      </c>
    </row>
    <row r="392" spans="1:18" hidden="1" x14ac:dyDescent="0.25">
      <c r="A392" s="11"/>
      <c r="B392" t="s">
        <v>1144</v>
      </c>
      <c r="C392" t="s">
        <v>3924</v>
      </c>
      <c r="D392">
        <v>2021</v>
      </c>
      <c r="E392">
        <v>2030</v>
      </c>
      <c r="F392" t="s">
        <v>2038</v>
      </c>
      <c r="G392">
        <v>1210</v>
      </c>
      <c r="I392">
        <v>2021</v>
      </c>
      <c r="J392" t="s">
        <v>1351</v>
      </c>
      <c r="K392" t="s">
        <v>1352</v>
      </c>
      <c r="L392" s="11" t="s">
        <v>1400</v>
      </c>
      <c r="M392">
        <v>1210</v>
      </c>
      <c r="N392" s="2">
        <v>44317</v>
      </c>
      <c r="O392" t="s">
        <v>1354</v>
      </c>
      <c r="Q392" t="s">
        <v>2039</v>
      </c>
      <c r="R392" t="s">
        <v>1145</v>
      </c>
    </row>
    <row r="393" spans="1:18" hidden="1" x14ac:dyDescent="0.25">
      <c r="A393" s="11"/>
      <c r="B393" t="s">
        <v>1148</v>
      </c>
      <c r="C393" t="s">
        <v>3924</v>
      </c>
      <c r="D393">
        <v>2021</v>
      </c>
      <c r="E393">
        <v>2030</v>
      </c>
      <c r="F393" t="s">
        <v>2040</v>
      </c>
      <c r="G393">
        <v>1100</v>
      </c>
      <c r="I393">
        <v>2021</v>
      </c>
      <c r="J393" t="s">
        <v>1351</v>
      </c>
      <c r="K393" t="s">
        <v>1352</v>
      </c>
      <c r="L393" s="11" t="s">
        <v>1400</v>
      </c>
      <c r="M393">
        <v>1100</v>
      </c>
      <c r="N393" s="2">
        <v>44317</v>
      </c>
      <c r="O393" t="s">
        <v>1354</v>
      </c>
      <c r="Q393" t="s">
        <v>2041</v>
      </c>
      <c r="R393" t="s">
        <v>1149</v>
      </c>
    </row>
    <row r="394" spans="1:18" hidden="1" x14ac:dyDescent="0.25">
      <c r="A394" s="11"/>
      <c r="B394" t="s">
        <v>1152</v>
      </c>
      <c r="C394" t="s">
        <v>3924</v>
      </c>
      <c r="D394">
        <v>2020</v>
      </c>
      <c r="E394">
        <v>2030</v>
      </c>
      <c r="F394" t="s">
        <v>2042</v>
      </c>
      <c r="G394">
        <v>1100</v>
      </c>
      <c r="I394">
        <v>2021</v>
      </c>
      <c r="J394" t="s">
        <v>1351</v>
      </c>
      <c r="K394" t="s">
        <v>1352</v>
      </c>
      <c r="L394" s="11" t="s">
        <v>2043</v>
      </c>
      <c r="M394">
        <v>1100</v>
      </c>
      <c r="N394" s="2">
        <v>44317</v>
      </c>
      <c r="O394" t="s">
        <v>1354</v>
      </c>
      <c r="Q394" t="s">
        <v>2044</v>
      </c>
      <c r="R394" t="s">
        <v>1153</v>
      </c>
    </row>
    <row r="395" spans="1:18" hidden="1" x14ac:dyDescent="0.25">
      <c r="A395" s="11"/>
      <c r="B395" t="s">
        <v>1156</v>
      </c>
      <c r="C395" t="s">
        <v>3924</v>
      </c>
      <c r="D395">
        <v>2020</v>
      </c>
      <c r="E395">
        <v>2030</v>
      </c>
      <c r="F395" t="s">
        <v>2045</v>
      </c>
      <c r="G395">
        <v>880</v>
      </c>
      <c r="I395">
        <v>2021</v>
      </c>
      <c r="J395" t="s">
        <v>1351</v>
      </c>
      <c r="K395" t="s">
        <v>1352</v>
      </c>
      <c r="L395" s="11" t="s">
        <v>1425</v>
      </c>
      <c r="M395">
        <v>880</v>
      </c>
      <c r="N395" s="2">
        <v>44317</v>
      </c>
      <c r="O395" t="s">
        <v>1354</v>
      </c>
      <c r="Q395" t="s">
        <v>2046</v>
      </c>
      <c r="R395" t="s">
        <v>1157</v>
      </c>
    </row>
    <row r="396" spans="1:18" hidden="1" x14ac:dyDescent="0.25">
      <c r="A396" s="11"/>
      <c r="B396" t="s">
        <v>1160</v>
      </c>
      <c r="C396" t="s">
        <v>3924</v>
      </c>
      <c r="D396">
        <v>2020</v>
      </c>
      <c r="E396">
        <v>2030</v>
      </c>
      <c r="F396" t="s">
        <v>2047</v>
      </c>
      <c r="G396">
        <v>1100</v>
      </c>
      <c r="I396">
        <v>2021</v>
      </c>
      <c r="J396" t="s">
        <v>1351</v>
      </c>
      <c r="K396" t="s">
        <v>1352</v>
      </c>
      <c r="L396" s="11" t="s">
        <v>1400</v>
      </c>
      <c r="M396">
        <v>1100</v>
      </c>
      <c r="N396" s="2">
        <v>44317</v>
      </c>
      <c r="O396" t="s">
        <v>1354</v>
      </c>
      <c r="Q396" t="s">
        <v>2048</v>
      </c>
      <c r="R396" t="s">
        <v>1161</v>
      </c>
    </row>
    <row r="397" spans="1:18" hidden="1" x14ac:dyDescent="0.25">
      <c r="A397" s="11"/>
      <c r="B397" t="s">
        <v>1164</v>
      </c>
      <c r="C397" t="s">
        <v>3924</v>
      </c>
      <c r="D397">
        <v>2021</v>
      </c>
      <c r="E397">
        <v>2030</v>
      </c>
      <c r="F397" t="s">
        <v>2052</v>
      </c>
      <c r="G397">
        <v>1210</v>
      </c>
      <c r="I397">
        <v>2021</v>
      </c>
      <c r="J397" t="s">
        <v>1351</v>
      </c>
      <c r="K397" t="s">
        <v>1352</v>
      </c>
      <c r="L397" s="11" t="s">
        <v>1400</v>
      </c>
      <c r="M397">
        <v>1210</v>
      </c>
      <c r="N397" s="2">
        <v>44317</v>
      </c>
      <c r="O397" t="s">
        <v>1354</v>
      </c>
      <c r="Q397" t="s">
        <v>2053</v>
      </c>
      <c r="R397" t="s">
        <v>1165</v>
      </c>
    </row>
    <row r="398" spans="1:18" hidden="1" x14ac:dyDescent="0.25">
      <c r="A398" s="11"/>
      <c r="B398" t="s">
        <v>1167</v>
      </c>
      <c r="C398" t="s">
        <v>3924</v>
      </c>
      <c r="D398">
        <v>2021</v>
      </c>
      <c r="E398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2031</v>
      </c>
      <c r="F398" t="s">
        <v>1883</v>
      </c>
      <c r="G398">
        <v>330</v>
      </c>
      <c r="I398">
        <v>2021</v>
      </c>
      <c r="J398" t="s">
        <v>1351</v>
      </c>
      <c r="K398" t="s">
        <v>1352</v>
      </c>
      <c r="L398" s="11" t="s">
        <v>1763</v>
      </c>
      <c r="M398">
        <v>330</v>
      </c>
      <c r="N398" s="2">
        <v>44317</v>
      </c>
      <c r="O398" t="s">
        <v>1405</v>
      </c>
      <c r="Q398" t="s">
        <v>1884</v>
      </c>
      <c r="R398" t="s">
        <v>1064</v>
      </c>
    </row>
    <row r="399" spans="1:18" hidden="1" x14ac:dyDescent="0.25">
      <c r="A399" s="11"/>
      <c r="B399" t="s">
        <v>1168</v>
      </c>
      <c r="C399" t="s">
        <v>3924</v>
      </c>
      <c r="D399">
        <v>2021</v>
      </c>
      <c r="E399">
        <v>2030</v>
      </c>
      <c r="F399" t="s">
        <v>2054</v>
      </c>
      <c r="G399">
        <v>1100</v>
      </c>
      <c r="I399">
        <v>2021</v>
      </c>
      <c r="J399" t="s">
        <v>1351</v>
      </c>
      <c r="K399" t="s">
        <v>1352</v>
      </c>
      <c r="L399" s="11" t="s">
        <v>2055</v>
      </c>
      <c r="M399">
        <v>1100</v>
      </c>
      <c r="N399" s="2">
        <v>44317</v>
      </c>
      <c r="O399" t="s">
        <v>1354</v>
      </c>
      <c r="Q399" t="s">
        <v>2056</v>
      </c>
      <c r="R399" t="s">
        <v>1169</v>
      </c>
    </row>
    <row r="400" spans="1:18" hidden="1" x14ac:dyDescent="0.25">
      <c r="A400" s="11"/>
      <c r="B400" t="s">
        <v>1171</v>
      </c>
      <c r="C400" t="s">
        <v>3924</v>
      </c>
      <c r="D400">
        <v>2020</v>
      </c>
      <c r="E400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2031</v>
      </c>
      <c r="F400" t="s">
        <v>2057</v>
      </c>
      <c r="G400">
        <v>550</v>
      </c>
      <c r="I400">
        <v>2021</v>
      </c>
      <c r="J400" t="s">
        <v>1351</v>
      </c>
      <c r="K400" t="s">
        <v>1352</v>
      </c>
      <c r="L400" s="11" t="s">
        <v>1400</v>
      </c>
      <c r="M400">
        <v>550</v>
      </c>
      <c r="N400" s="2">
        <v>44317</v>
      </c>
      <c r="O400" t="s">
        <v>1405</v>
      </c>
      <c r="Q400" t="s">
        <v>2058</v>
      </c>
      <c r="R400" t="s">
        <v>1172</v>
      </c>
    </row>
    <row r="401" spans="1:18" hidden="1" x14ac:dyDescent="0.25">
      <c r="A401" s="11"/>
      <c r="B401" t="s">
        <v>1174</v>
      </c>
      <c r="C401" t="s">
        <v>3924</v>
      </c>
      <c r="D401">
        <v>2020</v>
      </c>
      <c r="E401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2031</v>
      </c>
      <c r="F401" t="s">
        <v>2059</v>
      </c>
      <c r="G401">
        <v>1100</v>
      </c>
      <c r="I401">
        <v>2021</v>
      </c>
      <c r="J401" t="s">
        <v>1351</v>
      </c>
      <c r="K401" t="s">
        <v>1352</v>
      </c>
      <c r="L401" s="11" t="s">
        <v>1400</v>
      </c>
      <c r="M401">
        <v>1100</v>
      </c>
      <c r="N401" s="2">
        <v>44317</v>
      </c>
      <c r="O401" t="s">
        <v>1405</v>
      </c>
      <c r="Q401" t="s">
        <v>2060</v>
      </c>
      <c r="R401" t="s">
        <v>1172</v>
      </c>
    </row>
    <row r="402" spans="1:18" hidden="1" x14ac:dyDescent="0.25">
      <c r="A402" s="11"/>
      <c r="B402" t="s">
        <v>1175</v>
      </c>
      <c r="C402" t="s">
        <v>3924</v>
      </c>
      <c r="D402">
        <v>2020</v>
      </c>
      <c r="E402">
        <v>2030</v>
      </c>
      <c r="F402" t="s">
        <v>2061</v>
      </c>
      <c r="G402">
        <v>1100</v>
      </c>
      <c r="I402">
        <v>2021</v>
      </c>
      <c r="J402" t="s">
        <v>1351</v>
      </c>
      <c r="K402" t="s">
        <v>1352</v>
      </c>
      <c r="L402" s="11" t="s">
        <v>1425</v>
      </c>
      <c r="M402">
        <v>1100</v>
      </c>
      <c r="N402" s="2">
        <v>44317</v>
      </c>
      <c r="O402" t="s">
        <v>1354</v>
      </c>
      <c r="Q402" t="s">
        <v>2062</v>
      </c>
      <c r="R402" t="s">
        <v>1176</v>
      </c>
    </row>
    <row r="403" spans="1:18" hidden="1" x14ac:dyDescent="0.25">
      <c r="A403" s="11"/>
      <c r="B403" t="s">
        <v>1179</v>
      </c>
      <c r="C403" t="s">
        <v>3924</v>
      </c>
      <c r="D403">
        <v>2021</v>
      </c>
      <c r="E403">
        <v>2030</v>
      </c>
      <c r="F403" t="s">
        <v>1679</v>
      </c>
      <c r="G403">
        <v>1100</v>
      </c>
      <c r="I403">
        <v>2021</v>
      </c>
      <c r="J403" t="s">
        <v>1351</v>
      </c>
      <c r="K403" t="s">
        <v>1352</v>
      </c>
      <c r="L403" s="11" t="s">
        <v>1425</v>
      </c>
      <c r="M403">
        <v>1100</v>
      </c>
      <c r="N403" s="2">
        <v>44317</v>
      </c>
      <c r="O403" t="s">
        <v>1394</v>
      </c>
      <c r="Q403" t="s">
        <v>1680</v>
      </c>
      <c r="R403" t="s">
        <v>1180</v>
      </c>
    </row>
    <row r="404" spans="1:18" hidden="1" x14ac:dyDescent="0.25">
      <c r="A404" s="11"/>
      <c r="B404" t="s">
        <v>1182</v>
      </c>
      <c r="C404" t="s">
        <v>3924</v>
      </c>
      <c r="D404">
        <v>2021</v>
      </c>
      <c r="E404">
        <v>2030</v>
      </c>
      <c r="F404" t="s">
        <v>2100</v>
      </c>
      <c r="G404">
        <v>1100</v>
      </c>
      <c r="I404">
        <v>2021</v>
      </c>
      <c r="J404" t="s">
        <v>1351</v>
      </c>
      <c r="K404" t="s">
        <v>1352</v>
      </c>
      <c r="L404" s="11" t="s">
        <v>1425</v>
      </c>
      <c r="M404">
        <v>1100</v>
      </c>
      <c r="N404" s="2">
        <v>44317</v>
      </c>
      <c r="O404" t="s">
        <v>1405</v>
      </c>
      <c r="Q404" t="s">
        <v>2101</v>
      </c>
      <c r="R404" t="s">
        <v>1183</v>
      </c>
    </row>
    <row r="405" spans="1:18" hidden="1" x14ac:dyDescent="0.25">
      <c r="A405" s="11"/>
      <c r="B405" t="s">
        <v>1186</v>
      </c>
      <c r="C405" t="s">
        <v>3924</v>
      </c>
      <c r="D405">
        <v>2021</v>
      </c>
      <c r="E405">
        <v>2030</v>
      </c>
      <c r="F405" t="s">
        <v>2063</v>
      </c>
      <c r="G405">
        <v>1100</v>
      </c>
      <c r="I405">
        <v>2021</v>
      </c>
      <c r="J405" t="s">
        <v>1351</v>
      </c>
      <c r="K405" t="s">
        <v>1352</v>
      </c>
      <c r="L405" s="11" t="s">
        <v>2064</v>
      </c>
      <c r="M405">
        <v>1100</v>
      </c>
      <c r="N405" s="2">
        <v>44317</v>
      </c>
      <c r="O405" t="s">
        <v>1354</v>
      </c>
      <c r="Q405" t="s">
        <v>2065</v>
      </c>
      <c r="R405" t="s">
        <v>1187</v>
      </c>
    </row>
    <row r="406" spans="1:18" hidden="1" x14ac:dyDescent="0.25">
      <c r="A406" s="11"/>
      <c r="B406" t="s">
        <v>1190</v>
      </c>
      <c r="C406" t="s">
        <v>3924</v>
      </c>
      <c r="D406">
        <v>2021</v>
      </c>
      <c r="E406">
        <v>2030</v>
      </c>
      <c r="F406" t="s">
        <v>2066</v>
      </c>
      <c r="G406">
        <v>1100</v>
      </c>
      <c r="I406">
        <v>2021</v>
      </c>
      <c r="J406" t="s">
        <v>1351</v>
      </c>
      <c r="K406" t="s">
        <v>1352</v>
      </c>
      <c r="L406" s="11" t="s">
        <v>1428</v>
      </c>
      <c r="M406">
        <v>1100</v>
      </c>
      <c r="N406" s="2">
        <v>44317</v>
      </c>
      <c r="O406" t="s">
        <v>1354</v>
      </c>
      <c r="Q406" t="s">
        <v>2067</v>
      </c>
      <c r="R406" t="s">
        <v>1191</v>
      </c>
    </row>
    <row r="407" spans="1:18" hidden="1" x14ac:dyDescent="0.25">
      <c r="A407" s="11"/>
      <c r="B407" t="s">
        <v>1194</v>
      </c>
      <c r="C407" t="s">
        <v>3924</v>
      </c>
      <c r="D407">
        <v>2021</v>
      </c>
      <c r="E407">
        <v>2030</v>
      </c>
      <c r="F407" t="s">
        <v>2068</v>
      </c>
      <c r="G407">
        <v>1145</v>
      </c>
      <c r="I407">
        <v>2021</v>
      </c>
      <c r="J407" t="s">
        <v>1351</v>
      </c>
      <c r="K407" t="s">
        <v>1352</v>
      </c>
      <c r="L407" s="11" t="s">
        <v>1425</v>
      </c>
      <c r="M407">
        <v>1145</v>
      </c>
      <c r="N407" s="2">
        <v>44317</v>
      </c>
      <c r="O407" t="s">
        <v>1354</v>
      </c>
      <c r="Q407" t="s">
        <v>2069</v>
      </c>
      <c r="R407" t="s">
        <v>1195</v>
      </c>
    </row>
    <row r="408" spans="1:18" hidden="1" x14ac:dyDescent="0.25">
      <c r="A408" s="11"/>
      <c r="B408" t="s">
        <v>1198</v>
      </c>
      <c r="C408" t="s">
        <v>3924</v>
      </c>
      <c r="D408">
        <v>2020</v>
      </c>
      <c r="E408">
        <v>2030</v>
      </c>
      <c r="F408" t="s">
        <v>2070</v>
      </c>
      <c r="G408">
        <v>1100</v>
      </c>
      <c r="I408">
        <v>2021</v>
      </c>
      <c r="J408" t="s">
        <v>1351</v>
      </c>
      <c r="K408" t="s">
        <v>1352</v>
      </c>
      <c r="L408" s="11" t="s">
        <v>1400</v>
      </c>
      <c r="M408">
        <v>1100</v>
      </c>
      <c r="N408" s="2">
        <v>44317</v>
      </c>
      <c r="O408" t="s">
        <v>1354</v>
      </c>
      <c r="Q408" t="s">
        <v>2071</v>
      </c>
      <c r="R408" t="s">
        <v>1199</v>
      </c>
    </row>
    <row r="409" spans="1:18" hidden="1" x14ac:dyDescent="0.25">
      <c r="A409" s="11"/>
      <c r="B409" t="s">
        <v>1202</v>
      </c>
      <c r="C409" t="s">
        <v>3924</v>
      </c>
      <c r="D409">
        <v>2020</v>
      </c>
      <c r="E409">
        <v>2030</v>
      </c>
      <c r="F409" t="s">
        <v>1893</v>
      </c>
      <c r="G409">
        <v>1100</v>
      </c>
      <c r="I409">
        <v>2021</v>
      </c>
      <c r="J409" t="s">
        <v>1351</v>
      </c>
      <c r="K409" t="s">
        <v>1352</v>
      </c>
      <c r="L409" s="11" t="s">
        <v>1894</v>
      </c>
      <c r="M409">
        <v>1100</v>
      </c>
      <c r="N409" s="2">
        <v>44317</v>
      </c>
      <c r="O409" t="s">
        <v>1354</v>
      </c>
      <c r="Q409" t="s">
        <v>1895</v>
      </c>
      <c r="R409" t="s">
        <v>1080</v>
      </c>
    </row>
    <row r="410" spans="1:18" hidden="1" x14ac:dyDescent="0.25">
      <c r="A410" s="11"/>
      <c r="B410" t="s">
        <v>1203</v>
      </c>
      <c r="C410" t="s">
        <v>3924</v>
      </c>
      <c r="D410">
        <v>2021</v>
      </c>
      <c r="E410">
        <v>2030</v>
      </c>
      <c r="F410" t="s">
        <v>1907</v>
      </c>
      <c r="G410">
        <v>330</v>
      </c>
      <c r="I410">
        <v>2021</v>
      </c>
      <c r="J410" t="s">
        <v>1351</v>
      </c>
      <c r="K410" t="s">
        <v>1352</v>
      </c>
      <c r="L410" s="11" t="s">
        <v>1908</v>
      </c>
      <c r="M410">
        <v>330</v>
      </c>
      <c r="N410" s="2">
        <v>44317</v>
      </c>
      <c r="O410" t="s">
        <v>1354</v>
      </c>
      <c r="Q410" t="s">
        <v>1909</v>
      </c>
      <c r="R410" t="s">
        <v>1096</v>
      </c>
    </row>
    <row r="411" spans="1:18" hidden="1" x14ac:dyDescent="0.25">
      <c r="A411" s="11"/>
      <c r="B411" t="s">
        <v>1204</v>
      </c>
      <c r="C411" t="s">
        <v>3924</v>
      </c>
      <c r="D411">
        <v>2021</v>
      </c>
      <c r="E411">
        <v>2030</v>
      </c>
      <c r="F411" t="s">
        <v>2072</v>
      </c>
      <c r="G411">
        <v>1980</v>
      </c>
      <c r="I411">
        <v>2021</v>
      </c>
      <c r="J411" t="s">
        <v>1351</v>
      </c>
      <c r="K411" t="s">
        <v>1352</v>
      </c>
      <c r="L411" s="11" t="s">
        <v>1425</v>
      </c>
      <c r="M411">
        <v>1980</v>
      </c>
      <c r="N411" s="2">
        <v>44317</v>
      </c>
      <c r="O411" t="s">
        <v>1354</v>
      </c>
      <c r="Q411" t="s">
        <v>2073</v>
      </c>
      <c r="R411" t="s">
        <v>1205</v>
      </c>
    </row>
    <row r="412" spans="1:18" hidden="1" x14ac:dyDescent="0.25">
      <c r="A412" s="11"/>
      <c r="B412" t="s">
        <v>1208</v>
      </c>
      <c r="C412" t="s">
        <v>3924</v>
      </c>
      <c r="D412">
        <v>2020</v>
      </c>
      <c r="E412">
        <v>2030</v>
      </c>
      <c r="F412" t="s">
        <v>1919</v>
      </c>
      <c r="G412">
        <v>880</v>
      </c>
      <c r="I412">
        <v>2021</v>
      </c>
      <c r="J412" t="s">
        <v>1351</v>
      </c>
      <c r="K412" t="s">
        <v>1352</v>
      </c>
      <c r="L412" s="11" t="s">
        <v>1920</v>
      </c>
      <c r="M412">
        <v>880</v>
      </c>
      <c r="N412" s="2">
        <v>44317</v>
      </c>
      <c r="O412" t="s">
        <v>1405</v>
      </c>
      <c r="Q412" t="s">
        <v>1921</v>
      </c>
      <c r="R412" t="s">
        <v>1105</v>
      </c>
    </row>
    <row r="413" spans="1:18" hidden="1" x14ac:dyDescent="0.25">
      <c r="A413" s="11"/>
      <c r="B413" t="s">
        <v>1209</v>
      </c>
      <c r="C413" t="s">
        <v>3924</v>
      </c>
      <c r="D413">
        <v>2020</v>
      </c>
      <c r="E413">
        <v>2030</v>
      </c>
      <c r="F413" t="s">
        <v>2074</v>
      </c>
      <c r="G413">
        <v>1320</v>
      </c>
      <c r="I413">
        <v>2021</v>
      </c>
      <c r="J413" t="s">
        <v>1351</v>
      </c>
      <c r="K413" t="s">
        <v>1352</v>
      </c>
      <c r="L413" s="11" t="s">
        <v>1353</v>
      </c>
      <c r="M413">
        <v>1320</v>
      </c>
      <c r="N413" s="2">
        <v>44317</v>
      </c>
      <c r="O413" t="s">
        <v>1354</v>
      </c>
      <c r="Q413" t="s">
        <v>2075</v>
      </c>
      <c r="R413" t="s">
        <v>1210</v>
      </c>
    </row>
    <row r="414" spans="1:18" hidden="1" x14ac:dyDescent="0.25">
      <c r="A414" s="11"/>
      <c r="B414" t="s">
        <v>1213</v>
      </c>
      <c r="C414" t="s">
        <v>3924</v>
      </c>
      <c r="D414">
        <v>2020</v>
      </c>
      <c r="E414">
        <v>2030</v>
      </c>
      <c r="F414" t="s">
        <v>2076</v>
      </c>
      <c r="G414">
        <v>1100</v>
      </c>
      <c r="I414">
        <v>2021</v>
      </c>
      <c r="J414" t="s">
        <v>1351</v>
      </c>
      <c r="K414" t="s">
        <v>1352</v>
      </c>
      <c r="L414" s="11" t="s">
        <v>1353</v>
      </c>
      <c r="M414">
        <v>1100</v>
      </c>
      <c r="N414" s="2">
        <v>44317</v>
      </c>
      <c r="O414" t="s">
        <v>1354</v>
      </c>
      <c r="Q414" t="s">
        <v>2077</v>
      </c>
      <c r="R414" t="s">
        <v>1214</v>
      </c>
    </row>
    <row r="415" spans="1:18" hidden="1" x14ac:dyDescent="0.25">
      <c r="A415" s="11"/>
      <c r="B415" t="s">
        <v>1216</v>
      </c>
      <c r="C415" t="s">
        <v>3924</v>
      </c>
      <c r="D415">
        <v>2020</v>
      </c>
      <c r="E415" s="8">
        <f>IF(
    AND(
        NOT(LEFT(Tabla1[[#This Row],[status]],7)="Pending"),
        NOT(ISBLANK(Tabla1[[#This Row],[planted]])),
        NOT(ISBLANK(Tabla1[[#This Row],[planting_date]]))
    ),
    Tabla1[[#This Row],[planting_year]]+10,
    "Not planted contract"
)</f>
        <v>2031</v>
      </c>
      <c r="F415" t="s">
        <v>1599</v>
      </c>
      <c r="G415">
        <v>1100</v>
      </c>
      <c r="I415">
        <v>2021</v>
      </c>
      <c r="J415" t="s">
        <v>1351</v>
      </c>
      <c r="K415" t="s">
        <v>1352</v>
      </c>
      <c r="L415" s="11" t="s">
        <v>1400</v>
      </c>
      <c r="M415">
        <v>1100</v>
      </c>
      <c r="N415" s="2">
        <v>44317</v>
      </c>
      <c r="O415" t="s">
        <v>1405</v>
      </c>
      <c r="Q415" t="s">
        <v>1600</v>
      </c>
      <c r="R415" t="s">
        <v>1217</v>
      </c>
    </row>
    <row r="416" spans="1:18" hidden="1" x14ac:dyDescent="0.25">
      <c r="A416" s="11"/>
      <c r="B416" t="s">
        <v>1220</v>
      </c>
      <c r="C416" t="s">
        <v>3924</v>
      </c>
      <c r="D416">
        <v>2020</v>
      </c>
      <c r="E416">
        <v>2030</v>
      </c>
      <c r="F416" t="s">
        <v>2078</v>
      </c>
      <c r="G416">
        <v>3620</v>
      </c>
      <c r="I416">
        <v>2021</v>
      </c>
      <c r="J416" t="s">
        <v>1351</v>
      </c>
      <c r="K416" t="s">
        <v>1352</v>
      </c>
      <c r="L416" s="11" t="s">
        <v>2055</v>
      </c>
      <c r="M416">
        <v>3620</v>
      </c>
      <c r="N416" s="2">
        <v>44317</v>
      </c>
      <c r="O416" t="s">
        <v>1354</v>
      </c>
      <c r="Q416" t="s">
        <v>2079</v>
      </c>
      <c r="R416" t="s">
        <v>1221</v>
      </c>
    </row>
    <row r="417" spans="1:18" hidden="1" x14ac:dyDescent="0.25">
      <c r="A417" s="11"/>
      <c r="B417" t="s">
        <v>1224</v>
      </c>
      <c r="C417" t="s">
        <v>3924</v>
      </c>
      <c r="D417">
        <v>2020</v>
      </c>
      <c r="E417">
        <v>2030</v>
      </c>
      <c r="F417" t="s">
        <v>2080</v>
      </c>
      <c r="G417">
        <v>1100</v>
      </c>
      <c r="I417">
        <v>2021</v>
      </c>
      <c r="J417" t="s">
        <v>1351</v>
      </c>
      <c r="K417" t="s">
        <v>1352</v>
      </c>
      <c r="L417" s="11" t="s">
        <v>2055</v>
      </c>
      <c r="M417">
        <v>1100</v>
      </c>
      <c r="N417" s="2">
        <v>44317</v>
      </c>
      <c r="O417" t="s">
        <v>1354</v>
      </c>
      <c r="Q417" t="s">
        <v>2081</v>
      </c>
      <c r="R417" t="s">
        <v>1225</v>
      </c>
    </row>
    <row r="418" spans="1:18" hidden="1" x14ac:dyDescent="0.25">
      <c r="A418" s="11"/>
      <c r="B418" t="s">
        <v>1228</v>
      </c>
      <c r="C418" t="s">
        <v>3924</v>
      </c>
      <c r="D418">
        <v>2020</v>
      </c>
      <c r="E418">
        <v>2030</v>
      </c>
      <c r="F418" t="s">
        <v>2098</v>
      </c>
      <c r="G418">
        <v>1650</v>
      </c>
      <c r="I418">
        <v>2021</v>
      </c>
      <c r="J418" t="s">
        <v>1351</v>
      </c>
      <c r="K418" t="s">
        <v>1352</v>
      </c>
      <c r="L418" s="11" t="s">
        <v>1428</v>
      </c>
      <c r="M418">
        <v>1650</v>
      </c>
      <c r="N418" s="2">
        <v>44317</v>
      </c>
      <c r="O418" t="s">
        <v>1405</v>
      </c>
      <c r="Q418" t="s">
        <v>2099</v>
      </c>
      <c r="R418" t="s">
        <v>1229</v>
      </c>
    </row>
    <row r="419" spans="1:18" hidden="1" x14ac:dyDescent="0.25">
      <c r="A419" s="11"/>
      <c r="B419" t="s">
        <v>1232</v>
      </c>
      <c r="C419" t="s">
        <v>3924</v>
      </c>
      <c r="D419">
        <v>2020</v>
      </c>
      <c r="E419">
        <v>2030</v>
      </c>
      <c r="F419" t="s">
        <v>2082</v>
      </c>
      <c r="G419">
        <v>1100</v>
      </c>
      <c r="I419">
        <v>2021</v>
      </c>
      <c r="J419" t="s">
        <v>1351</v>
      </c>
      <c r="K419" t="s">
        <v>1352</v>
      </c>
      <c r="L419" s="11" t="s">
        <v>1425</v>
      </c>
      <c r="M419">
        <v>1100</v>
      </c>
      <c r="N419" s="2">
        <v>44317</v>
      </c>
      <c r="O419" t="s">
        <v>1354</v>
      </c>
      <c r="Q419" t="s">
        <v>2083</v>
      </c>
      <c r="R419" t="s">
        <v>1233</v>
      </c>
    </row>
    <row r="420" spans="1:18" hidden="1" x14ac:dyDescent="0.25">
      <c r="A420" s="11"/>
      <c r="B420" t="s">
        <v>1235</v>
      </c>
      <c r="C420" t="s">
        <v>3924</v>
      </c>
      <c r="D420">
        <v>2021</v>
      </c>
      <c r="E420">
        <v>2030</v>
      </c>
      <c r="F420" t="s">
        <v>2084</v>
      </c>
      <c r="G420">
        <v>660</v>
      </c>
      <c r="I420">
        <v>2021</v>
      </c>
      <c r="J420" t="s">
        <v>1351</v>
      </c>
      <c r="K420" t="s">
        <v>1352</v>
      </c>
      <c r="L420" s="11" t="s">
        <v>2055</v>
      </c>
      <c r="M420">
        <v>660</v>
      </c>
      <c r="N420" s="2">
        <v>44317</v>
      </c>
      <c r="O420" t="s">
        <v>1354</v>
      </c>
      <c r="Q420" t="s">
        <v>2085</v>
      </c>
      <c r="R420" t="s">
        <v>1236</v>
      </c>
    </row>
    <row r="421" spans="1:18" hidden="1" x14ac:dyDescent="0.25">
      <c r="A421" s="11"/>
      <c r="B421" t="s">
        <v>1238</v>
      </c>
      <c r="C421" t="s">
        <v>3924</v>
      </c>
      <c r="D421">
        <v>2021</v>
      </c>
      <c r="E421">
        <v>2031</v>
      </c>
      <c r="F421" t="s">
        <v>2142</v>
      </c>
      <c r="G421">
        <v>1320</v>
      </c>
      <c r="I421">
        <v>2022</v>
      </c>
      <c r="J421" t="s">
        <v>1351</v>
      </c>
      <c r="K421" t="s">
        <v>1352</v>
      </c>
      <c r="L421" s="11" t="s">
        <v>2143</v>
      </c>
      <c r="M421">
        <v>1320</v>
      </c>
      <c r="N421" s="2">
        <v>44682</v>
      </c>
      <c r="O421" t="s">
        <v>1354</v>
      </c>
      <c r="Q421" t="s">
        <v>2144</v>
      </c>
      <c r="R421" t="s">
        <v>1239</v>
      </c>
    </row>
    <row r="422" spans="1:18" hidden="1" x14ac:dyDescent="0.25">
      <c r="A422" s="11"/>
      <c r="B422" t="s">
        <v>1241</v>
      </c>
      <c r="C422" t="s">
        <v>3924</v>
      </c>
      <c r="D422">
        <v>2021</v>
      </c>
      <c r="E422">
        <v>2031</v>
      </c>
      <c r="F422" t="s">
        <v>1399</v>
      </c>
      <c r="G422">
        <v>550</v>
      </c>
      <c r="I422">
        <v>2022</v>
      </c>
      <c r="J422" t="s">
        <v>1351</v>
      </c>
      <c r="K422" t="s">
        <v>1352</v>
      </c>
      <c r="L422" s="11" t="s">
        <v>1400</v>
      </c>
      <c r="M422">
        <v>550</v>
      </c>
      <c r="N422" s="2">
        <v>44682</v>
      </c>
      <c r="O422" t="s">
        <v>1394</v>
      </c>
      <c r="Q422" t="s">
        <v>1401</v>
      </c>
      <c r="R422" t="s">
        <v>1127</v>
      </c>
    </row>
    <row r="423" spans="1:18" hidden="1" x14ac:dyDescent="0.25">
      <c r="A423" s="11"/>
      <c r="B423" t="s">
        <v>1242</v>
      </c>
      <c r="C423" t="s">
        <v>3924</v>
      </c>
      <c r="D423">
        <v>2021</v>
      </c>
      <c r="E423">
        <v>2031</v>
      </c>
      <c r="F423" t="s">
        <v>2034</v>
      </c>
      <c r="G423">
        <v>1100</v>
      </c>
      <c r="I423">
        <v>2022</v>
      </c>
      <c r="J423" t="s">
        <v>1351</v>
      </c>
      <c r="K423" t="s">
        <v>1352</v>
      </c>
      <c r="L423" s="11" t="s">
        <v>2140</v>
      </c>
      <c r="M423">
        <v>1100</v>
      </c>
      <c r="N423" s="2">
        <v>44682</v>
      </c>
      <c r="O423" t="s">
        <v>1354</v>
      </c>
      <c r="Q423" t="s">
        <v>2035</v>
      </c>
      <c r="R423" t="s">
        <v>1134</v>
      </c>
    </row>
    <row r="424" spans="1:18" hidden="1" x14ac:dyDescent="0.25">
      <c r="A424" s="11"/>
      <c r="B424" t="s">
        <v>1243</v>
      </c>
      <c r="C424" t="s">
        <v>3924</v>
      </c>
      <c r="D424">
        <v>2021</v>
      </c>
      <c r="E424">
        <v>2031</v>
      </c>
      <c r="F424" t="s">
        <v>1645</v>
      </c>
      <c r="G424">
        <v>3829</v>
      </c>
      <c r="I424">
        <v>2022</v>
      </c>
      <c r="J424" t="s">
        <v>1351</v>
      </c>
      <c r="K424" t="s">
        <v>1352</v>
      </c>
      <c r="L424" s="11" t="s">
        <v>1425</v>
      </c>
      <c r="M424">
        <v>3829</v>
      </c>
      <c r="N424" s="2">
        <v>44682</v>
      </c>
      <c r="O424" t="s">
        <v>1354</v>
      </c>
      <c r="Q424" t="s">
        <v>1646</v>
      </c>
      <c r="R424" t="s">
        <v>1244</v>
      </c>
    </row>
    <row r="425" spans="1:18" hidden="1" x14ac:dyDescent="0.25">
      <c r="A425" s="11"/>
      <c r="B425" t="s">
        <v>1246</v>
      </c>
      <c r="C425" t="s">
        <v>3924</v>
      </c>
      <c r="D425">
        <v>2021</v>
      </c>
      <c r="E425">
        <v>2031</v>
      </c>
      <c r="F425" t="s">
        <v>2145</v>
      </c>
      <c r="G425">
        <v>1100</v>
      </c>
      <c r="I425">
        <v>2022</v>
      </c>
      <c r="J425" t="s">
        <v>1351</v>
      </c>
      <c r="K425" t="s">
        <v>1352</v>
      </c>
      <c r="L425" s="11" t="s">
        <v>2043</v>
      </c>
      <c r="M425">
        <v>1100</v>
      </c>
      <c r="N425" s="2">
        <v>44682</v>
      </c>
      <c r="O425" t="s">
        <v>1354</v>
      </c>
      <c r="Q425" t="s">
        <v>2146</v>
      </c>
      <c r="R425" t="s">
        <v>1247</v>
      </c>
    </row>
    <row r="426" spans="1:18" hidden="1" x14ac:dyDescent="0.25">
      <c r="A426" s="11"/>
      <c r="B426" t="s">
        <v>1249</v>
      </c>
      <c r="C426" t="s">
        <v>3924</v>
      </c>
      <c r="D426">
        <v>2021</v>
      </c>
      <c r="E426">
        <v>2031</v>
      </c>
      <c r="F426" t="s">
        <v>2147</v>
      </c>
      <c r="G426">
        <v>1373</v>
      </c>
      <c r="I426">
        <v>2022</v>
      </c>
      <c r="J426" t="s">
        <v>1351</v>
      </c>
      <c r="K426" t="s">
        <v>1352</v>
      </c>
      <c r="L426" s="11" t="s">
        <v>2148</v>
      </c>
      <c r="M426">
        <v>1373</v>
      </c>
      <c r="N426" s="2">
        <v>44682</v>
      </c>
      <c r="O426" t="s">
        <v>1354</v>
      </c>
      <c r="Q426" t="s">
        <v>2149</v>
      </c>
      <c r="R426" t="s">
        <v>1250</v>
      </c>
    </row>
    <row r="427" spans="1:18" hidden="1" x14ac:dyDescent="0.25">
      <c r="A427" s="11"/>
      <c r="B427" t="s">
        <v>1252</v>
      </c>
      <c r="C427" t="s">
        <v>3924</v>
      </c>
      <c r="D427">
        <v>2021</v>
      </c>
      <c r="E427">
        <v>2031</v>
      </c>
      <c r="F427" t="s">
        <v>2150</v>
      </c>
      <c r="G427">
        <v>1100</v>
      </c>
      <c r="I427">
        <v>2022</v>
      </c>
      <c r="J427" t="s">
        <v>1351</v>
      </c>
      <c r="K427" t="s">
        <v>1352</v>
      </c>
      <c r="L427" s="11" t="s">
        <v>1428</v>
      </c>
      <c r="M427">
        <v>1100</v>
      </c>
      <c r="N427" s="2">
        <v>44682</v>
      </c>
      <c r="O427" t="s">
        <v>1354</v>
      </c>
      <c r="Q427" t="s">
        <v>2151</v>
      </c>
      <c r="R427" t="s">
        <v>1253</v>
      </c>
    </row>
    <row r="428" spans="1:18" hidden="1" x14ac:dyDescent="0.25">
      <c r="A428" s="11"/>
      <c r="B428" t="s">
        <v>1255</v>
      </c>
      <c r="C428" t="s">
        <v>3924</v>
      </c>
      <c r="D428">
        <v>2021</v>
      </c>
      <c r="E428">
        <v>2031</v>
      </c>
      <c r="F428" t="s">
        <v>1681</v>
      </c>
      <c r="G428">
        <v>4400</v>
      </c>
      <c r="I428">
        <v>2022</v>
      </c>
      <c r="J428" t="s">
        <v>1351</v>
      </c>
      <c r="K428" t="s">
        <v>1352</v>
      </c>
      <c r="L428" s="11" t="s">
        <v>1682</v>
      </c>
      <c r="M428">
        <v>4400</v>
      </c>
      <c r="N428" s="2">
        <v>44682</v>
      </c>
      <c r="O428" t="s">
        <v>1394</v>
      </c>
      <c r="Q428" t="s">
        <v>1683</v>
      </c>
      <c r="R428" t="s">
        <v>1180</v>
      </c>
    </row>
    <row r="429" spans="1:18" hidden="1" x14ac:dyDescent="0.25">
      <c r="A429" s="11"/>
      <c r="B429" t="s">
        <v>1256</v>
      </c>
      <c r="C429" t="s">
        <v>3924</v>
      </c>
      <c r="D429">
        <v>2021</v>
      </c>
      <c r="E429">
        <v>2031</v>
      </c>
      <c r="F429" t="s">
        <v>2102</v>
      </c>
      <c r="G429">
        <v>1112</v>
      </c>
      <c r="I429">
        <v>2022</v>
      </c>
      <c r="J429" t="s">
        <v>1351</v>
      </c>
      <c r="K429" t="s">
        <v>1352</v>
      </c>
      <c r="L429" s="11" t="s">
        <v>2103</v>
      </c>
      <c r="M429">
        <v>1112</v>
      </c>
      <c r="N429" s="2">
        <v>44682</v>
      </c>
      <c r="O429" t="s">
        <v>1394</v>
      </c>
      <c r="Q429" t="s">
        <v>2104</v>
      </c>
      <c r="R429" t="s">
        <v>1257</v>
      </c>
    </row>
    <row r="430" spans="1:18" hidden="1" x14ac:dyDescent="0.25">
      <c r="A430" s="11"/>
      <c r="B430" t="s">
        <v>1259</v>
      </c>
      <c r="C430" t="s">
        <v>3924</v>
      </c>
      <c r="D430">
        <v>2021</v>
      </c>
      <c r="E430">
        <v>2031</v>
      </c>
      <c r="F430" t="s">
        <v>1422</v>
      </c>
      <c r="G430">
        <v>1100</v>
      </c>
      <c r="I430">
        <v>2022</v>
      </c>
      <c r="J430" t="s">
        <v>1351</v>
      </c>
      <c r="K430" t="s">
        <v>1352</v>
      </c>
      <c r="L430" s="11" t="s">
        <v>1418</v>
      </c>
      <c r="M430">
        <v>1100</v>
      </c>
      <c r="N430" s="2">
        <v>44682</v>
      </c>
      <c r="O430" t="s">
        <v>1405</v>
      </c>
      <c r="Q430" t="s">
        <v>1423</v>
      </c>
      <c r="R430" t="s">
        <v>1084</v>
      </c>
    </row>
    <row r="431" spans="1:18" hidden="1" x14ac:dyDescent="0.25">
      <c r="A431" s="11"/>
      <c r="B431" t="s">
        <v>1260</v>
      </c>
      <c r="C431" t="s">
        <v>3924</v>
      </c>
      <c r="D431">
        <v>2021</v>
      </c>
      <c r="E431">
        <v>2031</v>
      </c>
      <c r="F431" t="s">
        <v>1424</v>
      </c>
      <c r="G431">
        <v>1100</v>
      </c>
      <c r="I431">
        <v>2022</v>
      </c>
      <c r="J431" t="s">
        <v>1351</v>
      </c>
      <c r="K431" t="s">
        <v>1352</v>
      </c>
      <c r="L431" s="11" t="s">
        <v>1425</v>
      </c>
      <c r="M431">
        <v>1100</v>
      </c>
      <c r="N431" s="2">
        <v>44682</v>
      </c>
      <c r="O431" t="s">
        <v>1394</v>
      </c>
      <c r="Q431" t="s">
        <v>1426</v>
      </c>
      <c r="R431" t="s">
        <v>1261</v>
      </c>
    </row>
    <row r="432" spans="1:18" hidden="1" x14ac:dyDescent="0.25">
      <c r="A432" s="11"/>
      <c r="B432" t="s">
        <v>1264</v>
      </c>
      <c r="C432" t="s">
        <v>3924</v>
      </c>
      <c r="D432">
        <v>2021</v>
      </c>
      <c r="E432">
        <v>2031</v>
      </c>
      <c r="F432" t="s">
        <v>1427</v>
      </c>
      <c r="G432">
        <v>2200</v>
      </c>
      <c r="I432">
        <v>2022</v>
      </c>
      <c r="J432" t="s">
        <v>1351</v>
      </c>
      <c r="K432" t="s">
        <v>1352</v>
      </c>
      <c r="L432" s="11" t="s">
        <v>1428</v>
      </c>
      <c r="M432">
        <v>2200</v>
      </c>
      <c r="N432" s="2">
        <v>44682</v>
      </c>
      <c r="O432" t="s">
        <v>1354</v>
      </c>
      <c r="Q432" t="s">
        <v>1429</v>
      </c>
      <c r="R432" t="s">
        <v>1265</v>
      </c>
    </row>
    <row r="433" spans="1:18" hidden="1" x14ac:dyDescent="0.25">
      <c r="A433" s="11"/>
      <c r="B433" t="s">
        <v>1267</v>
      </c>
      <c r="C433" t="s">
        <v>3924</v>
      </c>
      <c r="D433">
        <v>2021</v>
      </c>
      <c r="E433">
        <v>2031</v>
      </c>
      <c r="F433" t="s">
        <v>1430</v>
      </c>
      <c r="G433">
        <v>1980</v>
      </c>
      <c r="I433">
        <v>2022</v>
      </c>
      <c r="J433" t="s">
        <v>1351</v>
      </c>
      <c r="K433" t="s">
        <v>1352</v>
      </c>
      <c r="L433" s="11" t="s">
        <v>1431</v>
      </c>
      <c r="M433">
        <v>1980</v>
      </c>
      <c r="N433" s="2">
        <v>44682</v>
      </c>
      <c r="O433" t="s">
        <v>1354</v>
      </c>
      <c r="Q433" t="s">
        <v>1432</v>
      </c>
      <c r="R433" t="s">
        <v>1268</v>
      </c>
    </row>
    <row r="434" spans="1:18" hidden="1" x14ac:dyDescent="0.25">
      <c r="A434" s="11"/>
      <c r="B434" t="s">
        <v>1270</v>
      </c>
      <c r="C434" t="s">
        <v>3924</v>
      </c>
      <c r="D434">
        <v>2021</v>
      </c>
      <c r="E434">
        <v>2031</v>
      </c>
      <c r="F434" t="s">
        <v>2141</v>
      </c>
      <c r="G434">
        <v>550</v>
      </c>
      <c r="I434">
        <v>2022</v>
      </c>
      <c r="J434" t="s">
        <v>1351</v>
      </c>
      <c r="K434" t="s">
        <v>1352</v>
      </c>
      <c r="L434" s="11" t="s">
        <v>2055</v>
      </c>
      <c r="M434">
        <v>550</v>
      </c>
      <c r="N434" s="2">
        <v>44682</v>
      </c>
      <c r="O434" t="s">
        <v>1354</v>
      </c>
      <c r="Q434" t="s">
        <v>2077</v>
      </c>
      <c r="R434" t="s">
        <v>1214</v>
      </c>
    </row>
    <row r="435" spans="1:18" hidden="1" x14ac:dyDescent="0.25">
      <c r="A435" s="11"/>
      <c r="B435" t="s">
        <v>1271</v>
      </c>
      <c r="C435" t="s">
        <v>3924</v>
      </c>
      <c r="D435">
        <v>2021</v>
      </c>
      <c r="E435">
        <v>2031</v>
      </c>
      <c r="F435" t="s">
        <v>2078</v>
      </c>
      <c r="G435">
        <v>1100</v>
      </c>
      <c r="I435">
        <v>2022</v>
      </c>
      <c r="J435" t="s">
        <v>1351</v>
      </c>
      <c r="K435" t="s">
        <v>1352</v>
      </c>
      <c r="L435" s="11" t="s">
        <v>1434</v>
      </c>
      <c r="M435">
        <v>1100</v>
      </c>
      <c r="N435" s="2">
        <v>44682</v>
      </c>
      <c r="O435" t="s">
        <v>1354</v>
      </c>
      <c r="Q435" t="s">
        <v>2079</v>
      </c>
      <c r="R435" t="s">
        <v>1221</v>
      </c>
    </row>
    <row r="436" spans="1:18" hidden="1" x14ac:dyDescent="0.25">
      <c r="A436" s="11"/>
      <c r="B436" t="s">
        <v>1272</v>
      </c>
      <c r="C436" t="s">
        <v>3924</v>
      </c>
      <c r="D436">
        <v>2021</v>
      </c>
      <c r="E436">
        <v>2031</v>
      </c>
      <c r="F436" t="s">
        <v>1433</v>
      </c>
      <c r="G436">
        <v>1100</v>
      </c>
      <c r="I436">
        <v>2022</v>
      </c>
      <c r="J436" t="s">
        <v>1351</v>
      </c>
      <c r="K436" t="s">
        <v>1352</v>
      </c>
      <c r="L436" s="11" t="s">
        <v>1434</v>
      </c>
      <c r="M436">
        <v>1100</v>
      </c>
      <c r="N436" s="2">
        <v>44682</v>
      </c>
      <c r="O436" t="s">
        <v>1354</v>
      </c>
      <c r="Q436" t="s">
        <v>1435</v>
      </c>
      <c r="R436" t="s">
        <v>1273</v>
      </c>
    </row>
    <row r="437" spans="1:18" hidden="1" x14ac:dyDescent="0.25">
      <c r="A437" s="11"/>
      <c r="B437" t="s">
        <v>1275</v>
      </c>
      <c r="C437" t="s">
        <v>3924</v>
      </c>
      <c r="D437">
        <v>2021</v>
      </c>
      <c r="E437">
        <v>2031</v>
      </c>
      <c r="F437" t="s">
        <v>1497</v>
      </c>
      <c r="G437">
        <v>1100</v>
      </c>
      <c r="I437">
        <v>2022</v>
      </c>
      <c r="J437" t="s">
        <v>1351</v>
      </c>
      <c r="K437" t="s">
        <v>1352</v>
      </c>
      <c r="L437" s="11" t="s">
        <v>1425</v>
      </c>
      <c r="M437">
        <v>1100</v>
      </c>
      <c r="N437" s="2">
        <v>44682</v>
      </c>
      <c r="O437" t="s">
        <v>1354</v>
      </c>
      <c r="Q437" t="s">
        <v>1498</v>
      </c>
      <c r="R437" t="s">
        <v>1276</v>
      </c>
    </row>
    <row r="438" spans="1:18" hidden="1" x14ac:dyDescent="0.25">
      <c r="A438" s="11"/>
      <c r="B438" t="s">
        <v>1278</v>
      </c>
      <c r="C438" t="s">
        <v>3924</v>
      </c>
      <c r="D438">
        <v>2021</v>
      </c>
      <c r="E438">
        <v>2032</v>
      </c>
      <c r="F438" t="s">
        <v>1647</v>
      </c>
      <c r="G438">
        <v>1650</v>
      </c>
      <c r="I438">
        <v>2023</v>
      </c>
      <c r="J438" t="s">
        <v>1351</v>
      </c>
      <c r="K438" t="s">
        <v>1352</v>
      </c>
      <c r="L438" s="11"/>
      <c r="M438">
        <v>1650</v>
      </c>
      <c r="N438" s="2">
        <v>45047</v>
      </c>
      <c r="O438" t="s">
        <v>1354</v>
      </c>
      <c r="Q438" t="s">
        <v>1648</v>
      </c>
      <c r="R438" t="s">
        <v>1279</v>
      </c>
    </row>
    <row r="439" spans="1:18" hidden="1" x14ac:dyDescent="0.25">
      <c r="A439" s="11"/>
      <c r="B439" t="s">
        <v>1281</v>
      </c>
      <c r="C439" t="s">
        <v>3924</v>
      </c>
      <c r="D439">
        <v>2021</v>
      </c>
      <c r="E439">
        <v>2032</v>
      </c>
      <c r="F439" t="s">
        <v>1649</v>
      </c>
      <c r="G439">
        <v>2800</v>
      </c>
      <c r="I439">
        <v>2023</v>
      </c>
      <c r="J439" t="s">
        <v>1351</v>
      </c>
      <c r="K439" t="s">
        <v>1352</v>
      </c>
      <c r="L439" s="11"/>
      <c r="M439">
        <v>2800</v>
      </c>
      <c r="N439" s="2">
        <v>45047</v>
      </c>
      <c r="O439" t="s">
        <v>1354</v>
      </c>
      <c r="Q439" t="s">
        <v>1650</v>
      </c>
      <c r="R439" t="s">
        <v>1282</v>
      </c>
    </row>
    <row r="440" spans="1:18" hidden="1" x14ac:dyDescent="0.25">
      <c r="A440" s="11"/>
      <c r="B440" t="s">
        <v>1285</v>
      </c>
      <c r="C440" t="s">
        <v>3924</v>
      </c>
      <c r="D440">
        <v>2021</v>
      </c>
      <c r="E440">
        <v>2032</v>
      </c>
      <c r="F440" t="s">
        <v>1651</v>
      </c>
      <c r="G440">
        <v>1320</v>
      </c>
      <c r="I440">
        <v>2023</v>
      </c>
      <c r="J440" t="s">
        <v>1351</v>
      </c>
      <c r="K440" t="s">
        <v>1352</v>
      </c>
      <c r="L440" s="11"/>
      <c r="M440">
        <v>1320</v>
      </c>
      <c r="N440" s="2">
        <v>45047</v>
      </c>
      <c r="O440" t="s">
        <v>1354</v>
      </c>
      <c r="Q440" t="s">
        <v>1652</v>
      </c>
      <c r="R440" t="s">
        <v>1286</v>
      </c>
    </row>
    <row r="441" spans="1:18" hidden="1" x14ac:dyDescent="0.25">
      <c r="A441" s="11"/>
      <c r="B441" t="s">
        <v>1288</v>
      </c>
      <c r="C441" t="s">
        <v>3924</v>
      </c>
      <c r="D441">
        <v>2021</v>
      </c>
      <c r="E441">
        <v>2032</v>
      </c>
      <c r="F441" t="s">
        <v>1645</v>
      </c>
      <c r="G441">
        <v>1100</v>
      </c>
      <c r="I441">
        <v>2023</v>
      </c>
      <c r="J441" t="s">
        <v>1351</v>
      </c>
      <c r="K441" t="s">
        <v>1352</v>
      </c>
      <c r="L441" s="11"/>
      <c r="M441">
        <v>1100</v>
      </c>
      <c r="N441" s="2">
        <v>45047</v>
      </c>
      <c r="O441" t="s">
        <v>1354</v>
      </c>
      <c r="Q441" t="s">
        <v>1646</v>
      </c>
      <c r="R441" t="s">
        <v>1244</v>
      </c>
    </row>
    <row r="442" spans="1:18" hidden="1" x14ac:dyDescent="0.25">
      <c r="A442" s="11"/>
      <c r="B442" t="s">
        <v>1289</v>
      </c>
      <c r="C442" t="s">
        <v>3924</v>
      </c>
      <c r="D442">
        <v>2021</v>
      </c>
      <c r="E442">
        <v>2032</v>
      </c>
      <c r="F442" t="s">
        <v>1653</v>
      </c>
      <c r="G442">
        <v>2096</v>
      </c>
      <c r="I442">
        <v>2023</v>
      </c>
      <c r="J442" t="s">
        <v>1351</v>
      </c>
      <c r="K442" t="s">
        <v>1352</v>
      </c>
      <c r="L442" s="11"/>
      <c r="M442">
        <v>2096</v>
      </c>
      <c r="N442" s="2">
        <v>45047</v>
      </c>
      <c r="O442" t="s">
        <v>1354</v>
      </c>
      <c r="Q442" t="s">
        <v>1654</v>
      </c>
      <c r="R442" t="s">
        <v>1290</v>
      </c>
    </row>
    <row r="443" spans="1:18" hidden="1" x14ac:dyDescent="0.25">
      <c r="A443" s="11"/>
      <c r="B443" t="s">
        <v>1293</v>
      </c>
      <c r="C443" t="s">
        <v>3924</v>
      </c>
      <c r="D443">
        <v>2021</v>
      </c>
      <c r="E443">
        <v>2032</v>
      </c>
      <c r="F443" t="s">
        <v>1655</v>
      </c>
      <c r="G443">
        <v>2200</v>
      </c>
      <c r="I443">
        <v>2023</v>
      </c>
      <c r="J443" t="s">
        <v>1351</v>
      </c>
      <c r="K443" t="s">
        <v>1352</v>
      </c>
      <c r="L443" s="11"/>
      <c r="M443">
        <v>2200</v>
      </c>
      <c r="N443" s="2">
        <v>45047</v>
      </c>
      <c r="O443" t="s">
        <v>1354</v>
      </c>
      <c r="Q443" t="s">
        <v>1656</v>
      </c>
      <c r="R443" t="s">
        <v>1294</v>
      </c>
    </row>
    <row r="444" spans="1:18" hidden="1" x14ac:dyDescent="0.25">
      <c r="A444" s="11"/>
      <c r="B444" t="s">
        <v>1297</v>
      </c>
      <c r="C444" t="s">
        <v>3924</v>
      </c>
      <c r="D444">
        <v>2021</v>
      </c>
      <c r="E444">
        <v>2032</v>
      </c>
      <c r="F444" t="s">
        <v>2016</v>
      </c>
      <c r="G444">
        <v>1100</v>
      </c>
      <c r="I444">
        <v>2023</v>
      </c>
      <c r="J444" t="s">
        <v>1351</v>
      </c>
      <c r="K444" t="s">
        <v>1352</v>
      </c>
      <c r="L444" s="11"/>
      <c r="M444">
        <v>1100</v>
      </c>
      <c r="N444" s="2">
        <v>45047</v>
      </c>
      <c r="O444" t="s">
        <v>1354</v>
      </c>
      <c r="Q444" t="s">
        <v>2017</v>
      </c>
      <c r="R444" t="s">
        <v>1061</v>
      </c>
    </row>
    <row r="445" spans="1:18" hidden="1" x14ac:dyDescent="0.25">
      <c r="A445" s="11"/>
      <c r="B445" t="s">
        <v>1298</v>
      </c>
      <c r="C445" t="s">
        <v>3924</v>
      </c>
      <c r="D445">
        <v>2021</v>
      </c>
      <c r="E445">
        <v>2032</v>
      </c>
      <c r="F445" t="s">
        <v>2014</v>
      </c>
      <c r="G445">
        <v>1100</v>
      </c>
      <c r="I445">
        <v>2023</v>
      </c>
      <c r="J445" t="s">
        <v>1351</v>
      </c>
      <c r="K445" t="s">
        <v>1352</v>
      </c>
      <c r="L445" s="11"/>
      <c r="M445">
        <v>1100</v>
      </c>
      <c r="N445" s="2">
        <v>45047</v>
      </c>
      <c r="O445" t="s">
        <v>1394</v>
      </c>
      <c r="Q445" t="s">
        <v>2015</v>
      </c>
      <c r="R445" t="s">
        <v>1180</v>
      </c>
    </row>
    <row r="446" spans="1:18" hidden="1" x14ac:dyDescent="0.25">
      <c r="A446" s="11"/>
      <c r="B446" t="s">
        <v>1299</v>
      </c>
      <c r="C446" t="s">
        <v>3924</v>
      </c>
      <c r="D446">
        <v>2022</v>
      </c>
      <c r="E446">
        <v>2032</v>
      </c>
      <c r="F446" t="s">
        <v>1427</v>
      </c>
      <c r="G446">
        <v>1430</v>
      </c>
      <c r="I446">
        <v>2023</v>
      </c>
      <c r="J446" t="s">
        <v>1351</v>
      </c>
      <c r="K446" t="s">
        <v>1352</v>
      </c>
      <c r="L446" s="11"/>
      <c r="M446">
        <v>1430</v>
      </c>
      <c r="N446" s="2">
        <v>45047</v>
      </c>
      <c r="O446" t="s">
        <v>1354</v>
      </c>
      <c r="Q446" t="s">
        <v>1429</v>
      </c>
      <c r="R446" t="s">
        <v>1265</v>
      </c>
    </row>
    <row r="447" spans="1:18" hidden="1" x14ac:dyDescent="0.25">
      <c r="A447" s="11"/>
      <c r="B447" t="s">
        <v>1300</v>
      </c>
      <c r="C447" t="s">
        <v>3924</v>
      </c>
      <c r="D447">
        <v>2022</v>
      </c>
      <c r="E447">
        <v>2032</v>
      </c>
      <c r="F447" t="s">
        <v>1657</v>
      </c>
      <c r="G447">
        <v>2750</v>
      </c>
      <c r="I447">
        <v>2023</v>
      </c>
      <c r="J447" t="s">
        <v>1351</v>
      </c>
      <c r="K447" t="s">
        <v>1352</v>
      </c>
      <c r="L447" s="11" t="s">
        <v>1658</v>
      </c>
      <c r="M447">
        <v>2750</v>
      </c>
      <c r="N447" s="2">
        <v>45047</v>
      </c>
      <c r="O447" t="s">
        <v>1354</v>
      </c>
      <c r="Q447" t="s">
        <v>1659</v>
      </c>
      <c r="R447" t="s">
        <v>1301</v>
      </c>
    </row>
    <row r="448" spans="1:18" hidden="1" x14ac:dyDescent="0.25">
      <c r="A448" s="11"/>
      <c r="B448" t="s">
        <v>1303</v>
      </c>
      <c r="C448" t="s">
        <v>3924</v>
      </c>
      <c r="D448">
        <v>2023</v>
      </c>
      <c r="E448">
        <v>2033</v>
      </c>
      <c r="F448" t="s">
        <v>1719</v>
      </c>
      <c r="G448">
        <v>1320</v>
      </c>
      <c r="I448">
        <v>2024</v>
      </c>
      <c r="J448" t="s">
        <v>1351</v>
      </c>
      <c r="K448" t="s">
        <v>1352</v>
      </c>
      <c r="L448" s="11" t="s">
        <v>1720</v>
      </c>
      <c r="M448">
        <v>1320</v>
      </c>
      <c r="N448" s="2">
        <v>45413</v>
      </c>
      <c r="O448" t="s">
        <v>1354</v>
      </c>
      <c r="Q448" t="s">
        <v>1721</v>
      </c>
      <c r="R448" t="s">
        <v>1161</v>
      </c>
    </row>
    <row r="449" spans="1:18" hidden="1" x14ac:dyDescent="0.25">
      <c r="A449" s="11"/>
      <c r="B449" t="s">
        <v>1304</v>
      </c>
      <c r="C449" t="s">
        <v>3924</v>
      </c>
      <c r="D449">
        <v>2022</v>
      </c>
      <c r="E449">
        <v>2033</v>
      </c>
      <c r="F449" t="s">
        <v>1686</v>
      </c>
      <c r="G449">
        <v>4400</v>
      </c>
      <c r="I449">
        <v>2024</v>
      </c>
      <c r="J449" t="s">
        <v>1351</v>
      </c>
      <c r="K449" t="s">
        <v>1352</v>
      </c>
      <c r="L449" s="11"/>
      <c r="M449">
        <v>4400</v>
      </c>
      <c r="N449" s="2">
        <v>45413</v>
      </c>
      <c r="O449" t="s">
        <v>1354</v>
      </c>
      <c r="Q449" t="s">
        <v>1687</v>
      </c>
      <c r="R449" t="s">
        <v>1305</v>
      </c>
    </row>
    <row r="450" spans="1:18" hidden="1" x14ac:dyDescent="0.25">
      <c r="A450" s="11"/>
      <c r="B450" t="s">
        <v>1308</v>
      </c>
      <c r="C450" t="s">
        <v>3924</v>
      </c>
      <c r="D450">
        <v>2022</v>
      </c>
      <c r="E450">
        <v>2033</v>
      </c>
      <c r="F450" t="s">
        <v>1688</v>
      </c>
      <c r="G450">
        <v>1100</v>
      </c>
      <c r="I450">
        <v>2024</v>
      </c>
      <c r="J450" t="s">
        <v>1351</v>
      </c>
      <c r="K450" t="s">
        <v>1352</v>
      </c>
      <c r="L450" s="11" t="s">
        <v>1689</v>
      </c>
      <c r="M450">
        <v>1100</v>
      </c>
      <c r="N450" s="2">
        <v>45413</v>
      </c>
      <c r="O450" t="s">
        <v>1354</v>
      </c>
      <c r="Q450" t="s">
        <v>1690</v>
      </c>
      <c r="R450" t="s">
        <v>1309</v>
      </c>
    </row>
    <row r="451" spans="1:18" hidden="1" x14ac:dyDescent="0.25">
      <c r="A451" s="11"/>
      <c r="B451" t="s">
        <v>1311</v>
      </c>
      <c r="C451" t="s">
        <v>3924</v>
      </c>
      <c r="D451">
        <v>2023</v>
      </c>
      <c r="E451">
        <v>2033</v>
      </c>
      <c r="F451" t="s">
        <v>1691</v>
      </c>
      <c r="G451">
        <v>1100</v>
      </c>
      <c r="I451">
        <v>2024</v>
      </c>
      <c r="J451" t="s">
        <v>1351</v>
      </c>
      <c r="K451" t="s">
        <v>1352</v>
      </c>
      <c r="L451" s="11"/>
      <c r="M451">
        <v>1100</v>
      </c>
      <c r="N451" s="2">
        <v>45413</v>
      </c>
      <c r="O451" t="s">
        <v>1354</v>
      </c>
      <c r="Q451" t="s">
        <v>1692</v>
      </c>
      <c r="R451" t="s">
        <v>1312</v>
      </c>
    </row>
    <row r="452" spans="1:18" hidden="1" x14ac:dyDescent="0.25">
      <c r="A452" s="11"/>
      <c r="B452" t="s">
        <v>1315</v>
      </c>
      <c r="C452" t="s">
        <v>3924</v>
      </c>
      <c r="D452">
        <v>2023</v>
      </c>
      <c r="E452">
        <v>2033</v>
      </c>
      <c r="F452" t="s">
        <v>1684</v>
      </c>
      <c r="G452">
        <v>660</v>
      </c>
      <c r="I452">
        <v>2024</v>
      </c>
      <c r="J452" t="s">
        <v>1351</v>
      </c>
      <c r="K452" t="s">
        <v>1352</v>
      </c>
      <c r="L452" s="11"/>
      <c r="M452">
        <v>660</v>
      </c>
      <c r="N452" s="2">
        <v>45413</v>
      </c>
      <c r="O452" t="s">
        <v>1354</v>
      </c>
      <c r="Q452" t="s">
        <v>1685</v>
      </c>
      <c r="R452" t="s">
        <v>1290</v>
      </c>
    </row>
    <row r="453" spans="1:18" hidden="1" x14ac:dyDescent="0.25">
      <c r="A453" s="11"/>
      <c r="B453" t="s">
        <v>1316</v>
      </c>
      <c r="C453" t="s">
        <v>3924</v>
      </c>
      <c r="D453">
        <v>2023</v>
      </c>
      <c r="E453">
        <v>2033</v>
      </c>
      <c r="F453" t="s">
        <v>1693</v>
      </c>
      <c r="G453">
        <v>1100</v>
      </c>
      <c r="I453">
        <v>2024</v>
      </c>
      <c r="J453" t="s">
        <v>1351</v>
      </c>
      <c r="K453" t="s">
        <v>1352</v>
      </c>
      <c r="L453" s="11"/>
      <c r="M453">
        <v>1100</v>
      </c>
      <c r="N453" s="2">
        <v>45413</v>
      </c>
      <c r="O453" t="s">
        <v>1354</v>
      </c>
      <c r="Q453" t="s">
        <v>1694</v>
      </c>
      <c r="R453" t="s">
        <v>1317</v>
      </c>
    </row>
    <row r="454" spans="1:18" hidden="1" x14ac:dyDescent="0.25">
      <c r="A454" s="11"/>
      <c r="B454" t="s">
        <v>1319</v>
      </c>
      <c r="C454" t="s">
        <v>3924</v>
      </c>
      <c r="D454">
        <v>2022</v>
      </c>
      <c r="E454">
        <v>2033</v>
      </c>
      <c r="F454" t="s">
        <v>1722</v>
      </c>
      <c r="G454">
        <v>1700</v>
      </c>
      <c r="I454">
        <v>2024</v>
      </c>
      <c r="J454" t="s">
        <v>1351</v>
      </c>
      <c r="K454" t="s">
        <v>1352</v>
      </c>
      <c r="L454" s="11"/>
      <c r="M454">
        <v>1700</v>
      </c>
      <c r="N454" s="2">
        <v>45413</v>
      </c>
      <c r="O454" t="s">
        <v>1354</v>
      </c>
      <c r="Q454" t="s">
        <v>1723</v>
      </c>
      <c r="R454" t="s">
        <v>1320</v>
      </c>
    </row>
    <row r="455" spans="1:18" hidden="1" x14ac:dyDescent="0.25">
      <c r="A455" s="11"/>
      <c r="B455" t="s">
        <v>1322</v>
      </c>
      <c r="C455" t="s">
        <v>3924</v>
      </c>
      <c r="D455">
        <v>2022</v>
      </c>
      <c r="E455">
        <v>2033</v>
      </c>
      <c r="F455" t="s">
        <v>1724</v>
      </c>
      <c r="G455">
        <v>1870</v>
      </c>
      <c r="I455">
        <v>2024</v>
      </c>
      <c r="J455" t="s">
        <v>1351</v>
      </c>
      <c r="K455" t="s">
        <v>1352</v>
      </c>
      <c r="L455" s="11"/>
      <c r="M455">
        <v>1870</v>
      </c>
      <c r="N455" s="2">
        <v>45413</v>
      </c>
      <c r="O455" t="s">
        <v>1354</v>
      </c>
      <c r="Q455" t="s">
        <v>1725</v>
      </c>
      <c r="R455" t="s">
        <v>1323</v>
      </c>
    </row>
    <row r="456" spans="1:18" hidden="1" x14ac:dyDescent="0.25">
      <c r="A456" s="11"/>
      <c r="B456" t="s">
        <v>1325</v>
      </c>
      <c r="C456" t="s">
        <v>3924</v>
      </c>
      <c r="D456">
        <v>2025</v>
      </c>
      <c r="E456">
        <v>2033</v>
      </c>
      <c r="F456" t="s">
        <v>1424</v>
      </c>
      <c r="G456">
        <v>1100</v>
      </c>
      <c r="I456">
        <v>2024</v>
      </c>
      <c r="J456" t="s">
        <v>1351</v>
      </c>
      <c r="K456" t="s">
        <v>1352</v>
      </c>
      <c r="L456" s="11"/>
      <c r="M456">
        <v>1100</v>
      </c>
      <c r="N456" s="2">
        <v>45413</v>
      </c>
      <c r="O456" t="s">
        <v>1354</v>
      </c>
      <c r="Q456" t="s">
        <v>1426</v>
      </c>
      <c r="R456" t="s">
        <v>1261</v>
      </c>
    </row>
    <row r="457" spans="1:18" hidden="1" x14ac:dyDescent="0.25">
      <c r="A457" s="11" t="s">
        <v>1348</v>
      </c>
      <c r="B457" t="s">
        <v>1326</v>
      </c>
      <c r="C457" t="s">
        <v>3924</v>
      </c>
      <c r="D457">
        <v>2023</v>
      </c>
      <c r="E457">
        <v>2033</v>
      </c>
      <c r="F457" t="s">
        <v>1349</v>
      </c>
      <c r="G457">
        <v>2200</v>
      </c>
      <c r="H457" t="s">
        <v>1350</v>
      </c>
      <c r="I457">
        <v>2024</v>
      </c>
      <c r="J457" t="s">
        <v>1351</v>
      </c>
      <c r="K457" t="s">
        <v>1352</v>
      </c>
      <c r="L457" s="11" t="s">
        <v>1353</v>
      </c>
      <c r="M457">
        <v>2200</v>
      </c>
      <c r="N457" s="2">
        <v>45413</v>
      </c>
      <c r="O457" t="s">
        <v>1354</v>
      </c>
      <c r="Q457" t="s">
        <v>1355</v>
      </c>
      <c r="R457" t="s">
        <v>1301</v>
      </c>
    </row>
    <row r="458" spans="1:18" hidden="1" x14ac:dyDescent="0.25">
      <c r="A458" s="11"/>
      <c r="B458" t="s">
        <v>1327</v>
      </c>
      <c r="C458" t="s">
        <v>3924</v>
      </c>
      <c r="D458">
        <v>2024</v>
      </c>
      <c r="E458">
        <v>2033</v>
      </c>
      <c r="F458" t="s">
        <v>1708</v>
      </c>
      <c r="G458">
        <v>2200</v>
      </c>
      <c r="I458">
        <v>2024</v>
      </c>
      <c r="J458" t="s">
        <v>1351</v>
      </c>
      <c r="K458" t="s">
        <v>1352</v>
      </c>
      <c r="L458" s="11" t="s">
        <v>1709</v>
      </c>
      <c r="M458">
        <v>2200</v>
      </c>
      <c r="N458" s="2">
        <v>45413</v>
      </c>
      <c r="O458" t="s">
        <v>1354</v>
      </c>
      <c r="Q458" t="s">
        <v>1710</v>
      </c>
      <c r="R458" t="s">
        <v>1221</v>
      </c>
    </row>
    <row r="459" spans="1:18" hidden="1" x14ac:dyDescent="0.25">
      <c r="A459" s="11"/>
      <c r="B459" t="s">
        <v>1328</v>
      </c>
      <c r="C459" t="s">
        <v>3925</v>
      </c>
      <c r="D459">
        <v>2024</v>
      </c>
      <c r="E459">
        <v>2035</v>
      </c>
      <c r="F459" t="s">
        <v>1371</v>
      </c>
      <c r="G459">
        <v>1650</v>
      </c>
      <c r="I459">
        <v>2025</v>
      </c>
      <c r="K459" t="s">
        <v>1372</v>
      </c>
      <c r="L459" s="11"/>
      <c r="M459">
        <v>1650</v>
      </c>
      <c r="N459" s="2">
        <v>45786</v>
      </c>
      <c r="O459" t="s">
        <v>1354</v>
      </c>
      <c r="Q459" t="s">
        <v>1373</v>
      </c>
      <c r="R459" t="s">
        <v>1320</v>
      </c>
    </row>
    <row r="460" spans="1:18" hidden="1" x14ac:dyDescent="0.25">
      <c r="A460" s="11"/>
      <c r="B460" t="s">
        <v>1329</v>
      </c>
      <c r="C460" t="s">
        <v>3925</v>
      </c>
      <c r="D460">
        <v>2025</v>
      </c>
      <c r="E460">
        <v>2035</v>
      </c>
      <c r="F460" t="s">
        <v>1376</v>
      </c>
      <c r="G460">
        <v>1130</v>
      </c>
      <c r="I460">
        <v>2025</v>
      </c>
      <c r="K460" t="s">
        <v>1366</v>
      </c>
      <c r="L460" s="11"/>
      <c r="M460">
        <v>1130</v>
      </c>
      <c r="N460" s="2">
        <v>45901</v>
      </c>
      <c r="O460" t="s">
        <v>1354</v>
      </c>
      <c r="Q460" t="s">
        <v>1377</v>
      </c>
      <c r="R460" t="s">
        <v>1080</v>
      </c>
    </row>
    <row r="461" spans="1:18" hidden="1" x14ac:dyDescent="0.25">
      <c r="A461" s="11"/>
      <c r="B461" t="s">
        <v>1330</v>
      </c>
      <c r="C461" t="s">
        <v>3925</v>
      </c>
      <c r="D461">
        <v>2024</v>
      </c>
      <c r="E461">
        <v>2035</v>
      </c>
      <c r="F461" t="s">
        <v>1378</v>
      </c>
      <c r="G461">
        <v>2741</v>
      </c>
      <c r="I461">
        <v>2025</v>
      </c>
      <c r="K461" t="s">
        <v>1353</v>
      </c>
      <c r="L461" s="11"/>
      <c r="M461">
        <v>2741</v>
      </c>
      <c r="N461" s="2">
        <v>45827</v>
      </c>
      <c r="O461" t="s">
        <v>1354</v>
      </c>
      <c r="Q461" t="s">
        <v>1379</v>
      </c>
      <c r="R461" t="s">
        <v>1331</v>
      </c>
    </row>
    <row r="462" spans="1:18" hidden="1" x14ac:dyDescent="0.25">
      <c r="A462" s="11"/>
      <c r="B462" t="s">
        <v>1334</v>
      </c>
      <c r="C462" t="s">
        <v>3925</v>
      </c>
      <c r="D462">
        <v>2025</v>
      </c>
      <c r="E462">
        <v>2035</v>
      </c>
      <c r="F462" t="s">
        <v>1374</v>
      </c>
      <c r="G462">
        <v>850</v>
      </c>
      <c r="I462">
        <v>2025</v>
      </c>
      <c r="K462" t="s">
        <v>1353</v>
      </c>
      <c r="L462" s="11"/>
      <c r="M462">
        <v>850</v>
      </c>
      <c r="N462" s="2">
        <v>45901</v>
      </c>
      <c r="O462" t="s">
        <v>1354</v>
      </c>
      <c r="Q462" t="s">
        <v>1375</v>
      </c>
      <c r="R462" t="s">
        <v>1335</v>
      </c>
    </row>
    <row r="463" spans="1:18" hidden="1" x14ac:dyDescent="0.25">
      <c r="A463" s="11"/>
      <c r="B463" t="s">
        <v>1338</v>
      </c>
      <c r="C463" t="s">
        <v>3925</v>
      </c>
      <c r="D463">
        <v>2025</v>
      </c>
      <c r="E463">
        <v>2035</v>
      </c>
      <c r="F463" t="s">
        <v>1365</v>
      </c>
      <c r="G463">
        <v>2200</v>
      </c>
      <c r="I463">
        <v>2025</v>
      </c>
      <c r="K463" t="s">
        <v>1366</v>
      </c>
      <c r="L463" s="11"/>
      <c r="M463">
        <v>2200</v>
      </c>
      <c r="N463" s="2">
        <v>45787</v>
      </c>
      <c r="O463" t="s">
        <v>1354</v>
      </c>
      <c r="Q463" t="s">
        <v>1367</v>
      </c>
      <c r="R463" t="s">
        <v>1339</v>
      </c>
    </row>
    <row r="468" spans="8:8" x14ac:dyDescent="0.25">
      <c r="H468" s="9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85"/>
  <sheetViews>
    <sheetView workbookViewId="0">
      <selection activeCell="E2" sqref="E2:F8"/>
    </sheetView>
  </sheetViews>
  <sheetFormatPr baseColWidth="10" defaultColWidth="9.140625" defaultRowHeight="15" x14ac:dyDescent="0.25"/>
  <cols>
    <col min="1" max="1" width="17.140625" customWidth="1"/>
    <col min="2" max="2" width="16.28515625" customWidth="1"/>
    <col min="5" max="5" width="10" customWidth="1"/>
    <col min="6" max="6" width="18.5703125" customWidth="1"/>
    <col min="7" max="7" width="16.42578125" customWidth="1"/>
    <col min="8" max="8" width="16.28515625" customWidth="1"/>
  </cols>
  <sheetData>
    <row r="2" spans="1:8" x14ac:dyDescent="0.25">
      <c r="E2" s="4"/>
      <c r="F2" t="s">
        <v>3947</v>
      </c>
    </row>
    <row r="3" spans="1:8" x14ac:dyDescent="0.25">
      <c r="E3" s="5"/>
      <c r="F3" t="s">
        <v>3948</v>
      </c>
    </row>
    <row r="4" spans="1:8" x14ac:dyDescent="0.25">
      <c r="E4" s="8"/>
      <c r="F4" t="s">
        <v>3949</v>
      </c>
    </row>
    <row r="5" spans="1:8" x14ac:dyDescent="0.25">
      <c r="E5" s="13"/>
      <c r="F5" t="s">
        <v>3978</v>
      </c>
    </row>
    <row r="6" spans="1:8" x14ac:dyDescent="0.25">
      <c r="E6" s="7"/>
      <c r="F6" t="s">
        <v>3922</v>
      </c>
    </row>
    <row r="7" spans="1:8" x14ac:dyDescent="0.25">
      <c r="E7" s="6"/>
      <c r="F7" t="s">
        <v>3950</v>
      </c>
    </row>
    <row r="8" spans="1:8" x14ac:dyDescent="0.25">
      <c r="E8" s="11"/>
      <c r="F8" t="s">
        <v>3951</v>
      </c>
    </row>
    <row r="11" spans="1:8" x14ac:dyDescent="0.25">
      <c r="A11" s="5" t="s">
        <v>1</v>
      </c>
      <c r="B11" s="12" t="s">
        <v>3</v>
      </c>
      <c r="C11" s="12" t="s">
        <v>2230</v>
      </c>
      <c r="D11" s="12" t="s">
        <v>2231</v>
      </c>
      <c r="E11" s="12" t="s">
        <v>2232</v>
      </c>
      <c r="F11" s="12" t="s">
        <v>2233</v>
      </c>
      <c r="G11" s="7" t="s">
        <v>2234</v>
      </c>
      <c r="H11" s="12" t="s">
        <v>2</v>
      </c>
    </row>
    <row r="12" spans="1:8" x14ac:dyDescent="0.25">
      <c r="A12" t="s">
        <v>856</v>
      </c>
      <c r="B12" t="s">
        <v>857</v>
      </c>
      <c r="C12" t="s">
        <v>2235</v>
      </c>
      <c r="D12" t="s">
        <v>2236</v>
      </c>
      <c r="E12" t="s">
        <v>2237</v>
      </c>
      <c r="F12" t="s">
        <v>2237</v>
      </c>
      <c r="G12" t="s">
        <v>2238</v>
      </c>
      <c r="H12" t="s">
        <v>857</v>
      </c>
    </row>
    <row r="13" spans="1:8" x14ac:dyDescent="0.25">
      <c r="A13" t="s">
        <v>859</v>
      </c>
      <c r="B13" t="s">
        <v>860</v>
      </c>
      <c r="G13" t="s">
        <v>2239</v>
      </c>
      <c r="H13" t="s">
        <v>860</v>
      </c>
    </row>
    <row r="14" spans="1:8" x14ac:dyDescent="0.25">
      <c r="A14" t="s">
        <v>862</v>
      </c>
      <c r="B14" t="s">
        <v>863</v>
      </c>
      <c r="G14" t="s">
        <v>2240</v>
      </c>
      <c r="H14" t="s">
        <v>863</v>
      </c>
    </row>
    <row r="15" spans="1:8" x14ac:dyDescent="0.25">
      <c r="A15" t="s">
        <v>867</v>
      </c>
      <c r="B15" t="s">
        <v>868</v>
      </c>
      <c r="C15" t="s">
        <v>2241</v>
      </c>
      <c r="D15" t="s">
        <v>2242</v>
      </c>
      <c r="E15" t="s">
        <v>2243</v>
      </c>
      <c r="F15" t="s">
        <v>2243</v>
      </c>
      <c r="G15" t="s">
        <v>2244</v>
      </c>
      <c r="H15" t="s">
        <v>868</v>
      </c>
    </row>
    <row r="16" spans="1:8" x14ac:dyDescent="0.25">
      <c r="A16" t="s">
        <v>870</v>
      </c>
      <c r="B16" t="s">
        <v>871</v>
      </c>
      <c r="G16" t="s">
        <v>2245</v>
      </c>
      <c r="H16" t="s">
        <v>871</v>
      </c>
    </row>
    <row r="17" spans="1:8" x14ac:dyDescent="0.25">
      <c r="A17" t="s">
        <v>873</v>
      </c>
      <c r="B17" t="s">
        <v>874</v>
      </c>
      <c r="C17" t="s">
        <v>2246</v>
      </c>
      <c r="D17" t="s">
        <v>2247</v>
      </c>
      <c r="E17" t="s">
        <v>2248</v>
      </c>
      <c r="F17" t="s">
        <v>2248</v>
      </c>
      <c r="G17" t="s">
        <v>2249</v>
      </c>
      <c r="H17" t="s">
        <v>874</v>
      </c>
    </row>
    <row r="18" spans="1:8" x14ac:dyDescent="0.25">
      <c r="A18" t="s">
        <v>876</v>
      </c>
      <c r="B18" t="s">
        <v>877</v>
      </c>
      <c r="C18" t="s">
        <v>2250</v>
      </c>
      <c r="D18" t="s">
        <v>2251</v>
      </c>
      <c r="E18" t="s">
        <v>2252</v>
      </c>
      <c r="F18" t="s">
        <v>2252</v>
      </c>
      <c r="G18" t="s">
        <v>2253</v>
      </c>
      <c r="H18" t="s">
        <v>877</v>
      </c>
    </row>
    <row r="19" spans="1:8" x14ac:dyDescent="0.25">
      <c r="A19" t="s">
        <v>879</v>
      </c>
      <c r="B19" t="s">
        <v>880</v>
      </c>
      <c r="G19" t="s">
        <v>2254</v>
      </c>
      <c r="H19" t="s">
        <v>880</v>
      </c>
    </row>
    <row r="20" spans="1:8" x14ac:dyDescent="0.25">
      <c r="A20" t="s">
        <v>882</v>
      </c>
      <c r="B20" t="s">
        <v>883</v>
      </c>
      <c r="C20" t="s">
        <v>2255</v>
      </c>
      <c r="D20" t="s">
        <v>2256</v>
      </c>
      <c r="E20" t="s">
        <v>2257</v>
      </c>
      <c r="F20" t="s">
        <v>2258</v>
      </c>
      <c r="G20" t="s">
        <v>2259</v>
      </c>
      <c r="H20" t="s">
        <v>883</v>
      </c>
    </row>
    <row r="21" spans="1:8" x14ac:dyDescent="0.25">
      <c r="A21" t="s">
        <v>885</v>
      </c>
      <c r="B21" t="s">
        <v>886</v>
      </c>
      <c r="G21" t="s">
        <v>2260</v>
      </c>
      <c r="H21" t="s">
        <v>886</v>
      </c>
    </row>
    <row r="22" spans="1:8" x14ac:dyDescent="0.25">
      <c r="A22" t="s">
        <v>888</v>
      </c>
      <c r="B22" t="s">
        <v>889</v>
      </c>
      <c r="C22" t="s">
        <v>2256</v>
      </c>
      <c r="G22" t="s">
        <v>2261</v>
      </c>
      <c r="H22" t="s">
        <v>889</v>
      </c>
    </row>
    <row r="23" spans="1:8" x14ac:dyDescent="0.25">
      <c r="A23" t="s">
        <v>891</v>
      </c>
      <c r="B23" t="s">
        <v>893</v>
      </c>
      <c r="C23" t="s">
        <v>2262</v>
      </c>
      <c r="D23" t="s">
        <v>2256</v>
      </c>
      <c r="E23" t="s">
        <v>2263</v>
      </c>
      <c r="F23" t="s">
        <v>2263</v>
      </c>
      <c r="G23" t="s">
        <v>2264</v>
      </c>
      <c r="H23" t="s">
        <v>892</v>
      </c>
    </row>
    <row r="24" spans="1:8" x14ac:dyDescent="0.25">
      <c r="A24" t="s">
        <v>895</v>
      </c>
      <c r="B24" t="s">
        <v>897</v>
      </c>
      <c r="G24" t="s">
        <v>2265</v>
      </c>
      <c r="H24" t="s">
        <v>896</v>
      </c>
    </row>
    <row r="25" spans="1:8" x14ac:dyDescent="0.25">
      <c r="A25" t="s">
        <v>899</v>
      </c>
      <c r="B25" t="s">
        <v>900</v>
      </c>
      <c r="G25" t="s">
        <v>2266</v>
      </c>
      <c r="H25" t="s">
        <v>900</v>
      </c>
    </row>
    <row r="26" spans="1:8" x14ac:dyDescent="0.25">
      <c r="A26" t="s">
        <v>902</v>
      </c>
      <c r="B26" t="s">
        <v>903</v>
      </c>
      <c r="G26" t="s">
        <v>2267</v>
      </c>
      <c r="H26" t="s">
        <v>903</v>
      </c>
    </row>
    <row r="27" spans="1:8" x14ac:dyDescent="0.25">
      <c r="A27" t="s">
        <v>905</v>
      </c>
      <c r="B27" t="s">
        <v>907</v>
      </c>
      <c r="C27" t="s">
        <v>2268</v>
      </c>
      <c r="D27" t="s">
        <v>2269</v>
      </c>
      <c r="E27" t="s">
        <v>2270</v>
      </c>
      <c r="F27" t="s">
        <v>2270</v>
      </c>
      <c r="G27" t="s">
        <v>2271</v>
      </c>
      <c r="H27" t="s">
        <v>906</v>
      </c>
    </row>
    <row r="28" spans="1:8" x14ac:dyDescent="0.25">
      <c r="A28" t="s">
        <v>909</v>
      </c>
      <c r="B28" t="s">
        <v>910</v>
      </c>
      <c r="G28" t="s">
        <v>2272</v>
      </c>
      <c r="H28" t="s">
        <v>910</v>
      </c>
    </row>
    <row r="29" spans="1:8" x14ac:dyDescent="0.25">
      <c r="A29" t="s">
        <v>912</v>
      </c>
      <c r="B29" t="s">
        <v>913</v>
      </c>
      <c r="G29" t="s">
        <v>2273</v>
      </c>
      <c r="H29" t="s">
        <v>913</v>
      </c>
    </row>
    <row r="30" spans="1:8" x14ac:dyDescent="0.25">
      <c r="A30" t="s">
        <v>915</v>
      </c>
      <c r="B30" t="s">
        <v>916</v>
      </c>
      <c r="G30" t="s">
        <v>2274</v>
      </c>
      <c r="H30" t="s">
        <v>916</v>
      </c>
    </row>
    <row r="31" spans="1:8" x14ac:dyDescent="0.25">
      <c r="A31" t="s">
        <v>918</v>
      </c>
      <c r="B31" t="s">
        <v>920</v>
      </c>
      <c r="C31" t="s">
        <v>2275</v>
      </c>
      <c r="D31" t="s">
        <v>2276</v>
      </c>
      <c r="E31" t="s">
        <v>2277</v>
      </c>
      <c r="F31" t="s">
        <v>2277</v>
      </c>
      <c r="G31" t="s">
        <v>2278</v>
      </c>
      <c r="H31" t="s">
        <v>919</v>
      </c>
    </row>
    <row r="32" spans="1:8" x14ac:dyDescent="0.25">
      <c r="A32" t="s">
        <v>923</v>
      </c>
      <c r="B32" t="s">
        <v>925</v>
      </c>
      <c r="C32" t="s">
        <v>2279</v>
      </c>
      <c r="D32" t="s">
        <v>2280</v>
      </c>
      <c r="E32" t="s">
        <v>2281</v>
      </c>
      <c r="F32" t="s">
        <v>2282</v>
      </c>
      <c r="G32" t="s">
        <v>2283</v>
      </c>
      <c r="H32" t="s">
        <v>924</v>
      </c>
    </row>
    <row r="33" spans="1:8" x14ac:dyDescent="0.25">
      <c r="A33" t="s">
        <v>927</v>
      </c>
      <c r="B33" t="s">
        <v>928</v>
      </c>
      <c r="C33" t="s">
        <v>2284</v>
      </c>
      <c r="D33" t="s">
        <v>2256</v>
      </c>
      <c r="E33" t="s">
        <v>2285</v>
      </c>
      <c r="F33" t="s">
        <v>2285</v>
      </c>
      <c r="G33" t="s">
        <v>2286</v>
      </c>
      <c r="H33" t="s">
        <v>928</v>
      </c>
    </row>
    <row r="34" spans="1:8" x14ac:dyDescent="0.25">
      <c r="A34" t="s">
        <v>930</v>
      </c>
      <c r="B34" t="s">
        <v>931</v>
      </c>
      <c r="G34" t="s">
        <v>2287</v>
      </c>
      <c r="H34" t="s">
        <v>931</v>
      </c>
    </row>
    <row r="35" spans="1:8" x14ac:dyDescent="0.25">
      <c r="A35" t="s">
        <v>934</v>
      </c>
      <c r="B35" t="s">
        <v>935</v>
      </c>
      <c r="C35" t="s">
        <v>2288</v>
      </c>
      <c r="D35" t="s">
        <v>2289</v>
      </c>
      <c r="E35" t="s">
        <v>2290</v>
      </c>
      <c r="F35" t="s">
        <v>2290</v>
      </c>
      <c r="G35" t="s">
        <v>2291</v>
      </c>
      <c r="H35" t="s">
        <v>935</v>
      </c>
    </row>
    <row r="36" spans="1:8" x14ac:dyDescent="0.25">
      <c r="A36" t="s">
        <v>937</v>
      </c>
      <c r="B36" t="s">
        <v>938</v>
      </c>
      <c r="C36" t="s">
        <v>2292</v>
      </c>
      <c r="D36" t="s">
        <v>2293</v>
      </c>
      <c r="E36" t="s">
        <v>2294</v>
      </c>
      <c r="F36" t="s">
        <v>2295</v>
      </c>
      <c r="G36" t="s">
        <v>2296</v>
      </c>
      <c r="H36" t="s">
        <v>938</v>
      </c>
    </row>
    <row r="37" spans="1:8" x14ac:dyDescent="0.25">
      <c r="A37" t="s">
        <v>940</v>
      </c>
      <c r="B37" t="s">
        <v>941</v>
      </c>
      <c r="C37" t="s">
        <v>2297</v>
      </c>
      <c r="D37" t="s">
        <v>2298</v>
      </c>
      <c r="E37" t="s">
        <v>2299</v>
      </c>
      <c r="F37" t="s">
        <v>2299</v>
      </c>
      <c r="G37" t="s">
        <v>2300</v>
      </c>
      <c r="H37" t="s">
        <v>941</v>
      </c>
    </row>
    <row r="38" spans="1:8" x14ac:dyDescent="0.25">
      <c r="A38" t="s">
        <v>943</v>
      </c>
      <c r="B38" t="s">
        <v>944</v>
      </c>
      <c r="C38" t="s">
        <v>2301</v>
      </c>
      <c r="D38" t="s">
        <v>2302</v>
      </c>
      <c r="E38" t="s">
        <v>2303</v>
      </c>
      <c r="F38" t="s">
        <v>2304</v>
      </c>
      <c r="G38" t="s">
        <v>2305</v>
      </c>
      <c r="H38" t="s">
        <v>944</v>
      </c>
    </row>
    <row r="39" spans="1:8" x14ac:dyDescent="0.25">
      <c r="A39" t="s">
        <v>946</v>
      </c>
      <c r="B39" t="s">
        <v>948</v>
      </c>
      <c r="C39" t="s">
        <v>2306</v>
      </c>
      <c r="D39" t="s">
        <v>2307</v>
      </c>
      <c r="E39" t="s">
        <v>2308</v>
      </c>
      <c r="F39" t="s">
        <v>2308</v>
      </c>
      <c r="G39" t="s">
        <v>2309</v>
      </c>
      <c r="H39" t="s">
        <v>947</v>
      </c>
    </row>
    <row r="40" spans="1:8" x14ac:dyDescent="0.25">
      <c r="A40" t="s">
        <v>950</v>
      </c>
      <c r="B40" t="s">
        <v>951</v>
      </c>
      <c r="G40" t="s">
        <v>2310</v>
      </c>
      <c r="H40" t="s">
        <v>951</v>
      </c>
    </row>
    <row r="41" spans="1:8" x14ac:dyDescent="0.25">
      <c r="A41" t="s">
        <v>953</v>
      </c>
      <c r="B41" t="s">
        <v>955</v>
      </c>
      <c r="C41" t="s">
        <v>2311</v>
      </c>
      <c r="D41" t="s">
        <v>2312</v>
      </c>
      <c r="E41" t="s">
        <v>2313</v>
      </c>
      <c r="F41" t="s">
        <v>2313</v>
      </c>
      <c r="G41" t="s">
        <v>2314</v>
      </c>
      <c r="H41" t="s">
        <v>954</v>
      </c>
    </row>
    <row r="42" spans="1:8" x14ac:dyDescent="0.25">
      <c r="A42" t="s">
        <v>959</v>
      </c>
      <c r="B42" t="s">
        <v>960</v>
      </c>
      <c r="C42" t="s">
        <v>2315</v>
      </c>
      <c r="D42" t="s">
        <v>2316</v>
      </c>
      <c r="E42" t="s">
        <v>2317</v>
      </c>
      <c r="F42" t="s">
        <v>2317</v>
      </c>
      <c r="G42" t="s">
        <v>2318</v>
      </c>
      <c r="H42" t="s">
        <v>960</v>
      </c>
    </row>
    <row r="43" spans="1:8" x14ac:dyDescent="0.25">
      <c r="A43" t="s">
        <v>962</v>
      </c>
      <c r="B43" t="s">
        <v>964</v>
      </c>
      <c r="C43" t="s">
        <v>2319</v>
      </c>
      <c r="D43" t="s">
        <v>2320</v>
      </c>
      <c r="E43" t="s">
        <v>2256</v>
      </c>
      <c r="F43" t="s">
        <v>2321</v>
      </c>
      <c r="G43" t="s">
        <v>2322</v>
      </c>
      <c r="H43" t="s">
        <v>963</v>
      </c>
    </row>
    <row r="44" spans="1:8" x14ac:dyDescent="0.25">
      <c r="A44" t="s">
        <v>966</v>
      </c>
      <c r="B44" t="s">
        <v>967</v>
      </c>
      <c r="C44" t="s">
        <v>2323</v>
      </c>
      <c r="D44" t="s">
        <v>2324</v>
      </c>
      <c r="E44" t="s">
        <v>2325</v>
      </c>
      <c r="F44" t="s">
        <v>2326</v>
      </c>
      <c r="G44" t="s">
        <v>2327</v>
      </c>
      <c r="H44" t="s">
        <v>967</v>
      </c>
    </row>
    <row r="45" spans="1:8" x14ac:dyDescent="0.25">
      <c r="A45" t="s">
        <v>969</v>
      </c>
      <c r="B45" t="s">
        <v>970</v>
      </c>
      <c r="C45" t="s">
        <v>2328</v>
      </c>
      <c r="D45" t="s">
        <v>2329</v>
      </c>
      <c r="E45" t="s">
        <v>2256</v>
      </c>
      <c r="F45" t="s">
        <v>2330</v>
      </c>
      <c r="G45" t="s">
        <v>2331</v>
      </c>
      <c r="H45" t="s">
        <v>970</v>
      </c>
    </row>
    <row r="46" spans="1:8" x14ac:dyDescent="0.25">
      <c r="A46" t="s">
        <v>972</v>
      </c>
      <c r="B46" t="s">
        <v>973</v>
      </c>
      <c r="C46" t="s">
        <v>2332</v>
      </c>
      <c r="D46" t="s">
        <v>2333</v>
      </c>
      <c r="E46" t="s">
        <v>2334</v>
      </c>
      <c r="F46" t="s">
        <v>2334</v>
      </c>
      <c r="G46" t="s">
        <v>2335</v>
      </c>
      <c r="H46" t="s">
        <v>973</v>
      </c>
    </row>
    <row r="47" spans="1:8" x14ac:dyDescent="0.25">
      <c r="A47" t="s">
        <v>976</v>
      </c>
      <c r="B47" t="s">
        <v>977</v>
      </c>
      <c r="C47" t="s">
        <v>2336</v>
      </c>
      <c r="D47" t="s">
        <v>2337</v>
      </c>
      <c r="E47" t="s">
        <v>2338</v>
      </c>
      <c r="F47" t="s">
        <v>2339</v>
      </c>
      <c r="G47" t="s">
        <v>2340</v>
      </c>
      <c r="H47" t="s">
        <v>977</v>
      </c>
    </row>
    <row r="48" spans="1:8" x14ac:dyDescent="0.25">
      <c r="A48" t="s">
        <v>979</v>
      </c>
      <c r="B48" t="s">
        <v>980</v>
      </c>
      <c r="G48" t="s">
        <v>2341</v>
      </c>
      <c r="H48" t="s">
        <v>980</v>
      </c>
    </row>
    <row r="49" spans="1:8" x14ac:dyDescent="0.25">
      <c r="A49" t="s">
        <v>982</v>
      </c>
      <c r="B49" t="s">
        <v>983</v>
      </c>
      <c r="C49" t="s">
        <v>2342</v>
      </c>
      <c r="D49" t="s">
        <v>2343</v>
      </c>
      <c r="E49" t="s">
        <v>2344</v>
      </c>
      <c r="F49" t="s">
        <v>2344</v>
      </c>
      <c r="G49" t="s">
        <v>2345</v>
      </c>
      <c r="H49" t="s">
        <v>983</v>
      </c>
    </row>
    <row r="50" spans="1:8" x14ac:dyDescent="0.25">
      <c r="A50" t="s">
        <v>985</v>
      </c>
      <c r="B50" t="s">
        <v>987</v>
      </c>
      <c r="C50" t="s">
        <v>2346</v>
      </c>
      <c r="D50" t="s">
        <v>2347</v>
      </c>
      <c r="E50" t="s">
        <v>2348</v>
      </c>
      <c r="F50" t="s">
        <v>2348</v>
      </c>
      <c r="G50" t="s">
        <v>2349</v>
      </c>
      <c r="H50" t="s">
        <v>986</v>
      </c>
    </row>
    <row r="51" spans="1:8" x14ac:dyDescent="0.25">
      <c r="A51" t="s">
        <v>989</v>
      </c>
      <c r="B51" t="s">
        <v>990</v>
      </c>
      <c r="C51" t="s">
        <v>2350</v>
      </c>
      <c r="D51" t="s">
        <v>2351</v>
      </c>
      <c r="E51" t="s">
        <v>2352</v>
      </c>
      <c r="F51" t="s">
        <v>2353</v>
      </c>
      <c r="G51" t="s">
        <v>2354</v>
      </c>
      <c r="H51" t="s">
        <v>990</v>
      </c>
    </row>
    <row r="52" spans="1:8" x14ac:dyDescent="0.25">
      <c r="A52" t="s">
        <v>992</v>
      </c>
      <c r="B52" t="s">
        <v>993</v>
      </c>
      <c r="G52" t="s">
        <v>2355</v>
      </c>
      <c r="H52" t="s">
        <v>993</v>
      </c>
    </row>
    <row r="53" spans="1:8" x14ac:dyDescent="0.25">
      <c r="A53" t="s">
        <v>995</v>
      </c>
      <c r="B53" t="s">
        <v>996</v>
      </c>
      <c r="C53" t="s">
        <v>2356</v>
      </c>
      <c r="D53" t="s">
        <v>2357</v>
      </c>
      <c r="E53" t="s">
        <v>2358</v>
      </c>
      <c r="F53" t="s">
        <v>2358</v>
      </c>
      <c r="G53" t="s">
        <v>2359</v>
      </c>
      <c r="H53" t="s">
        <v>996</v>
      </c>
    </row>
    <row r="54" spans="1:8" x14ac:dyDescent="0.25">
      <c r="A54" t="s">
        <v>998</v>
      </c>
      <c r="B54" t="s">
        <v>999</v>
      </c>
      <c r="C54" t="s">
        <v>2360</v>
      </c>
      <c r="D54" t="s">
        <v>2361</v>
      </c>
      <c r="E54" t="s">
        <v>2362</v>
      </c>
      <c r="F54" t="s">
        <v>2363</v>
      </c>
      <c r="G54" t="s">
        <v>2364</v>
      </c>
      <c r="H54" t="s">
        <v>999</v>
      </c>
    </row>
    <row r="55" spans="1:8" x14ac:dyDescent="0.25">
      <c r="A55" t="s">
        <v>1001</v>
      </c>
      <c r="B55" t="s">
        <v>1002</v>
      </c>
      <c r="C55" t="s">
        <v>2365</v>
      </c>
      <c r="D55" t="s">
        <v>2256</v>
      </c>
      <c r="E55" t="s">
        <v>2366</v>
      </c>
      <c r="F55" t="s">
        <v>2366</v>
      </c>
      <c r="G55" t="s">
        <v>2367</v>
      </c>
      <c r="H55" t="s">
        <v>1002</v>
      </c>
    </row>
    <row r="56" spans="1:8" x14ac:dyDescent="0.25">
      <c r="A56" t="s">
        <v>1004</v>
      </c>
      <c r="B56" t="s">
        <v>1005</v>
      </c>
      <c r="C56" t="s">
        <v>2368</v>
      </c>
      <c r="D56" t="s">
        <v>2369</v>
      </c>
      <c r="E56" t="s">
        <v>2370</v>
      </c>
      <c r="F56" t="s">
        <v>2371</v>
      </c>
      <c r="G56" t="s">
        <v>2372</v>
      </c>
      <c r="H56" t="s">
        <v>1005</v>
      </c>
    </row>
    <row r="57" spans="1:8" x14ac:dyDescent="0.25">
      <c r="A57" t="s">
        <v>1007</v>
      </c>
      <c r="B57" t="s">
        <v>1009</v>
      </c>
      <c r="C57" t="s">
        <v>2373</v>
      </c>
      <c r="D57" t="s">
        <v>2374</v>
      </c>
      <c r="E57" t="s">
        <v>2375</v>
      </c>
      <c r="F57" t="s">
        <v>2375</v>
      </c>
      <c r="G57" t="s">
        <v>2376</v>
      </c>
      <c r="H57" t="s">
        <v>1008</v>
      </c>
    </row>
    <row r="58" spans="1:8" x14ac:dyDescent="0.25">
      <c r="A58" t="s">
        <v>1011</v>
      </c>
      <c r="B58" t="s">
        <v>1012</v>
      </c>
      <c r="C58" t="s">
        <v>2377</v>
      </c>
      <c r="D58" t="s">
        <v>2378</v>
      </c>
      <c r="E58" t="s">
        <v>2379</v>
      </c>
      <c r="F58" t="s">
        <v>2379</v>
      </c>
      <c r="G58" t="s">
        <v>2380</v>
      </c>
      <c r="H58" t="s">
        <v>1012</v>
      </c>
    </row>
    <row r="59" spans="1:8" x14ac:dyDescent="0.25">
      <c r="A59" t="s">
        <v>1014</v>
      </c>
      <c r="B59" t="s">
        <v>1015</v>
      </c>
      <c r="C59" t="s">
        <v>2381</v>
      </c>
      <c r="D59" t="s">
        <v>2382</v>
      </c>
      <c r="E59" t="s">
        <v>2383</v>
      </c>
      <c r="F59" t="s">
        <v>2383</v>
      </c>
      <c r="G59" t="s">
        <v>2384</v>
      </c>
      <c r="H59" t="s">
        <v>1015</v>
      </c>
    </row>
    <row r="60" spans="1:8" x14ac:dyDescent="0.25">
      <c r="A60" t="s">
        <v>1018</v>
      </c>
      <c r="B60" t="s">
        <v>1019</v>
      </c>
      <c r="C60" t="s">
        <v>2385</v>
      </c>
      <c r="D60" t="s">
        <v>2386</v>
      </c>
      <c r="E60" t="s">
        <v>2387</v>
      </c>
      <c r="F60" t="s">
        <v>2387</v>
      </c>
      <c r="G60" t="s">
        <v>2388</v>
      </c>
      <c r="H60" t="s">
        <v>1019</v>
      </c>
    </row>
    <row r="61" spans="1:8" x14ac:dyDescent="0.25">
      <c r="A61" t="s">
        <v>1021</v>
      </c>
      <c r="B61" t="s">
        <v>1023</v>
      </c>
      <c r="C61" t="s">
        <v>2389</v>
      </c>
      <c r="D61" t="s">
        <v>2390</v>
      </c>
      <c r="E61" t="s">
        <v>2256</v>
      </c>
      <c r="F61" t="s">
        <v>2391</v>
      </c>
      <c r="G61" t="s">
        <v>2392</v>
      </c>
      <c r="H61" t="s">
        <v>1022</v>
      </c>
    </row>
    <row r="62" spans="1:8" x14ac:dyDescent="0.25">
      <c r="A62" t="s">
        <v>1025</v>
      </c>
      <c r="B62" t="s">
        <v>1027</v>
      </c>
      <c r="C62" t="s">
        <v>2393</v>
      </c>
      <c r="D62" t="s">
        <v>2394</v>
      </c>
      <c r="E62" t="s">
        <v>2256</v>
      </c>
      <c r="F62" t="s">
        <v>2395</v>
      </c>
      <c r="G62" t="s">
        <v>2396</v>
      </c>
      <c r="H62" t="s">
        <v>1026</v>
      </c>
    </row>
    <row r="63" spans="1:8" x14ac:dyDescent="0.25">
      <c r="A63" t="s">
        <v>1029</v>
      </c>
      <c r="B63" t="s">
        <v>1030</v>
      </c>
      <c r="C63" t="s">
        <v>2397</v>
      </c>
      <c r="D63" t="s">
        <v>2398</v>
      </c>
      <c r="E63" t="s">
        <v>2399</v>
      </c>
      <c r="F63" t="s">
        <v>2399</v>
      </c>
      <c r="G63" t="s">
        <v>2400</v>
      </c>
      <c r="H63" t="s">
        <v>1030</v>
      </c>
    </row>
    <row r="64" spans="1:8" x14ac:dyDescent="0.25">
      <c r="A64" t="s">
        <v>1032</v>
      </c>
      <c r="B64" t="s">
        <v>1033</v>
      </c>
      <c r="C64" t="s">
        <v>2401</v>
      </c>
      <c r="D64" t="s">
        <v>2402</v>
      </c>
      <c r="E64" t="s">
        <v>2403</v>
      </c>
      <c r="F64" t="s">
        <v>2404</v>
      </c>
      <c r="G64" t="s">
        <v>2405</v>
      </c>
      <c r="H64" t="s">
        <v>1033</v>
      </c>
    </row>
    <row r="65" spans="1:8" x14ac:dyDescent="0.25">
      <c r="A65" t="s">
        <v>1037</v>
      </c>
      <c r="B65" t="s">
        <v>1038</v>
      </c>
      <c r="C65" t="s">
        <v>2406</v>
      </c>
      <c r="D65" t="s">
        <v>2407</v>
      </c>
      <c r="E65" t="s">
        <v>2408</v>
      </c>
      <c r="F65" t="s">
        <v>2408</v>
      </c>
      <c r="G65" t="s">
        <v>2409</v>
      </c>
      <c r="H65" t="s">
        <v>1038</v>
      </c>
    </row>
    <row r="66" spans="1:8" x14ac:dyDescent="0.25">
      <c r="A66" t="s">
        <v>1040</v>
      </c>
      <c r="B66" t="s">
        <v>1042</v>
      </c>
      <c r="C66" t="s">
        <v>2410</v>
      </c>
      <c r="D66" t="s">
        <v>2411</v>
      </c>
      <c r="E66" t="s">
        <v>2412</v>
      </c>
      <c r="F66" t="s">
        <v>2413</v>
      </c>
      <c r="G66" t="s">
        <v>2414</v>
      </c>
      <c r="H66" t="s">
        <v>1041</v>
      </c>
    </row>
    <row r="67" spans="1:8" x14ac:dyDescent="0.25">
      <c r="A67" t="s">
        <v>1044</v>
      </c>
      <c r="B67" t="s">
        <v>1045</v>
      </c>
      <c r="C67" t="s">
        <v>2415</v>
      </c>
      <c r="D67" t="s">
        <v>2416</v>
      </c>
      <c r="E67" t="s">
        <v>2417</v>
      </c>
      <c r="F67" t="s">
        <v>2418</v>
      </c>
      <c r="G67" t="s">
        <v>2419</v>
      </c>
      <c r="H67" t="s">
        <v>1045</v>
      </c>
    </row>
    <row r="68" spans="1:8" x14ac:dyDescent="0.25">
      <c r="A68" t="s">
        <v>1047</v>
      </c>
      <c r="B68" t="s">
        <v>1048</v>
      </c>
      <c r="C68" t="s">
        <v>2420</v>
      </c>
      <c r="D68" t="s">
        <v>2421</v>
      </c>
      <c r="E68" t="s">
        <v>2422</v>
      </c>
      <c r="F68" t="s">
        <v>2423</v>
      </c>
      <c r="G68" t="s">
        <v>2424</v>
      </c>
      <c r="H68" t="s">
        <v>1048</v>
      </c>
    </row>
    <row r="69" spans="1:8" x14ac:dyDescent="0.25">
      <c r="A69" t="s">
        <v>1050</v>
      </c>
      <c r="B69" t="s">
        <v>1052</v>
      </c>
      <c r="C69" t="s">
        <v>2425</v>
      </c>
      <c r="D69" t="s">
        <v>2426</v>
      </c>
      <c r="E69" t="s">
        <v>2427</v>
      </c>
      <c r="F69" t="s">
        <v>2427</v>
      </c>
      <c r="G69" t="s">
        <v>2428</v>
      </c>
      <c r="H69" t="s">
        <v>1051</v>
      </c>
    </row>
    <row r="70" spans="1:8" x14ac:dyDescent="0.25">
      <c r="A70" t="s">
        <v>1054</v>
      </c>
      <c r="B70" t="s">
        <v>1055</v>
      </c>
      <c r="C70" t="s">
        <v>2429</v>
      </c>
      <c r="D70" t="s">
        <v>2430</v>
      </c>
      <c r="E70" t="s">
        <v>2431</v>
      </c>
      <c r="F70" t="s">
        <v>2431</v>
      </c>
      <c r="G70" t="s">
        <v>2432</v>
      </c>
      <c r="H70" t="s">
        <v>1055</v>
      </c>
    </row>
    <row r="71" spans="1:8" x14ac:dyDescent="0.25">
      <c r="A71" t="s">
        <v>1057</v>
      </c>
      <c r="B71" t="s">
        <v>1059</v>
      </c>
      <c r="C71" t="s">
        <v>2433</v>
      </c>
      <c r="D71" t="s">
        <v>2434</v>
      </c>
      <c r="E71" t="s">
        <v>2435</v>
      </c>
      <c r="F71" t="s">
        <v>2435</v>
      </c>
      <c r="G71" t="s">
        <v>2436</v>
      </c>
      <c r="H71" t="s">
        <v>1058</v>
      </c>
    </row>
    <row r="72" spans="1:8" x14ac:dyDescent="0.25">
      <c r="A72" t="s">
        <v>1061</v>
      </c>
      <c r="B72" t="s">
        <v>1062</v>
      </c>
      <c r="C72" t="s">
        <v>2437</v>
      </c>
      <c r="D72" t="s">
        <v>2438</v>
      </c>
      <c r="E72" t="s">
        <v>2439</v>
      </c>
      <c r="F72" t="s">
        <v>2439</v>
      </c>
      <c r="G72" t="s">
        <v>2440</v>
      </c>
      <c r="H72" t="s">
        <v>1062</v>
      </c>
    </row>
    <row r="73" spans="1:8" x14ac:dyDescent="0.25">
      <c r="A73" t="s">
        <v>1064</v>
      </c>
      <c r="B73" t="s">
        <v>1066</v>
      </c>
      <c r="C73" t="s">
        <v>2441</v>
      </c>
      <c r="D73" t="s">
        <v>2442</v>
      </c>
      <c r="E73" t="s">
        <v>2443</v>
      </c>
      <c r="F73" t="s">
        <v>2387</v>
      </c>
      <c r="G73" t="s">
        <v>2444</v>
      </c>
      <c r="H73" t="s">
        <v>1065</v>
      </c>
    </row>
    <row r="74" spans="1:8" x14ac:dyDescent="0.25">
      <c r="A74" t="s">
        <v>1068</v>
      </c>
      <c r="B74" t="s">
        <v>1069</v>
      </c>
      <c r="C74" t="s">
        <v>2445</v>
      </c>
      <c r="D74" t="s">
        <v>2446</v>
      </c>
      <c r="E74" t="s">
        <v>2447</v>
      </c>
      <c r="F74" t="s">
        <v>2387</v>
      </c>
      <c r="G74" t="s">
        <v>2448</v>
      </c>
      <c r="H74" t="s">
        <v>1069</v>
      </c>
    </row>
    <row r="75" spans="1:8" x14ac:dyDescent="0.25">
      <c r="A75" t="s">
        <v>1071</v>
      </c>
      <c r="B75" t="s">
        <v>1072</v>
      </c>
      <c r="C75" t="s">
        <v>2449</v>
      </c>
      <c r="D75" t="s">
        <v>2450</v>
      </c>
      <c r="E75" t="s">
        <v>2451</v>
      </c>
      <c r="F75" t="s">
        <v>2451</v>
      </c>
      <c r="G75" t="s">
        <v>2452</v>
      </c>
      <c r="H75" t="s">
        <v>1072</v>
      </c>
    </row>
    <row r="76" spans="1:8" x14ac:dyDescent="0.25">
      <c r="A76" t="s">
        <v>1074</v>
      </c>
      <c r="B76" t="s">
        <v>1075</v>
      </c>
      <c r="C76" t="s">
        <v>2453</v>
      </c>
      <c r="D76" t="s">
        <v>2454</v>
      </c>
      <c r="E76" t="s">
        <v>2455</v>
      </c>
      <c r="F76" t="s">
        <v>2455</v>
      </c>
      <c r="G76" t="s">
        <v>2456</v>
      </c>
      <c r="H76" t="s">
        <v>1075</v>
      </c>
    </row>
    <row r="77" spans="1:8" x14ac:dyDescent="0.25">
      <c r="A77" t="s">
        <v>1077</v>
      </c>
      <c r="B77" t="s">
        <v>1078</v>
      </c>
      <c r="C77" t="s">
        <v>2457</v>
      </c>
      <c r="D77" t="s">
        <v>2458</v>
      </c>
      <c r="E77" t="s">
        <v>2459</v>
      </c>
      <c r="F77" t="s">
        <v>2459</v>
      </c>
      <c r="G77" t="s">
        <v>2460</v>
      </c>
      <c r="H77" t="s">
        <v>1078</v>
      </c>
    </row>
    <row r="78" spans="1:8" x14ac:dyDescent="0.25">
      <c r="A78" t="s">
        <v>1080</v>
      </c>
      <c r="B78" t="s">
        <v>1082</v>
      </c>
      <c r="C78" t="s">
        <v>2461</v>
      </c>
      <c r="D78" t="s">
        <v>2462</v>
      </c>
      <c r="E78" t="s">
        <v>2463</v>
      </c>
      <c r="F78" t="s">
        <v>2463</v>
      </c>
      <c r="G78" t="s">
        <v>2464</v>
      </c>
      <c r="H78" t="s">
        <v>1081</v>
      </c>
    </row>
    <row r="79" spans="1:8" x14ac:dyDescent="0.25">
      <c r="A79" t="s">
        <v>1084</v>
      </c>
      <c r="B79" t="s">
        <v>1085</v>
      </c>
      <c r="C79" t="s">
        <v>2465</v>
      </c>
      <c r="D79" t="s">
        <v>2466</v>
      </c>
      <c r="E79" t="s">
        <v>2467</v>
      </c>
      <c r="F79" t="s">
        <v>2467</v>
      </c>
      <c r="G79" t="s">
        <v>2468</v>
      </c>
      <c r="H79" t="s">
        <v>1085</v>
      </c>
    </row>
    <row r="80" spans="1:8" x14ac:dyDescent="0.25">
      <c r="A80" t="s">
        <v>1087</v>
      </c>
      <c r="B80" t="s">
        <v>1088</v>
      </c>
      <c r="C80" t="s">
        <v>2469</v>
      </c>
      <c r="D80" t="s">
        <v>2470</v>
      </c>
      <c r="E80" t="s">
        <v>2471</v>
      </c>
      <c r="F80" t="s">
        <v>2471</v>
      </c>
      <c r="G80" t="s">
        <v>2472</v>
      </c>
      <c r="H80" t="s">
        <v>1088</v>
      </c>
    </row>
    <row r="81" spans="1:8" x14ac:dyDescent="0.25">
      <c r="A81" t="s">
        <v>1090</v>
      </c>
      <c r="B81" t="s">
        <v>1091</v>
      </c>
      <c r="C81" t="s">
        <v>2473</v>
      </c>
      <c r="D81" t="s">
        <v>2474</v>
      </c>
      <c r="E81" t="s">
        <v>2475</v>
      </c>
      <c r="F81" t="s">
        <v>2475</v>
      </c>
      <c r="G81" t="s">
        <v>2476</v>
      </c>
      <c r="H81" t="s">
        <v>1091</v>
      </c>
    </row>
    <row r="82" spans="1:8" x14ac:dyDescent="0.25">
      <c r="A82" t="s">
        <v>1093</v>
      </c>
      <c r="B82" t="s">
        <v>1094</v>
      </c>
      <c r="C82" t="s">
        <v>2477</v>
      </c>
      <c r="D82" t="s">
        <v>2478</v>
      </c>
      <c r="E82" t="s">
        <v>2479</v>
      </c>
      <c r="F82" t="s">
        <v>2479</v>
      </c>
      <c r="G82" t="s">
        <v>2480</v>
      </c>
      <c r="H82" t="s">
        <v>1094</v>
      </c>
    </row>
    <row r="83" spans="1:8" x14ac:dyDescent="0.25">
      <c r="A83" t="s">
        <v>1096</v>
      </c>
      <c r="B83" t="s">
        <v>1097</v>
      </c>
      <c r="C83" t="s">
        <v>2481</v>
      </c>
      <c r="D83" t="s">
        <v>2482</v>
      </c>
      <c r="E83" t="s">
        <v>2483</v>
      </c>
      <c r="F83" t="s">
        <v>2484</v>
      </c>
      <c r="G83" t="s">
        <v>2485</v>
      </c>
      <c r="H83" t="s">
        <v>1097</v>
      </c>
    </row>
    <row r="84" spans="1:8" x14ac:dyDescent="0.25">
      <c r="A84" t="s">
        <v>1099</v>
      </c>
      <c r="B84" t="s">
        <v>1100</v>
      </c>
      <c r="C84" t="s">
        <v>2486</v>
      </c>
      <c r="D84" t="s">
        <v>2487</v>
      </c>
      <c r="E84" t="s">
        <v>2488</v>
      </c>
      <c r="F84" t="s">
        <v>2488</v>
      </c>
      <c r="G84" t="s">
        <v>2489</v>
      </c>
      <c r="H84" t="s">
        <v>1100</v>
      </c>
    </row>
    <row r="85" spans="1:8" x14ac:dyDescent="0.25">
      <c r="A85" t="s">
        <v>1102</v>
      </c>
      <c r="B85" t="s">
        <v>1103</v>
      </c>
      <c r="C85" t="s">
        <v>2490</v>
      </c>
      <c r="D85" t="s">
        <v>2491</v>
      </c>
      <c r="E85" t="s">
        <v>2492</v>
      </c>
      <c r="F85" t="s">
        <v>2493</v>
      </c>
      <c r="G85" t="s">
        <v>2494</v>
      </c>
      <c r="H85" t="s">
        <v>1103</v>
      </c>
    </row>
    <row r="86" spans="1:8" x14ac:dyDescent="0.25">
      <c r="A86" t="s">
        <v>1105</v>
      </c>
      <c r="B86" t="s">
        <v>1107</v>
      </c>
      <c r="C86" t="s">
        <v>2495</v>
      </c>
      <c r="D86" t="s">
        <v>2496</v>
      </c>
      <c r="E86" t="s">
        <v>2497</v>
      </c>
      <c r="F86" t="s">
        <v>2498</v>
      </c>
      <c r="G86" t="s">
        <v>2499</v>
      </c>
      <c r="H86" t="s">
        <v>1106</v>
      </c>
    </row>
    <row r="87" spans="1:8" x14ac:dyDescent="0.25">
      <c r="A87" t="s">
        <v>1111</v>
      </c>
      <c r="B87" t="s">
        <v>1112</v>
      </c>
      <c r="C87" t="s">
        <v>2500</v>
      </c>
      <c r="D87" t="s">
        <v>2501</v>
      </c>
      <c r="E87" t="s">
        <v>2502</v>
      </c>
      <c r="F87" t="s">
        <v>2503</v>
      </c>
      <c r="G87" t="s">
        <v>2504</v>
      </c>
      <c r="H87" t="s">
        <v>1112</v>
      </c>
    </row>
    <row r="88" spans="1:8" x14ac:dyDescent="0.25">
      <c r="A88" t="s">
        <v>1114</v>
      </c>
      <c r="B88" t="s">
        <v>1116</v>
      </c>
      <c r="C88" t="s">
        <v>2505</v>
      </c>
      <c r="D88" t="s">
        <v>2506</v>
      </c>
      <c r="E88" t="s">
        <v>2507</v>
      </c>
      <c r="F88" t="s">
        <v>2507</v>
      </c>
      <c r="G88" t="s">
        <v>2508</v>
      </c>
      <c r="H88" t="s">
        <v>1115</v>
      </c>
    </row>
    <row r="89" spans="1:8" x14ac:dyDescent="0.25">
      <c r="A89" t="s">
        <v>1118</v>
      </c>
      <c r="B89" t="s">
        <v>1120</v>
      </c>
      <c r="C89" t="s">
        <v>2509</v>
      </c>
      <c r="D89" t="s">
        <v>2510</v>
      </c>
      <c r="E89" t="s">
        <v>2511</v>
      </c>
      <c r="F89" t="s">
        <v>2511</v>
      </c>
      <c r="G89" t="s">
        <v>2512</v>
      </c>
      <c r="H89" t="s">
        <v>1119</v>
      </c>
    </row>
    <row r="90" spans="1:8" x14ac:dyDescent="0.25">
      <c r="A90" t="s">
        <v>1122</v>
      </c>
      <c r="B90" t="s">
        <v>1123</v>
      </c>
      <c r="C90" t="s">
        <v>2513</v>
      </c>
      <c r="D90" t="s">
        <v>2514</v>
      </c>
      <c r="E90" t="s">
        <v>2515</v>
      </c>
      <c r="F90" t="s">
        <v>2515</v>
      </c>
      <c r="G90" t="s">
        <v>2516</v>
      </c>
      <c r="H90" t="s">
        <v>1123</v>
      </c>
    </row>
    <row r="91" spans="1:8" x14ac:dyDescent="0.25">
      <c r="A91" t="s">
        <v>1127</v>
      </c>
      <c r="B91" t="s">
        <v>1128</v>
      </c>
      <c r="C91" t="s">
        <v>2517</v>
      </c>
      <c r="D91" t="s">
        <v>2518</v>
      </c>
      <c r="E91" t="s">
        <v>2519</v>
      </c>
      <c r="F91" t="s">
        <v>2519</v>
      </c>
      <c r="G91" t="s">
        <v>2520</v>
      </c>
      <c r="H91" t="s">
        <v>1128</v>
      </c>
    </row>
    <row r="92" spans="1:8" x14ac:dyDescent="0.25">
      <c r="A92" t="s">
        <v>1130</v>
      </c>
      <c r="B92" t="s">
        <v>1132</v>
      </c>
      <c r="C92" t="s">
        <v>2521</v>
      </c>
      <c r="D92" t="s">
        <v>2522</v>
      </c>
      <c r="E92" t="s">
        <v>2523</v>
      </c>
      <c r="F92" t="s">
        <v>2523</v>
      </c>
      <c r="G92" t="s">
        <v>2524</v>
      </c>
      <c r="H92" t="s">
        <v>1131</v>
      </c>
    </row>
    <row r="93" spans="1:8" x14ac:dyDescent="0.25">
      <c r="A93" t="s">
        <v>1134</v>
      </c>
      <c r="B93" t="s">
        <v>1135</v>
      </c>
      <c r="C93" t="s">
        <v>2525</v>
      </c>
      <c r="D93" t="s">
        <v>2526</v>
      </c>
      <c r="E93" t="s">
        <v>2527</v>
      </c>
      <c r="F93" t="s">
        <v>2528</v>
      </c>
      <c r="G93" t="s">
        <v>2529</v>
      </c>
      <c r="H93" t="s">
        <v>1135</v>
      </c>
    </row>
    <row r="94" spans="1:8" x14ac:dyDescent="0.25">
      <c r="A94" t="s">
        <v>1137</v>
      </c>
      <c r="B94" t="s">
        <v>1139</v>
      </c>
      <c r="C94" t="s">
        <v>2530</v>
      </c>
      <c r="D94" t="s">
        <v>2531</v>
      </c>
      <c r="E94" t="s">
        <v>2532</v>
      </c>
      <c r="F94" t="s">
        <v>2533</v>
      </c>
      <c r="G94" t="s">
        <v>2534</v>
      </c>
      <c r="H94" t="s">
        <v>1138</v>
      </c>
    </row>
    <row r="95" spans="1:8" x14ac:dyDescent="0.25">
      <c r="A95" t="s">
        <v>1141</v>
      </c>
      <c r="B95" t="s">
        <v>1143</v>
      </c>
      <c r="C95" t="s">
        <v>2535</v>
      </c>
      <c r="D95" t="s">
        <v>2536</v>
      </c>
      <c r="E95" t="s">
        <v>2537</v>
      </c>
      <c r="F95" t="s">
        <v>2537</v>
      </c>
      <c r="G95" t="s">
        <v>2538</v>
      </c>
      <c r="H95" t="s">
        <v>1142</v>
      </c>
    </row>
    <row r="96" spans="1:8" x14ac:dyDescent="0.25">
      <c r="A96" t="s">
        <v>1145</v>
      </c>
      <c r="B96" t="s">
        <v>1147</v>
      </c>
      <c r="C96" t="s">
        <v>2539</v>
      </c>
      <c r="D96" t="s">
        <v>2540</v>
      </c>
      <c r="E96" t="s">
        <v>2541</v>
      </c>
      <c r="F96" t="s">
        <v>2542</v>
      </c>
      <c r="G96" t="s">
        <v>2543</v>
      </c>
      <c r="H96" t="s">
        <v>1146</v>
      </c>
    </row>
    <row r="97" spans="1:8" x14ac:dyDescent="0.25">
      <c r="A97" t="s">
        <v>1149</v>
      </c>
      <c r="B97" t="s">
        <v>1151</v>
      </c>
      <c r="C97" t="s">
        <v>2544</v>
      </c>
      <c r="D97" t="s">
        <v>2545</v>
      </c>
      <c r="E97" t="s">
        <v>2546</v>
      </c>
      <c r="F97" t="s">
        <v>2546</v>
      </c>
      <c r="G97" t="s">
        <v>2547</v>
      </c>
      <c r="H97" t="s">
        <v>1150</v>
      </c>
    </row>
    <row r="98" spans="1:8" x14ac:dyDescent="0.25">
      <c r="A98" t="s">
        <v>1153</v>
      </c>
      <c r="B98" t="s">
        <v>1155</v>
      </c>
      <c r="C98" t="s">
        <v>2548</v>
      </c>
      <c r="D98" t="s">
        <v>2549</v>
      </c>
      <c r="E98" t="s">
        <v>2550</v>
      </c>
      <c r="F98" t="s">
        <v>2551</v>
      </c>
      <c r="G98" t="s">
        <v>2552</v>
      </c>
      <c r="H98" t="s">
        <v>1154</v>
      </c>
    </row>
    <row r="99" spans="1:8" x14ac:dyDescent="0.25">
      <c r="A99" t="s">
        <v>1157</v>
      </c>
      <c r="B99" t="s">
        <v>1159</v>
      </c>
      <c r="C99" t="s">
        <v>2553</v>
      </c>
      <c r="D99" t="s">
        <v>2554</v>
      </c>
      <c r="E99" t="s">
        <v>2555</v>
      </c>
      <c r="F99" t="s">
        <v>2555</v>
      </c>
      <c r="G99" t="s">
        <v>2556</v>
      </c>
      <c r="H99" t="s">
        <v>1158</v>
      </c>
    </row>
    <row r="100" spans="1:8" x14ac:dyDescent="0.25">
      <c r="A100" t="s">
        <v>1161</v>
      </c>
      <c r="B100" t="s">
        <v>1163</v>
      </c>
      <c r="C100" t="s">
        <v>2557</v>
      </c>
      <c r="D100" t="s">
        <v>2558</v>
      </c>
      <c r="E100" t="s">
        <v>2559</v>
      </c>
      <c r="F100" t="s">
        <v>2560</v>
      </c>
      <c r="G100" t="s">
        <v>2561</v>
      </c>
      <c r="H100" t="s">
        <v>1162</v>
      </c>
    </row>
    <row r="101" spans="1:8" x14ac:dyDescent="0.25">
      <c r="A101" t="s">
        <v>1165</v>
      </c>
      <c r="B101" t="s">
        <v>1166</v>
      </c>
      <c r="C101" t="s">
        <v>2562</v>
      </c>
      <c r="D101" t="s">
        <v>2563</v>
      </c>
      <c r="E101" t="s">
        <v>2564</v>
      </c>
      <c r="F101" t="s">
        <v>2564</v>
      </c>
      <c r="G101" t="s">
        <v>2565</v>
      </c>
      <c r="H101" t="s">
        <v>1166</v>
      </c>
    </row>
    <row r="102" spans="1:8" x14ac:dyDescent="0.25">
      <c r="A102" t="s">
        <v>1169</v>
      </c>
      <c r="B102" t="s">
        <v>1170</v>
      </c>
      <c r="C102" t="s">
        <v>2566</v>
      </c>
      <c r="D102" t="s">
        <v>2567</v>
      </c>
      <c r="E102" t="s">
        <v>2568</v>
      </c>
      <c r="F102" t="s">
        <v>2568</v>
      </c>
      <c r="G102" t="s">
        <v>2569</v>
      </c>
      <c r="H102" t="s">
        <v>1170</v>
      </c>
    </row>
    <row r="103" spans="1:8" x14ac:dyDescent="0.25">
      <c r="A103" t="s">
        <v>1172</v>
      </c>
      <c r="B103" t="s">
        <v>1173</v>
      </c>
      <c r="C103" t="s">
        <v>2570</v>
      </c>
      <c r="D103" t="s">
        <v>2571</v>
      </c>
      <c r="E103" t="s">
        <v>2572</v>
      </c>
      <c r="F103" t="s">
        <v>2573</v>
      </c>
      <c r="G103" t="s">
        <v>2574</v>
      </c>
      <c r="H103" t="s">
        <v>1173</v>
      </c>
    </row>
    <row r="104" spans="1:8" x14ac:dyDescent="0.25">
      <c r="A104" t="s">
        <v>1176</v>
      </c>
      <c r="B104" t="s">
        <v>1178</v>
      </c>
      <c r="C104" t="s">
        <v>2575</v>
      </c>
      <c r="D104" t="s">
        <v>2576</v>
      </c>
      <c r="E104" t="s">
        <v>2577</v>
      </c>
      <c r="F104" t="s">
        <v>2578</v>
      </c>
      <c r="G104" t="s">
        <v>2579</v>
      </c>
      <c r="H104" t="s">
        <v>1177</v>
      </c>
    </row>
    <row r="105" spans="1:8" x14ac:dyDescent="0.25">
      <c r="A105" t="s">
        <v>1180</v>
      </c>
      <c r="B105" t="s">
        <v>1181</v>
      </c>
      <c r="C105" t="s">
        <v>2580</v>
      </c>
      <c r="D105" t="s">
        <v>2581</v>
      </c>
      <c r="E105" t="s">
        <v>2582</v>
      </c>
      <c r="F105" t="s">
        <v>2583</v>
      </c>
      <c r="G105" t="s">
        <v>2584</v>
      </c>
      <c r="H105" t="s">
        <v>1181</v>
      </c>
    </row>
    <row r="106" spans="1:8" x14ac:dyDescent="0.25">
      <c r="A106" t="s">
        <v>1183</v>
      </c>
      <c r="B106" t="s">
        <v>1185</v>
      </c>
      <c r="C106" t="s">
        <v>2585</v>
      </c>
      <c r="D106" t="s">
        <v>2586</v>
      </c>
      <c r="E106" t="s">
        <v>2587</v>
      </c>
      <c r="F106" t="s">
        <v>2587</v>
      </c>
      <c r="G106" t="s">
        <v>2588</v>
      </c>
      <c r="H106" t="s">
        <v>1184</v>
      </c>
    </row>
    <row r="107" spans="1:8" x14ac:dyDescent="0.25">
      <c r="A107" t="s">
        <v>1187</v>
      </c>
      <c r="B107" t="s">
        <v>1189</v>
      </c>
      <c r="C107" t="s">
        <v>2589</v>
      </c>
      <c r="D107" t="s">
        <v>2590</v>
      </c>
      <c r="E107" t="s">
        <v>2591</v>
      </c>
      <c r="F107" t="s">
        <v>2592</v>
      </c>
      <c r="G107" t="s">
        <v>2593</v>
      </c>
      <c r="H107" t="s">
        <v>1188</v>
      </c>
    </row>
    <row r="108" spans="1:8" x14ac:dyDescent="0.25">
      <c r="A108" t="s">
        <v>1191</v>
      </c>
      <c r="B108" t="s">
        <v>1193</v>
      </c>
      <c r="C108" t="s">
        <v>2594</v>
      </c>
      <c r="D108" t="s">
        <v>2595</v>
      </c>
      <c r="E108" t="s">
        <v>2596</v>
      </c>
      <c r="F108" t="s">
        <v>2596</v>
      </c>
      <c r="G108" t="s">
        <v>2597</v>
      </c>
      <c r="H108" t="s">
        <v>1192</v>
      </c>
    </row>
    <row r="109" spans="1:8" x14ac:dyDescent="0.25">
      <c r="A109" t="s">
        <v>1195</v>
      </c>
      <c r="B109" t="s">
        <v>1197</v>
      </c>
      <c r="C109" t="s">
        <v>2598</v>
      </c>
      <c r="D109" t="s">
        <v>2599</v>
      </c>
      <c r="E109" t="s">
        <v>2600</v>
      </c>
      <c r="F109" t="s">
        <v>2601</v>
      </c>
      <c r="G109" t="s">
        <v>2602</v>
      </c>
      <c r="H109" t="s">
        <v>1196</v>
      </c>
    </row>
    <row r="110" spans="1:8" x14ac:dyDescent="0.25">
      <c r="A110" t="s">
        <v>1199</v>
      </c>
      <c r="B110" t="s">
        <v>1201</v>
      </c>
      <c r="C110" t="s">
        <v>2603</v>
      </c>
      <c r="D110" t="s">
        <v>2604</v>
      </c>
      <c r="E110" t="s">
        <v>2605</v>
      </c>
      <c r="F110" t="s">
        <v>2605</v>
      </c>
      <c r="G110" t="s">
        <v>2606</v>
      </c>
      <c r="H110" t="s">
        <v>1200</v>
      </c>
    </row>
    <row r="111" spans="1:8" x14ac:dyDescent="0.25">
      <c r="A111" t="s">
        <v>1205</v>
      </c>
      <c r="B111" t="s">
        <v>1207</v>
      </c>
      <c r="C111" t="s">
        <v>2607</v>
      </c>
      <c r="D111" t="s">
        <v>2608</v>
      </c>
      <c r="E111" t="s">
        <v>2609</v>
      </c>
      <c r="F111" t="s">
        <v>2609</v>
      </c>
      <c r="G111" t="s">
        <v>2610</v>
      </c>
      <c r="H111" t="s">
        <v>1206</v>
      </c>
    </row>
    <row r="112" spans="1:8" x14ac:dyDescent="0.25">
      <c r="A112" t="s">
        <v>1210</v>
      </c>
      <c r="B112" t="s">
        <v>1212</v>
      </c>
      <c r="C112" t="s">
        <v>2611</v>
      </c>
      <c r="D112" t="s">
        <v>2612</v>
      </c>
      <c r="E112" t="s">
        <v>2613</v>
      </c>
      <c r="F112" t="s">
        <v>2613</v>
      </c>
      <c r="G112" t="s">
        <v>2614</v>
      </c>
      <c r="H112" t="s">
        <v>1211</v>
      </c>
    </row>
    <row r="113" spans="1:8" x14ac:dyDescent="0.25">
      <c r="A113" t="s">
        <v>1214</v>
      </c>
      <c r="B113" t="s">
        <v>1215</v>
      </c>
      <c r="C113" t="s">
        <v>2615</v>
      </c>
      <c r="D113" t="s">
        <v>2616</v>
      </c>
      <c r="E113" t="s">
        <v>2617</v>
      </c>
      <c r="F113" t="s">
        <v>2618</v>
      </c>
      <c r="G113" t="s">
        <v>2619</v>
      </c>
      <c r="H113" t="s">
        <v>1215</v>
      </c>
    </row>
    <row r="114" spans="1:8" x14ac:dyDescent="0.25">
      <c r="A114" t="s">
        <v>1217</v>
      </c>
      <c r="B114" t="s">
        <v>1219</v>
      </c>
      <c r="C114" t="s">
        <v>2620</v>
      </c>
      <c r="D114" t="s">
        <v>2621</v>
      </c>
      <c r="E114" t="s">
        <v>2622</v>
      </c>
      <c r="F114" t="s">
        <v>2623</v>
      </c>
      <c r="G114" t="s">
        <v>2624</v>
      </c>
      <c r="H114" t="s">
        <v>1218</v>
      </c>
    </row>
    <row r="115" spans="1:8" x14ac:dyDescent="0.25">
      <c r="A115" t="s">
        <v>1221</v>
      </c>
      <c r="B115" t="s">
        <v>1223</v>
      </c>
      <c r="C115" t="s">
        <v>2625</v>
      </c>
      <c r="D115" t="s">
        <v>2626</v>
      </c>
      <c r="E115" t="s">
        <v>2627</v>
      </c>
      <c r="F115" t="s">
        <v>2628</v>
      </c>
      <c r="G115" t="s">
        <v>2629</v>
      </c>
      <c r="H115" t="s">
        <v>1222</v>
      </c>
    </row>
    <row r="116" spans="1:8" x14ac:dyDescent="0.25">
      <c r="A116" t="s">
        <v>1225</v>
      </c>
      <c r="B116" t="s">
        <v>1227</v>
      </c>
      <c r="C116" t="s">
        <v>2630</v>
      </c>
      <c r="D116" t="s">
        <v>2631</v>
      </c>
      <c r="E116" t="s">
        <v>2632</v>
      </c>
      <c r="F116" t="s">
        <v>2633</v>
      </c>
      <c r="G116" t="s">
        <v>2634</v>
      </c>
      <c r="H116" t="s">
        <v>1226</v>
      </c>
    </row>
    <row r="117" spans="1:8" x14ac:dyDescent="0.25">
      <c r="A117" t="s">
        <v>1229</v>
      </c>
      <c r="B117" t="s">
        <v>1231</v>
      </c>
      <c r="C117" t="s">
        <v>2635</v>
      </c>
      <c r="D117" t="s">
        <v>2636</v>
      </c>
      <c r="E117" t="s">
        <v>2637</v>
      </c>
      <c r="F117" t="s">
        <v>2637</v>
      </c>
      <c r="G117" t="s">
        <v>2638</v>
      </c>
      <c r="H117" t="s">
        <v>1230</v>
      </c>
    </row>
    <row r="118" spans="1:8" x14ac:dyDescent="0.25">
      <c r="A118" t="s">
        <v>1233</v>
      </c>
      <c r="B118" t="s">
        <v>1234</v>
      </c>
      <c r="C118" t="s">
        <v>2639</v>
      </c>
      <c r="D118" t="s">
        <v>2640</v>
      </c>
      <c r="E118" t="s">
        <v>2641</v>
      </c>
      <c r="F118" t="s">
        <v>2641</v>
      </c>
      <c r="G118" t="s">
        <v>2642</v>
      </c>
      <c r="H118" t="s">
        <v>1234</v>
      </c>
    </row>
    <row r="119" spans="1:8" x14ac:dyDescent="0.25">
      <c r="A119" t="s">
        <v>1236</v>
      </c>
      <c r="B119" t="s">
        <v>1237</v>
      </c>
      <c r="C119" t="s">
        <v>2643</v>
      </c>
      <c r="D119" t="s">
        <v>2644</v>
      </c>
      <c r="E119" t="s">
        <v>2645</v>
      </c>
      <c r="F119" t="s">
        <v>2645</v>
      </c>
      <c r="G119" t="s">
        <v>2646</v>
      </c>
      <c r="H119" t="s">
        <v>1237</v>
      </c>
    </row>
    <row r="120" spans="1:8" x14ac:dyDescent="0.25">
      <c r="A120" t="s">
        <v>1239</v>
      </c>
      <c r="B120" t="s">
        <v>1240</v>
      </c>
      <c r="C120" t="s">
        <v>2647</v>
      </c>
      <c r="D120" t="s">
        <v>2648</v>
      </c>
      <c r="E120" t="s">
        <v>2649</v>
      </c>
      <c r="F120" t="s">
        <v>2650</v>
      </c>
      <c r="G120" t="s">
        <v>2651</v>
      </c>
      <c r="H120" t="s">
        <v>1240</v>
      </c>
    </row>
    <row r="121" spans="1:8" x14ac:dyDescent="0.25">
      <c r="A121" t="s">
        <v>1244</v>
      </c>
      <c r="B121" t="s">
        <v>1245</v>
      </c>
      <c r="C121" t="s">
        <v>2652</v>
      </c>
      <c r="D121" t="s">
        <v>2653</v>
      </c>
      <c r="E121" t="s">
        <v>2654</v>
      </c>
      <c r="F121" t="s">
        <v>2654</v>
      </c>
      <c r="G121" t="s">
        <v>2655</v>
      </c>
      <c r="H121" t="s">
        <v>1245</v>
      </c>
    </row>
    <row r="122" spans="1:8" x14ac:dyDescent="0.25">
      <c r="A122" t="s">
        <v>1247</v>
      </c>
      <c r="B122" t="s">
        <v>1248</v>
      </c>
      <c r="C122" t="s">
        <v>2656</v>
      </c>
      <c r="D122" t="s">
        <v>2657</v>
      </c>
      <c r="E122" t="s">
        <v>2658</v>
      </c>
      <c r="F122" t="s">
        <v>2659</v>
      </c>
      <c r="G122" t="s">
        <v>2660</v>
      </c>
      <c r="H122" t="s">
        <v>1248</v>
      </c>
    </row>
    <row r="123" spans="1:8" x14ac:dyDescent="0.25">
      <c r="A123" t="s">
        <v>1250</v>
      </c>
      <c r="B123" t="s">
        <v>1251</v>
      </c>
      <c r="C123" t="s">
        <v>2661</v>
      </c>
      <c r="D123" t="s">
        <v>2662</v>
      </c>
      <c r="E123" t="s">
        <v>2663</v>
      </c>
      <c r="F123" t="s">
        <v>2664</v>
      </c>
      <c r="G123" t="s">
        <v>2665</v>
      </c>
      <c r="H123" t="s">
        <v>1251</v>
      </c>
    </row>
    <row r="124" spans="1:8" x14ac:dyDescent="0.25">
      <c r="A124" t="s">
        <v>1253</v>
      </c>
      <c r="B124" t="s">
        <v>1254</v>
      </c>
      <c r="C124" t="s">
        <v>2666</v>
      </c>
      <c r="D124" t="s">
        <v>2667</v>
      </c>
      <c r="E124" t="s">
        <v>2668</v>
      </c>
      <c r="F124" t="s">
        <v>2669</v>
      </c>
      <c r="G124" t="s">
        <v>2670</v>
      </c>
      <c r="H124" t="s">
        <v>1254</v>
      </c>
    </row>
    <row r="125" spans="1:8" x14ac:dyDescent="0.25">
      <c r="A125" t="s">
        <v>1257</v>
      </c>
      <c r="B125" t="s">
        <v>1258</v>
      </c>
      <c r="C125" t="s">
        <v>2671</v>
      </c>
      <c r="D125" t="s">
        <v>2672</v>
      </c>
      <c r="E125" t="s">
        <v>2673</v>
      </c>
      <c r="F125" t="s">
        <v>2673</v>
      </c>
      <c r="G125" t="s">
        <v>2674</v>
      </c>
      <c r="H125" t="s">
        <v>1258</v>
      </c>
    </row>
    <row r="126" spans="1:8" x14ac:dyDescent="0.25">
      <c r="A126" t="s">
        <v>1261</v>
      </c>
      <c r="B126" t="s">
        <v>1263</v>
      </c>
      <c r="C126" t="s">
        <v>2675</v>
      </c>
      <c r="D126" t="s">
        <v>2676</v>
      </c>
      <c r="E126" t="s">
        <v>2677</v>
      </c>
      <c r="F126" t="s">
        <v>2677</v>
      </c>
      <c r="G126" t="s">
        <v>2678</v>
      </c>
      <c r="H126" t="s">
        <v>1262</v>
      </c>
    </row>
    <row r="127" spans="1:8" x14ac:dyDescent="0.25">
      <c r="A127" t="s">
        <v>1265</v>
      </c>
      <c r="B127" t="s">
        <v>1266</v>
      </c>
      <c r="C127" t="s">
        <v>2679</v>
      </c>
      <c r="D127" t="s">
        <v>2680</v>
      </c>
      <c r="E127" t="s">
        <v>2681</v>
      </c>
      <c r="F127" t="s">
        <v>2681</v>
      </c>
      <c r="G127" t="s">
        <v>2682</v>
      </c>
      <c r="H127" t="s">
        <v>1266</v>
      </c>
    </row>
    <row r="128" spans="1:8" x14ac:dyDescent="0.25">
      <c r="A128" t="s">
        <v>1268</v>
      </c>
      <c r="B128" t="s">
        <v>1269</v>
      </c>
      <c r="C128" t="s">
        <v>2683</v>
      </c>
      <c r="D128" t="s">
        <v>2684</v>
      </c>
      <c r="E128" t="s">
        <v>2685</v>
      </c>
      <c r="F128" t="s">
        <v>2686</v>
      </c>
      <c r="G128" t="s">
        <v>2687</v>
      </c>
      <c r="H128" t="s">
        <v>1269</v>
      </c>
    </row>
    <row r="129" spans="1:8" x14ac:dyDescent="0.25">
      <c r="A129" t="s">
        <v>1273</v>
      </c>
      <c r="B129" t="s">
        <v>1274</v>
      </c>
      <c r="C129" t="s">
        <v>2688</v>
      </c>
      <c r="D129" t="s">
        <v>2689</v>
      </c>
      <c r="E129" t="s">
        <v>2690</v>
      </c>
      <c r="F129" t="s">
        <v>2690</v>
      </c>
      <c r="G129" t="s">
        <v>2691</v>
      </c>
      <c r="H129" t="s">
        <v>1274</v>
      </c>
    </row>
    <row r="130" spans="1:8" x14ac:dyDescent="0.25">
      <c r="A130" t="s">
        <v>1276</v>
      </c>
      <c r="B130" t="s">
        <v>1277</v>
      </c>
      <c r="C130" t="s">
        <v>2692</v>
      </c>
      <c r="D130" t="s">
        <v>2693</v>
      </c>
      <c r="E130" t="s">
        <v>2694</v>
      </c>
      <c r="F130" t="s">
        <v>2694</v>
      </c>
      <c r="G130" t="s">
        <v>2695</v>
      </c>
      <c r="H130" t="s">
        <v>1277</v>
      </c>
    </row>
    <row r="131" spans="1:8" x14ac:dyDescent="0.25">
      <c r="A131" t="s">
        <v>1279</v>
      </c>
      <c r="B131" t="s">
        <v>1280</v>
      </c>
      <c r="C131" t="s">
        <v>2696</v>
      </c>
      <c r="D131" t="s">
        <v>2697</v>
      </c>
      <c r="E131" t="s">
        <v>2698</v>
      </c>
      <c r="F131" t="s">
        <v>2698</v>
      </c>
      <c r="G131" t="s">
        <v>2699</v>
      </c>
      <c r="H131" t="s">
        <v>1280</v>
      </c>
    </row>
    <row r="132" spans="1:8" x14ac:dyDescent="0.25">
      <c r="A132" t="s">
        <v>1282</v>
      </c>
      <c r="B132" t="s">
        <v>1284</v>
      </c>
      <c r="C132" t="s">
        <v>2700</v>
      </c>
      <c r="D132" t="s">
        <v>2701</v>
      </c>
      <c r="E132" t="s">
        <v>2702</v>
      </c>
      <c r="F132" t="s">
        <v>2703</v>
      </c>
      <c r="G132" t="s">
        <v>2704</v>
      </c>
      <c r="H132" t="s">
        <v>1283</v>
      </c>
    </row>
    <row r="133" spans="1:8" x14ac:dyDescent="0.25">
      <c r="A133" t="s">
        <v>1286</v>
      </c>
      <c r="B133" t="s">
        <v>1287</v>
      </c>
      <c r="C133" t="s">
        <v>2705</v>
      </c>
      <c r="D133" t="s">
        <v>2706</v>
      </c>
      <c r="E133" t="s">
        <v>2707</v>
      </c>
      <c r="F133" t="s">
        <v>2707</v>
      </c>
      <c r="G133" t="s">
        <v>2708</v>
      </c>
      <c r="H133" t="s">
        <v>1287</v>
      </c>
    </row>
    <row r="134" spans="1:8" x14ac:dyDescent="0.25">
      <c r="A134" t="s">
        <v>1290</v>
      </c>
      <c r="B134" t="s">
        <v>1292</v>
      </c>
      <c r="C134" t="s">
        <v>2709</v>
      </c>
      <c r="D134" t="s">
        <v>2710</v>
      </c>
      <c r="E134" t="s">
        <v>2711</v>
      </c>
      <c r="F134" t="s">
        <v>2712</v>
      </c>
      <c r="G134" t="s">
        <v>2713</v>
      </c>
      <c r="H134" t="s">
        <v>1291</v>
      </c>
    </row>
    <row r="135" spans="1:8" x14ac:dyDescent="0.25">
      <c r="A135" t="s">
        <v>1294</v>
      </c>
      <c r="B135" t="s">
        <v>1296</v>
      </c>
      <c r="C135" t="s">
        <v>2714</v>
      </c>
      <c r="D135" t="s">
        <v>2715</v>
      </c>
      <c r="E135" t="s">
        <v>2716</v>
      </c>
      <c r="F135" t="s">
        <v>2716</v>
      </c>
      <c r="G135" t="s">
        <v>2717</v>
      </c>
      <c r="H135" t="s">
        <v>1295</v>
      </c>
    </row>
    <row r="136" spans="1:8" x14ac:dyDescent="0.25">
      <c r="A136" t="s">
        <v>1301</v>
      </c>
      <c r="B136" t="s">
        <v>1302</v>
      </c>
      <c r="C136" t="s">
        <v>2718</v>
      </c>
      <c r="D136" t="s">
        <v>2719</v>
      </c>
      <c r="E136" t="s">
        <v>2720</v>
      </c>
      <c r="G136" t="s">
        <v>2721</v>
      </c>
      <c r="H136" t="s">
        <v>1302</v>
      </c>
    </row>
    <row r="137" spans="1:8" x14ac:dyDescent="0.25">
      <c r="A137" t="s">
        <v>1305</v>
      </c>
      <c r="B137" t="s">
        <v>1307</v>
      </c>
      <c r="C137" t="s">
        <v>2722</v>
      </c>
      <c r="D137" t="s">
        <v>2723</v>
      </c>
      <c r="E137" t="s">
        <v>2724</v>
      </c>
      <c r="F137" t="s">
        <v>2725</v>
      </c>
      <c r="G137" t="s">
        <v>2726</v>
      </c>
      <c r="H137" t="s">
        <v>1306</v>
      </c>
    </row>
    <row r="138" spans="1:8" x14ac:dyDescent="0.25">
      <c r="A138" t="s">
        <v>1309</v>
      </c>
      <c r="B138" t="s">
        <v>1310</v>
      </c>
      <c r="C138" t="s">
        <v>2727</v>
      </c>
      <c r="D138" t="s">
        <v>2728</v>
      </c>
      <c r="E138" t="s">
        <v>2729</v>
      </c>
      <c r="F138" t="s">
        <v>2730</v>
      </c>
      <c r="G138" t="s">
        <v>2731</v>
      </c>
      <c r="H138" t="s">
        <v>1310</v>
      </c>
    </row>
    <row r="139" spans="1:8" x14ac:dyDescent="0.25">
      <c r="A139" t="s">
        <v>1312</v>
      </c>
      <c r="B139" t="s">
        <v>1314</v>
      </c>
      <c r="C139" t="s">
        <v>2732</v>
      </c>
      <c r="D139" t="s">
        <v>2733</v>
      </c>
      <c r="E139" t="s">
        <v>2734</v>
      </c>
      <c r="F139" t="s">
        <v>2735</v>
      </c>
      <c r="G139" t="s">
        <v>2736</v>
      </c>
      <c r="H139" t="s">
        <v>1313</v>
      </c>
    </row>
    <row r="140" spans="1:8" x14ac:dyDescent="0.25">
      <c r="A140" t="s">
        <v>1317</v>
      </c>
      <c r="B140" t="s">
        <v>1318</v>
      </c>
      <c r="C140" t="s">
        <v>2737</v>
      </c>
      <c r="D140" t="s">
        <v>2738</v>
      </c>
      <c r="E140" t="s">
        <v>2739</v>
      </c>
      <c r="F140" t="s">
        <v>2740</v>
      </c>
      <c r="G140" t="s">
        <v>2741</v>
      </c>
      <c r="H140" t="s">
        <v>1318</v>
      </c>
    </row>
    <row r="141" spans="1:8" x14ac:dyDescent="0.25">
      <c r="A141" t="s">
        <v>1320</v>
      </c>
      <c r="B141" t="s">
        <v>1321</v>
      </c>
      <c r="C141" t="s">
        <v>2742</v>
      </c>
      <c r="D141" t="s">
        <v>2743</v>
      </c>
      <c r="E141" t="s">
        <v>2744</v>
      </c>
      <c r="F141" t="s">
        <v>2744</v>
      </c>
      <c r="G141" t="s">
        <v>2745</v>
      </c>
      <c r="H141" t="s">
        <v>1321</v>
      </c>
    </row>
    <row r="142" spans="1:8" x14ac:dyDescent="0.25">
      <c r="A142" t="s">
        <v>1323</v>
      </c>
      <c r="B142" t="s">
        <v>1324</v>
      </c>
      <c r="C142" t="s">
        <v>2746</v>
      </c>
      <c r="D142" t="s">
        <v>2747</v>
      </c>
      <c r="E142" t="s">
        <v>2748</v>
      </c>
      <c r="F142" t="s">
        <v>2749</v>
      </c>
      <c r="G142" t="s">
        <v>2750</v>
      </c>
      <c r="H142" t="s">
        <v>1324</v>
      </c>
    </row>
    <row r="143" spans="1:8" x14ac:dyDescent="0.25">
      <c r="A143" t="s">
        <v>1339</v>
      </c>
      <c r="B143" t="s">
        <v>1341</v>
      </c>
      <c r="C143" t="s">
        <v>2751</v>
      </c>
      <c r="D143" t="s">
        <v>2752</v>
      </c>
      <c r="E143" t="s">
        <v>2753</v>
      </c>
      <c r="F143" t="s">
        <v>2754</v>
      </c>
      <c r="G143" t="s">
        <v>2755</v>
      </c>
      <c r="H143" t="s">
        <v>1340</v>
      </c>
    </row>
    <row r="144" spans="1:8" x14ac:dyDescent="0.25">
      <c r="A144" t="s">
        <v>1331</v>
      </c>
      <c r="B144" t="s">
        <v>1333</v>
      </c>
      <c r="C144" t="s">
        <v>2756</v>
      </c>
      <c r="D144" t="s">
        <v>2757</v>
      </c>
      <c r="E144" t="s">
        <v>2758</v>
      </c>
      <c r="F144" t="s">
        <v>2758</v>
      </c>
      <c r="G144" t="s">
        <v>2759</v>
      </c>
      <c r="H144" t="s">
        <v>1332</v>
      </c>
    </row>
    <row r="145" spans="1:8" x14ac:dyDescent="0.25">
      <c r="A145" t="s">
        <v>1335</v>
      </c>
      <c r="B145" t="s">
        <v>1337</v>
      </c>
      <c r="C145" t="s">
        <v>2760</v>
      </c>
      <c r="D145" t="s">
        <v>2761</v>
      </c>
      <c r="E145" t="s">
        <v>2762</v>
      </c>
      <c r="F145" t="s">
        <v>2762</v>
      </c>
      <c r="G145" t="s">
        <v>2763</v>
      </c>
      <c r="H145" t="s">
        <v>1336</v>
      </c>
    </row>
    <row r="146" spans="1:8" x14ac:dyDescent="0.25">
      <c r="A146" t="s">
        <v>20</v>
      </c>
      <c r="B146" t="s">
        <v>22</v>
      </c>
      <c r="G146" t="s">
        <v>2764</v>
      </c>
      <c r="H146" t="s">
        <v>21</v>
      </c>
    </row>
    <row r="147" spans="1:8" x14ac:dyDescent="0.25">
      <c r="A147" t="s">
        <v>24</v>
      </c>
      <c r="B147" t="s">
        <v>25</v>
      </c>
      <c r="G147" t="s">
        <v>2765</v>
      </c>
      <c r="H147" t="s">
        <v>25</v>
      </c>
    </row>
    <row r="148" spans="1:8" x14ac:dyDescent="0.25">
      <c r="A148" t="s">
        <v>27</v>
      </c>
      <c r="B148" t="s">
        <v>29</v>
      </c>
      <c r="G148" t="s">
        <v>2766</v>
      </c>
      <c r="H148" t="s">
        <v>28</v>
      </c>
    </row>
    <row r="149" spans="1:8" x14ac:dyDescent="0.25">
      <c r="A149" t="s">
        <v>31</v>
      </c>
      <c r="B149" t="s">
        <v>33</v>
      </c>
      <c r="G149" t="s">
        <v>2767</v>
      </c>
      <c r="H149" t="s">
        <v>32</v>
      </c>
    </row>
    <row r="150" spans="1:8" x14ac:dyDescent="0.25">
      <c r="A150" t="s">
        <v>35</v>
      </c>
      <c r="B150" t="s">
        <v>37</v>
      </c>
      <c r="G150" t="s">
        <v>2768</v>
      </c>
      <c r="H150" t="s">
        <v>36</v>
      </c>
    </row>
    <row r="151" spans="1:8" x14ac:dyDescent="0.25">
      <c r="A151" t="s">
        <v>39</v>
      </c>
      <c r="B151" t="s">
        <v>41</v>
      </c>
      <c r="G151" t="s">
        <v>2769</v>
      </c>
      <c r="H151" t="s">
        <v>40</v>
      </c>
    </row>
    <row r="152" spans="1:8" x14ac:dyDescent="0.25">
      <c r="A152" t="s">
        <v>43</v>
      </c>
      <c r="B152" t="s">
        <v>45</v>
      </c>
      <c r="G152" t="s">
        <v>2770</v>
      </c>
      <c r="H152" t="s">
        <v>44</v>
      </c>
    </row>
    <row r="153" spans="1:8" x14ac:dyDescent="0.25">
      <c r="A153" t="s">
        <v>47</v>
      </c>
      <c r="B153" t="s">
        <v>48</v>
      </c>
      <c r="G153" t="s">
        <v>2771</v>
      </c>
      <c r="H153" t="s">
        <v>48</v>
      </c>
    </row>
    <row r="154" spans="1:8" x14ac:dyDescent="0.25">
      <c r="A154" t="s">
        <v>50</v>
      </c>
      <c r="B154" t="s">
        <v>52</v>
      </c>
      <c r="G154" t="s">
        <v>2772</v>
      </c>
      <c r="H154" t="s">
        <v>51</v>
      </c>
    </row>
    <row r="155" spans="1:8" x14ac:dyDescent="0.25">
      <c r="A155" t="s">
        <v>54</v>
      </c>
      <c r="B155" t="s">
        <v>55</v>
      </c>
      <c r="G155" t="s">
        <v>2773</v>
      </c>
      <c r="H155" t="s">
        <v>55</v>
      </c>
    </row>
    <row r="156" spans="1:8" x14ac:dyDescent="0.25">
      <c r="A156" t="s">
        <v>57</v>
      </c>
      <c r="B156" t="s">
        <v>58</v>
      </c>
      <c r="G156" t="s">
        <v>2774</v>
      </c>
      <c r="H156" t="s">
        <v>58</v>
      </c>
    </row>
    <row r="157" spans="1:8" x14ac:dyDescent="0.25">
      <c r="A157" t="s">
        <v>60</v>
      </c>
      <c r="B157" t="s">
        <v>62</v>
      </c>
      <c r="G157" t="s">
        <v>2775</v>
      </c>
      <c r="H157" t="s">
        <v>61</v>
      </c>
    </row>
    <row r="158" spans="1:8" x14ac:dyDescent="0.25">
      <c r="A158" t="s">
        <v>64</v>
      </c>
      <c r="B158" t="s">
        <v>65</v>
      </c>
      <c r="C158" t="s">
        <v>2776</v>
      </c>
      <c r="D158" t="s">
        <v>2777</v>
      </c>
      <c r="E158" t="s">
        <v>2778</v>
      </c>
      <c r="F158" t="s">
        <v>2779</v>
      </c>
      <c r="G158" t="s">
        <v>2780</v>
      </c>
      <c r="H158" t="s">
        <v>65</v>
      </c>
    </row>
    <row r="159" spans="1:8" x14ac:dyDescent="0.25">
      <c r="A159" t="s">
        <v>68</v>
      </c>
      <c r="B159" t="s">
        <v>69</v>
      </c>
      <c r="G159" t="s">
        <v>2781</v>
      </c>
      <c r="H159" t="s">
        <v>69</v>
      </c>
    </row>
    <row r="160" spans="1:8" x14ac:dyDescent="0.25">
      <c r="A160" t="s">
        <v>71</v>
      </c>
      <c r="B160" t="s">
        <v>73</v>
      </c>
      <c r="G160" t="s">
        <v>2782</v>
      </c>
      <c r="H160" t="s">
        <v>72</v>
      </c>
    </row>
    <row r="161" spans="1:8" x14ac:dyDescent="0.25">
      <c r="A161" t="s">
        <v>75</v>
      </c>
      <c r="B161" t="s">
        <v>76</v>
      </c>
      <c r="G161" t="s">
        <v>2783</v>
      </c>
      <c r="H161" t="s">
        <v>76</v>
      </c>
    </row>
    <row r="162" spans="1:8" x14ac:dyDescent="0.25">
      <c r="A162" t="s">
        <v>78</v>
      </c>
      <c r="B162" t="s">
        <v>80</v>
      </c>
      <c r="G162" t="s">
        <v>2784</v>
      </c>
      <c r="H162" t="s">
        <v>79</v>
      </c>
    </row>
    <row r="163" spans="1:8" x14ac:dyDescent="0.25">
      <c r="A163" t="s">
        <v>82</v>
      </c>
      <c r="B163" t="s">
        <v>84</v>
      </c>
      <c r="G163" t="s">
        <v>2785</v>
      </c>
      <c r="H163" t="s">
        <v>83</v>
      </c>
    </row>
    <row r="164" spans="1:8" x14ac:dyDescent="0.25">
      <c r="A164" t="s">
        <v>86</v>
      </c>
      <c r="B164" t="s">
        <v>88</v>
      </c>
      <c r="G164" t="s">
        <v>2786</v>
      </c>
      <c r="H164" t="s">
        <v>87</v>
      </c>
    </row>
    <row r="165" spans="1:8" x14ac:dyDescent="0.25">
      <c r="A165" t="s">
        <v>90</v>
      </c>
      <c r="B165" t="s">
        <v>91</v>
      </c>
      <c r="G165" t="s">
        <v>2787</v>
      </c>
      <c r="H165" t="s">
        <v>91</v>
      </c>
    </row>
    <row r="166" spans="1:8" x14ac:dyDescent="0.25">
      <c r="A166" t="s">
        <v>93</v>
      </c>
      <c r="B166" t="s">
        <v>94</v>
      </c>
      <c r="G166" t="s">
        <v>2788</v>
      </c>
      <c r="H166" t="s">
        <v>94</v>
      </c>
    </row>
    <row r="167" spans="1:8" x14ac:dyDescent="0.25">
      <c r="A167" t="s">
        <v>96</v>
      </c>
      <c r="B167" t="s">
        <v>97</v>
      </c>
      <c r="G167" t="s">
        <v>2789</v>
      </c>
      <c r="H167" t="s">
        <v>97</v>
      </c>
    </row>
    <row r="168" spans="1:8" x14ac:dyDescent="0.25">
      <c r="A168" t="s">
        <v>101</v>
      </c>
      <c r="B168" t="s">
        <v>102</v>
      </c>
      <c r="G168" t="s">
        <v>2790</v>
      </c>
      <c r="H168" t="s">
        <v>102</v>
      </c>
    </row>
    <row r="169" spans="1:8" x14ac:dyDescent="0.25">
      <c r="A169" t="s">
        <v>104</v>
      </c>
      <c r="B169" t="s">
        <v>106</v>
      </c>
      <c r="C169" t="s">
        <v>2791</v>
      </c>
      <c r="D169" t="s">
        <v>2792</v>
      </c>
      <c r="E169" t="s">
        <v>2793</v>
      </c>
      <c r="F169" t="s">
        <v>2794</v>
      </c>
      <c r="G169" t="s">
        <v>2795</v>
      </c>
      <c r="H169" t="s">
        <v>105</v>
      </c>
    </row>
    <row r="170" spans="1:8" x14ac:dyDescent="0.25">
      <c r="A170" t="s">
        <v>108</v>
      </c>
      <c r="B170" t="s">
        <v>109</v>
      </c>
      <c r="C170" t="s">
        <v>2796</v>
      </c>
      <c r="D170" t="s">
        <v>2797</v>
      </c>
      <c r="E170" t="s">
        <v>2798</v>
      </c>
      <c r="F170" t="s">
        <v>2799</v>
      </c>
      <c r="G170" t="s">
        <v>2800</v>
      </c>
      <c r="H170" t="s">
        <v>109</v>
      </c>
    </row>
    <row r="171" spans="1:8" x14ac:dyDescent="0.25">
      <c r="A171" t="s">
        <v>111</v>
      </c>
      <c r="B171" t="s">
        <v>112</v>
      </c>
      <c r="C171" t="s">
        <v>2801</v>
      </c>
      <c r="D171" t="s">
        <v>2802</v>
      </c>
      <c r="E171" t="s">
        <v>2803</v>
      </c>
      <c r="F171" t="s">
        <v>2804</v>
      </c>
      <c r="G171" t="s">
        <v>2805</v>
      </c>
      <c r="H171" t="s">
        <v>112</v>
      </c>
    </row>
    <row r="172" spans="1:8" x14ac:dyDescent="0.25">
      <c r="A172" t="s">
        <v>115</v>
      </c>
      <c r="B172" t="s">
        <v>117</v>
      </c>
      <c r="G172" t="s">
        <v>2806</v>
      </c>
      <c r="H172" t="s">
        <v>116</v>
      </c>
    </row>
    <row r="173" spans="1:8" x14ac:dyDescent="0.25">
      <c r="A173" t="s">
        <v>119</v>
      </c>
      <c r="B173" t="s">
        <v>120</v>
      </c>
      <c r="G173" t="s">
        <v>2807</v>
      </c>
      <c r="H173" t="s">
        <v>120</v>
      </c>
    </row>
    <row r="174" spans="1:8" x14ac:dyDescent="0.25">
      <c r="A174" t="s">
        <v>122</v>
      </c>
      <c r="B174" t="s">
        <v>123</v>
      </c>
      <c r="G174" t="s">
        <v>2808</v>
      </c>
      <c r="H174" t="s">
        <v>123</v>
      </c>
    </row>
    <row r="175" spans="1:8" x14ac:dyDescent="0.25">
      <c r="A175" t="s">
        <v>125</v>
      </c>
      <c r="B175" t="s">
        <v>126</v>
      </c>
      <c r="C175" t="s">
        <v>2809</v>
      </c>
      <c r="D175" t="s">
        <v>2810</v>
      </c>
      <c r="E175" t="s">
        <v>2811</v>
      </c>
      <c r="F175" t="s">
        <v>2812</v>
      </c>
      <c r="G175" t="s">
        <v>2813</v>
      </c>
      <c r="H175" t="s">
        <v>126</v>
      </c>
    </row>
    <row r="176" spans="1:8" x14ac:dyDescent="0.25">
      <c r="A176" t="s">
        <v>128</v>
      </c>
      <c r="B176" t="s">
        <v>130</v>
      </c>
      <c r="C176" t="s">
        <v>2814</v>
      </c>
      <c r="D176" t="s">
        <v>2815</v>
      </c>
      <c r="E176" t="s">
        <v>2816</v>
      </c>
      <c r="F176" t="s">
        <v>2817</v>
      </c>
      <c r="G176" t="s">
        <v>2818</v>
      </c>
      <c r="H176" t="s">
        <v>129</v>
      </c>
    </row>
    <row r="177" spans="1:8" x14ac:dyDescent="0.25">
      <c r="A177" t="s">
        <v>132</v>
      </c>
      <c r="B177" t="s">
        <v>134</v>
      </c>
      <c r="C177" t="s">
        <v>2819</v>
      </c>
      <c r="D177" t="s">
        <v>2820</v>
      </c>
      <c r="E177" t="s">
        <v>2821</v>
      </c>
      <c r="F177" t="s">
        <v>1470</v>
      </c>
      <c r="G177" t="s">
        <v>2822</v>
      </c>
      <c r="H177" t="s">
        <v>133</v>
      </c>
    </row>
    <row r="178" spans="1:8" x14ac:dyDescent="0.25">
      <c r="A178" t="s">
        <v>136</v>
      </c>
      <c r="B178" t="s">
        <v>137</v>
      </c>
      <c r="G178" t="s">
        <v>2823</v>
      </c>
      <c r="H178" t="s">
        <v>137</v>
      </c>
    </row>
    <row r="179" spans="1:8" x14ac:dyDescent="0.25">
      <c r="A179" t="s">
        <v>139</v>
      </c>
      <c r="B179" t="s">
        <v>141</v>
      </c>
      <c r="C179" t="s">
        <v>2824</v>
      </c>
      <c r="D179" t="s">
        <v>2825</v>
      </c>
      <c r="E179" t="s">
        <v>2826</v>
      </c>
      <c r="F179" t="s">
        <v>2827</v>
      </c>
      <c r="G179" t="s">
        <v>2828</v>
      </c>
      <c r="H179" t="s">
        <v>140</v>
      </c>
    </row>
    <row r="180" spans="1:8" x14ac:dyDescent="0.25">
      <c r="A180" t="s">
        <v>143</v>
      </c>
      <c r="B180" t="s">
        <v>145</v>
      </c>
      <c r="C180" t="s">
        <v>2829</v>
      </c>
      <c r="D180" t="s">
        <v>2830</v>
      </c>
      <c r="E180" t="s">
        <v>2831</v>
      </c>
      <c r="F180" t="s">
        <v>1479</v>
      </c>
      <c r="G180" t="s">
        <v>2832</v>
      </c>
      <c r="H180" t="s">
        <v>144</v>
      </c>
    </row>
    <row r="181" spans="1:8" x14ac:dyDescent="0.25">
      <c r="A181" t="s">
        <v>147</v>
      </c>
      <c r="B181" t="s">
        <v>148</v>
      </c>
      <c r="C181" t="s">
        <v>2833</v>
      </c>
      <c r="D181" t="s">
        <v>2834</v>
      </c>
      <c r="E181" t="s">
        <v>2835</v>
      </c>
      <c r="F181" t="s">
        <v>2836</v>
      </c>
      <c r="G181" t="s">
        <v>2837</v>
      </c>
      <c r="H181" t="s">
        <v>148</v>
      </c>
    </row>
    <row r="182" spans="1:8" x14ac:dyDescent="0.25">
      <c r="A182" t="s">
        <v>150</v>
      </c>
      <c r="B182" t="s">
        <v>152</v>
      </c>
      <c r="C182" t="s">
        <v>2838</v>
      </c>
      <c r="D182" t="s">
        <v>2839</v>
      </c>
      <c r="E182" t="s">
        <v>2840</v>
      </c>
      <c r="F182" t="s">
        <v>2841</v>
      </c>
      <c r="G182" t="s">
        <v>2842</v>
      </c>
      <c r="H182" t="s">
        <v>151</v>
      </c>
    </row>
    <row r="183" spans="1:8" x14ac:dyDescent="0.25">
      <c r="A183" t="s">
        <v>154</v>
      </c>
      <c r="B183" t="s">
        <v>155</v>
      </c>
      <c r="C183" t="s">
        <v>2843</v>
      </c>
      <c r="D183" t="s">
        <v>2844</v>
      </c>
      <c r="E183" t="s">
        <v>2845</v>
      </c>
      <c r="F183" t="s">
        <v>2846</v>
      </c>
      <c r="G183" t="s">
        <v>2847</v>
      </c>
      <c r="H183" t="s">
        <v>155</v>
      </c>
    </row>
    <row r="184" spans="1:8" x14ac:dyDescent="0.25">
      <c r="A184" t="s">
        <v>157</v>
      </c>
      <c r="B184" t="s">
        <v>158</v>
      </c>
      <c r="C184" t="s">
        <v>2848</v>
      </c>
      <c r="D184" t="s">
        <v>2849</v>
      </c>
      <c r="E184" t="s">
        <v>2850</v>
      </c>
      <c r="F184" t="s">
        <v>2851</v>
      </c>
      <c r="G184" t="s">
        <v>2852</v>
      </c>
      <c r="H184" t="s">
        <v>158</v>
      </c>
    </row>
    <row r="185" spans="1:8" x14ac:dyDescent="0.25">
      <c r="A185" t="s">
        <v>160</v>
      </c>
      <c r="B185" t="s">
        <v>161</v>
      </c>
      <c r="C185" t="s">
        <v>2853</v>
      </c>
      <c r="D185" t="s">
        <v>2854</v>
      </c>
      <c r="E185" t="s">
        <v>2855</v>
      </c>
      <c r="F185" t="s">
        <v>2856</v>
      </c>
      <c r="G185" t="s">
        <v>2857</v>
      </c>
      <c r="H185" t="s">
        <v>161</v>
      </c>
    </row>
    <row r="186" spans="1:8" x14ac:dyDescent="0.25">
      <c r="A186" t="s">
        <v>163</v>
      </c>
      <c r="B186" t="s">
        <v>165</v>
      </c>
      <c r="C186" t="s">
        <v>2858</v>
      </c>
      <c r="D186" t="s">
        <v>2859</v>
      </c>
      <c r="E186" t="s">
        <v>2860</v>
      </c>
      <c r="F186" t="s">
        <v>2861</v>
      </c>
      <c r="G186" t="s">
        <v>2862</v>
      </c>
      <c r="H186" t="s">
        <v>164</v>
      </c>
    </row>
    <row r="187" spans="1:8" x14ac:dyDescent="0.25">
      <c r="A187" t="s">
        <v>167</v>
      </c>
      <c r="B187" t="s">
        <v>169</v>
      </c>
      <c r="C187" t="s">
        <v>2863</v>
      </c>
      <c r="D187" t="s">
        <v>2864</v>
      </c>
      <c r="E187" t="s">
        <v>2865</v>
      </c>
      <c r="F187" t="s">
        <v>2866</v>
      </c>
      <c r="G187" t="s">
        <v>2867</v>
      </c>
      <c r="H187" t="s">
        <v>168</v>
      </c>
    </row>
    <row r="188" spans="1:8" x14ac:dyDescent="0.25">
      <c r="A188" t="s">
        <v>171</v>
      </c>
      <c r="B188" t="s">
        <v>173</v>
      </c>
      <c r="C188" t="s">
        <v>2868</v>
      </c>
      <c r="D188" t="s">
        <v>2869</v>
      </c>
      <c r="E188" t="s">
        <v>2870</v>
      </c>
      <c r="F188" t="s">
        <v>2871</v>
      </c>
      <c r="G188" t="s">
        <v>2872</v>
      </c>
      <c r="H188" t="s">
        <v>172</v>
      </c>
    </row>
    <row r="189" spans="1:8" x14ac:dyDescent="0.25">
      <c r="A189" t="s">
        <v>175</v>
      </c>
      <c r="B189" t="s">
        <v>176</v>
      </c>
      <c r="C189" t="s">
        <v>2873</v>
      </c>
      <c r="D189" t="s">
        <v>2874</v>
      </c>
      <c r="E189" t="s">
        <v>2875</v>
      </c>
      <c r="F189" t="s">
        <v>2876</v>
      </c>
      <c r="G189" t="s">
        <v>2877</v>
      </c>
      <c r="H189" t="s">
        <v>176</v>
      </c>
    </row>
    <row r="190" spans="1:8" x14ac:dyDescent="0.25">
      <c r="A190" t="s">
        <v>178</v>
      </c>
      <c r="B190" t="s">
        <v>179</v>
      </c>
      <c r="C190" t="s">
        <v>2878</v>
      </c>
      <c r="D190" t="s">
        <v>2879</v>
      </c>
      <c r="E190" t="s">
        <v>2880</v>
      </c>
      <c r="F190" t="s">
        <v>2881</v>
      </c>
      <c r="G190" t="s">
        <v>2882</v>
      </c>
      <c r="H190" t="s">
        <v>179</v>
      </c>
    </row>
    <row r="191" spans="1:8" x14ac:dyDescent="0.25">
      <c r="A191" t="s">
        <v>181</v>
      </c>
      <c r="B191" t="s">
        <v>182</v>
      </c>
      <c r="C191" t="s">
        <v>2883</v>
      </c>
      <c r="D191" t="s">
        <v>2884</v>
      </c>
      <c r="E191" t="s">
        <v>2885</v>
      </c>
      <c r="F191" t="s">
        <v>2886</v>
      </c>
      <c r="G191" t="s">
        <v>2887</v>
      </c>
      <c r="H191" t="s">
        <v>182</v>
      </c>
    </row>
    <row r="192" spans="1:8" x14ac:dyDescent="0.25">
      <c r="A192" t="s">
        <v>184</v>
      </c>
      <c r="B192" t="s">
        <v>186</v>
      </c>
      <c r="C192" t="s">
        <v>2888</v>
      </c>
      <c r="D192" t="s">
        <v>2889</v>
      </c>
      <c r="E192" t="s">
        <v>2890</v>
      </c>
      <c r="F192" t="s">
        <v>2891</v>
      </c>
      <c r="G192" t="s">
        <v>2892</v>
      </c>
      <c r="H192" t="s">
        <v>185</v>
      </c>
    </row>
    <row r="193" spans="1:8" x14ac:dyDescent="0.25">
      <c r="A193" t="s">
        <v>188</v>
      </c>
      <c r="B193" t="s">
        <v>189</v>
      </c>
      <c r="C193" t="s">
        <v>2893</v>
      </c>
      <c r="D193" t="s">
        <v>2894</v>
      </c>
      <c r="E193" t="s">
        <v>2895</v>
      </c>
      <c r="F193" t="s">
        <v>2896</v>
      </c>
      <c r="G193" t="s">
        <v>2897</v>
      </c>
      <c r="H193" t="s">
        <v>189</v>
      </c>
    </row>
    <row r="194" spans="1:8" x14ac:dyDescent="0.25">
      <c r="A194" t="s">
        <v>191</v>
      </c>
      <c r="B194" t="s">
        <v>192</v>
      </c>
      <c r="G194" t="s">
        <v>2898</v>
      </c>
      <c r="H194" t="s">
        <v>192</v>
      </c>
    </row>
    <row r="195" spans="1:8" x14ac:dyDescent="0.25">
      <c r="A195" t="s">
        <v>194</v>
      </c>
      <c r="B195" t="s">
        <v>195</v>
      </c>
      <c r="C195" t="s">
        <v>2899</v>
      </c>
      <c r="D195" t="s">
        <v>2900</v>
      </c>
      <c r="E195" t="s">
        <v>2901</v>
      </c>
      <c r="F195" t="s">
        <v>2902</v>
      </c>
      <c r="G195" t="s">
        <v>2903</v>
      </c>
      <c r="H195" t="s">
        <v>195</v>
      </c>
    </row>
    <row r="196" spans="1:8" x14ac:dyDescent="0.25">
      <c r="A196" t="s">
        <v>197</v>
      </c>
      <c r="B196" t="s">
        <v>199</v>
      </c>
      <c r="C196" t="s">
        <v>2904</v>
      </c>
      <c r="D196" t="s">
        <v>2905</v>
      </c>
      <c r="E196" t="s">
        <v>2906</v>
      </c>
      <c r="F196" t="s">
        <v>2907</v>
      </c>
      <c r="G196" t="s">
        <v>2908</v>
      </c>
      <c r="H196" t="s">
        <v>198</v>
      </c>
    </row>
    <row r="197" spans="1:8" x14ac:dyDescent="0.25">
      <c r="A197" t="s">
        <v>201</v>
      </c>
      <c r="B197" t="s">
        <v>202</v>
      </c>
      <c r="C197" t="s">
        <v>2909</v>
      </c>
      <c r="D197" t="s">
        <v>2910</v>
      </c>
      <c r="E197" t="s">
        <v>2911</v>
      </c>
      <c r="F197" t="s">
        <v>2912</v>
      </c>
      <c r="G197" t="s">
        <v>2913</v>
      </c>
      <c r="H197" t="s">
        <v>202</v>
      </c>
    </row>
    <row r="198" spans="1:8" x14ac:dyDescent="0.25">
      <c r="A198" t="s">
        <v>204</v>
      </c>
      <c r="B198" t="s">
        <v>205</v>
      </c>
      <c r="C198" t="s">
        <v>2914</v>
      </c>
      <c r="D198" t="s">
        <v>2915</v>
      </c>
      <c r="E198" t="s">
        <v>2916</v>
      </c>
      <c r="F198" t="s">
        <v>2917</v>
      </c>
      <c r="G198" t="s">
        <v>2918</v>
      </c>
      <c r="H198" t="s">
        <v>205</v>
      </c>
    </row>
    <row r="199" spans="1:8" x14ac:dyDescent="0.25">
      <c r="A199" t="s">
        <v>207</v>
      </c>
      <c r="B199" t="s">
        <v>209</v>
      </c>
      <c r="C199" t="s">
        <v>2919</v>
      </c>
      <c r="D199" t="s">
        <v>2920</v>
      </c>
      <c r="E199" t="s">
        <v>2921</v>
      </c>
      <c r="F199" t="s">
        <v>2922</v>
      </c>
      <c r="G199" t="s">
        <v>2923</v>
      </c>
      <c r="H199" t="s">
        <v>208</v>
      </c>
    </row>
    <row r="200" spans="1:8" x14ac:dyDescent="0.25">
      <c r="A200" t="s">
        <v>211</v>
      </c>
      <c r="B200" t="s">
        <v>212</v>
      </c>
      <c r="C200" t="s">
        <v>2924</v>
      </c>
      <c r="D200" t="s">
        <v>2925</v>
      </c>
      <c r="E200" t="s">
        <v>2926</v>
      </c>
      <c r="F200" t="s">
        <v>2927</v>
      </c>
      <c r="G200" t="s">
        <v>2928</v>
      </c>
      <c r="H200" t="s">
        <v>212</v>
      </c>
    </row>
    <row r="201" spans="1:8" x14ac:dyDescent="0.25">
      <c r="A201" t="s">
        <v>215</v>
      </c>
      <c r="B201" t="s">
        <v>217</v>
      </c>
      <c r="C201" t="s">
        <v>2929</v>
      </c>
      <c r="D201" t="s">
        <v>2844</v>
      </c>
      <c r="E201" t="s">
        <v>2930</v>
      </c>
      <c r="F201" t="s">
        <v>2931</v>
      </c>
      <c r="G201" t="s">
        <v>2932</v>
      </c>
      <c r="H201" t="s">
        <v>216</v>
      </c>
    </row>
    <row r="202" spans="1:8" x14ac:dyDescent="0.25">
      <c r="A202" t="s">
        <v>219</v>
      </c>
      <c r="B202" t="s">
        <v>220</v>
      </c>
      <c r="C202" t="s">
        <v>2933</v>
      </c>
      <c r="D202" t="s">
        <v>2934</v>
      </c>
      <c r="E202" t="s">
        <v>2935</v>
      </c>
      <c r="F202" t="s">
        <v>2936</v>
      </c>
      <c r="G202" t="s">
        <v>2937</v>
      </c>
      <c r="H202" t="s">
        <v>220</v>
      </c>
    </row>
    <row r="203" spans="1:8" x14ac:dyDescent="0.25">
      <c r="A203" t="s">
        <v>222</v>
      </c>
      <c r="B203" t="s">
        <v>224</v>
      </c>
      <c r="C203" t="s">
        <v>2938</v>
      </c>
      <c r="D203" t="s">
        <v>2939</v>
      </c>
      <c r="E203" t="s">
        <v>2940</v>
      </c>
      <c r="F203" t="s">
        <v>2941</v>
      </c>
      <c r="G203" t="s">
        <v>2942</v>
      </c>
      <c r="H203" t="s">
        <v>223</v>
      </c>
    </row>
    <row r="204" spans="1:8" x14ac:dyDescent="0.25">
      <c r="A204" t="s">
        <v>226</v>
      </c>
      <c r="B204" t="s">
        <v>227</v>
      </c>
      <c r="C204" t="s">
        <v>2943</v>
      </c>
      <c r="D204" t="s">
        <v>2944</v>
      </c>
      <c r="E204" t="s">
        <v>2945</v>
      </c>
      <c r="F204" t="s">
        <v>2946</v>
      </c>
      <c r="G204" t="s">
        <v>2947</v>
      </c>
      <c r="H204" t="s">
        <v>227</v>
      </c>
    </row>
    <row r="205" spans="1:8" x14ac:dyDescent="0.25">
      <c r="A205" t="s">
        <v>229</v>
      </c>
      <c r="B205" t="s">
        <v>231</v>
      </c>
      <c r="C205" t="s">
        <v>2948</v>
      </c>
      <c r="D205" t="s">
        <v>2949</v>
      </c>
      <c r="E205" t="s">
        <v>2950</v>
      </c>
      <c r="F205" t="s">
        <v>1853</v>
      </c>
      <c r="G205" t="s">
        <v>2951</v>
      </c>
      <c r="H205" t="s">
        <v>230</v>
      </c>
    </row>
    <row r="206" spans="1:8" x14ac:dyDescent="0.25">
      <c r="A206" t="s">
        <v>233</v>
      </c>
      <c r="B206" t="s">
        <v>234</v>
      </c>
      <c r="C206" t="s">
        <v>2952</v>
      </c>
      <c r="D206" t="s">
        <v>2953</v>
      </c>
      <c r="E206" t="s">
        <v>2954</v>
      </c>
      <c r="F206" t="s">
        <v>2955</v>
      </c>
      <c r="G206" t="s">
        <v>2956</v>
      </c>
      <c r="H206" t="s">
        <v>234</v>
      </c>
    </row>
    <row r="207" spans="1:8" x14ac:dyDescent="0.25">
      <c r="A207" t="s">
        <v>236</v>
      </c>
      <c r="B207" t="s">
        <v>237</v>
      </c>
      <c r="C207" t="s">
        <v>2957</v>
      </c>
      <c r="D207" t="s">
        <v>2958</v>
      </c>
      <c r="E207" t="s">
        <v>2959</v>
      </c>
      <c r="F207" t="s">
        <v>2960</v>
      </c>
      <c r="G207" t="s">
        <v>2961</v>
      </c>
      <c r="H207" t="s">
        <v>237</v>
      </c>
    </row>
    <row r="208" spans="1:8" x14ac:dyDescent="0.25">
      <c r="A208" t="s">
        <v>239</v>
      </c>
      <c r="B208" t="s">
        <v>240</v>
      </c>
      <c r="C208" t="s">
        <v>2962</v>
      </c>
      <c r="D208" t="s">
        <v>2963</v>
      </c>
      <c r="E208" t="s">
        <v>2964</v>
      </c>
      <c r="F208" t="s">
        <v>2965</v>
      </c>
      <c r="G208" t="s">
        <v>2966</v>
      </c>
      <c r="H208" t="s">
        <v>240</v>
      </c>
    </row>
    <row r="209" spans="1:8" x14ac:dyDescent="0.25">
      <c r="A209" t="s">
        <v>242</v>
      </c>
      <c r="B209" t="s">
        <v>243</v>
      </c>
      <c r="C209" t="s">
        <v>2967</v>
      </c>
      <c r="D209" t="s">
        <v>2834</v>
      </c>
      <c r="E209" t="s">
        <v>2968</v>
      </c>
      <c r="F209" t="s">
        <v>2969</v>
      </c>
      <c r="G209" t="s">
        <v>2970</v>
      </c>
      <c r="H209" t="s">
        <v>243</v>
      </c>
    </row>
    <row r="210" spans="1:8" x14ac:dyDescent="0.25">
      <c r="A210" t="s">
        <v>246</v>
      </c>
      <c r="B210" t="s">
        <v>248</v>
      </c>
      <c r="C210" t="s">
        <v>2971</v>
      </c>
      <c r="D210" t="s">
        <v>2972</v>
      </c>
      <c r="E210" t="s">
        <v>2973</v>
      </c>
      <c r="F210" t="s">
        <v>1738</v>
      </c>
      <c r="G210" t="s">
        <v>2974</v>
      </c>
      <c r="H210" t="s">
        <v>247</v>
      </c>
    </row>
    <row r="211" spans="1:8" x14ac:dyDescent="0.25">
      <c r="A211" t="s">
        <v>250</v>
      </c>
      <c r="B211" t="s">
        <v>251</v>
      </c>
      <c r="C211" t="s">
        <v>2975</v>
      </c>
      <c r="D211" t="s">
        <v>2976</v>
      </c>
      <c r="E211" t="s">
        <v>2977</v>
      </c>
      <c r="F211" t="s">
        <v>2978</v>
      </c>
      <c r="G211" t="s">
        <v>2979</v>
      </c>
      <c r="H211" t="s">
        <v>251</v>
      </c>
    </row>
    <row r="212" spans="1:8" x14ac:dyDescent="0.25">
      <c r="A212" t="s">
        <v>253</v>
      </c>
      <c r="B212" t="s">
        <v>255</v>
      </c>
      <c r="C212" t="s">
        <v>2980</v>
      </c>
      <c r="D212" t="s">
        <v>2981</v>
      </c>
      <c r="E212" t="s">
        <v>2982</v>
      </c>
      <c r="F212" t="s">
        <v>2983</v>
      </c>
      <c r="G212" t="s">
        <v>2984</v>
      </c>
      <c r="H212" t="s">
        <v>254</v>
      </c>
    </row>
    <row r="213" spans="1:8" x14ac:dyDescent="0.25">
      <c r="A213" t="s">
        <v>257</v>
      </c>
      <c r="B213" t="s">
        <v>258</v>
      </c>
      <c r="C213" t="s">
        <v>2985</v>
      </c>
      <c r="D213" t="s">
        <v>2986</v>
      </c>
      <c r="E213" t="s">
        <v>2987</v>
      </c>
      <c r="F213" t="s">
        <v>1936</v>
      </c>
      <c r="G213" t="s">
        <v>2988</v>
      </c>
      <c r="H213" t="s">
        <v>258</v>
      </c>
    </row>
    <row r="214" spans="1:8" x14ac:dyDescent="0.25">
      <c r="A214" t="s">
        <v>260</v>
      </c>
      <c r="B214" t="s">
        <v>261</v>
      </c>
      <c r="C214" t="s">
        <v>2989</v>
      </c>
      <c r="D214" t="s">
        <v>2990</v>
      </c>
      <c r="E214" t="s">
        <v>2991</v>
      </c>
      <c r="F214" t="s">
        <v>2992</v>
      </c>
      <c r="G214" t="s">
        <v>2993</v>
      </c>
      <c r="H214" t="s">
        <v>261</v>
      </c>
    </row>
    <row r="215" spans="1:8" x14ac:dyDescent="0.25">
      <c r="A215" t="s">
        <v>263</v>
      </c>
      <c r="B215" t="s">
        <v>264</v>
      </c>
      <c r="C215" t="s">
        <v>2994</v>
      </c>
      <c r="D215" t="s">
        <v>2995</v>
      </c>
      <c r="E215" t="s">
        <v>2996</v>
      </c>
      <c r="F215" t="s">
        <v>2997</v>
      </c>
      <c r="G215" t="s">
        <v>2998</v>
      </c>
      <c r="H215" t="s">
        <v>264</v>
      </c>
    </row>
    <row r="216" spans="1:8" x14ac:dyDescent="0.25">
      <c r="A216" t="s">
        <v>266</v>
      </c>
      <c r="B216" t="s">
        <v>267</v>
      </c>
      <c r="C216" t="s">
        <v>2999</v>
      </c>
      <c r="D216" t="s">
        <v>3000</v>
      </c>
      <c r="E216" t="s">
        <v>3001</v>
      </c>
      <c r="F216" t="s">
        <v>1942</v>
      </c>
      <c r="G216" t="s">
        <v>3002</v>
      </c>
      <c r="H216" t="s">
        <v>267</v>
      </c>
    </row>
    <row r="217" spans="1:8" x14ac:dyDescent="0.25">
      <c r="A217" t="s">
        <v>269</v>
      </c>
      <c r="B217" t="s">
        <v>270</v>
      </c>
      <c r="G217" t="s">
        <v>3003</v>
      </c>
      <c r="H217" t="s">
        <v>270</v>
      </c>
    </row>
    <row r="218" spans="1:8" x14ac:dyDescent="0.25">
      <c r="A218" t="s">
        <v>272</v>
      </c>
      <c r="B218" t="s">
        <v>273</v>
      </c>
      <c r="G218" t="s">
        <v>3004</v>
      </c>
      <c r="H218" t="s">
        <v>273</v>
      </c>
    </row>
    <row r="219" spans="1:8" x14ac:dyDescent="0.25">
      <c r="A219" t="s">
        <v>275</v>
      </c>
      <c r="B219" t="s">
        <v>277</v>
      </c>
      <c r="C219" t="s">
        <v>3005</v>
      </c>
      <c r="D219" t="s">
        <v>3006</v>
      </c>
      <c r="E219" t="s">
        <v>3007</v>
      </c>
      <c r="F219" t="s">
        <v>2256</v>
      </c>
      <c r="G219" t="s">
        <v>3008</v>
      </c>
      <c r="H219" t="s">
        <v>276</v>
      </c>
    </row>
    <row r="220" spans="1:8" x14ac:dyDescent="0.25">
      <c r="A220" t="s">
        <v>279</v>
      </c>
      <c r="B220" t="s">
        <v>281</v>
      </c>
      <c r="C220" t="s">
        <v>3009</v>
      </c>
      <c r="D220" t="s">
        <v>3010</v>
      </c>
      <c r="E220" t="s">
        <v>3011</v>
      </c>
      <c r="F220" t="s">
        <v>1946</v>
      </c>
      <c r="G220" t="s">
        <v>3012</v>
      </c>
      <c r="H220" t="s">
        <v>280</v>
      </c>
    </row>
    <row r="221" spans="1:8" x14ac:dyDescent="0.25">
      <c r="A221" t="s">
        <v>284</v>
      </c>
      <c r="B221" t="s">
        <v>285</v>
      </c>
      <c r="C221" t="s">
        <v>3013</v>
      </c>
      <c r="D221" t="s">
        <v>3014</v>
      </c>
      <c r="E221" t="s">
        <v>3015</v>
      </c>
      <c r="F221" t="s">
        <v>1948</v>
      </c>
      <c r="G221" t="s">
        <v>3016</v>
      </c>
      <c r="H221" t="s">
        <v>285</v>
      </c>
    </row>
    <row r="222" spans="1:8" x14ac:dyDescent="0.25">
      <c r="A222" t="s">
        <v>288</v>
      </c>
      <c r="B222" t="s">
        <v>290</v>
      </c>
      <c r="C222" t="s">
        <v>3017</v>
      </c>
      <c r="D222" t="s">
        <v>3018</v>
      </c>
      <c r="E222" t="s">
        <v>3019</v>
      </c>
      <c r="F222" t="s">
        <v>1950</v>
      </c>
      <c r="G222" t="s">
        <v>3020</v>
      </c>
      <c r="H222" t="s">
        <v>289</v>
      </c>
    </row>
    <row r="223" spans="1:8" x14ac:dyDescent="0.25">
      <c r="A223" t="s">
        <v>292</v>
      </c>
      <c r="B223" t="s">
        <v>294</v>
      </c>
      <c r="C223" t="s">
        <v>3021</v>
      </c>
      <c r="D223" t="s">
        <v>3022</v>
      </c>
      <c r="E223" t="s">
        <v>3023</v>
      </c>
      <c r="F223" t="s">
        <v>1808</v>
      </c>
      <c r="G223" t="s">
        <v>3024</v>
      </c>
      <c r="H223" t="s">
        <v>293</v>
      </c>
    </row>
    <row r="224" spans="1:8" x14ac:dyDescent="0.25">
      <c r="A224" t="s">
        <v>296</v>
      </c>
      <c r="B224" t="s">
        <v>298</v>
      </c>
      <c r="C224" t="s">
        <v>3025</v>
      </c>
      <c r="D224" t="s">
        <v>3026</v>
      </c>
      <c r="E224" t="s">
        <v>3027</v>
      </c>
      <c r="F224" t="s">
        <v>1812</v>
      </c>
      <c r="G224" t="s">
        <v>3028</v>
      </c>
      <c r="H224" t="s">
        <v>297</v>
      </c>
    </row>
    <row r="225" spans="1:8" x14ac:dyDescent="0.25">
      <c r="A225" t="s">
        <v>300</v>
      </c>
      <c r="B225" t="s">
        <v>301</v>
      </c>
      <c r="C225" t="s">
        <v>3029</v>
      </c>
      <c r="D225" t="s">
        <v>3030</v>
      </c>
      <c r="E225" t="s">
        <v>3031</v>
      </c>
      <c r="F225" t="s">
        <v>1978</v>
      </c>
      <c r="G225" t="s">
        <v>3032</v>
      </c>
      <c r="H225" t="s">
        <v>301</v>
      </c>
    </row>
    <row r="226" spans="1:8" x14ac:dyDescent="0.25">
      <c r="A226" t="s">
        <v>303</v>
      </c>
      <c r="B226" t="s">
        <v>304</v>
      </c>
      <c r="G226" t="s">
        <v>3033</v>
      </c>
      <c r="H226" t="s">
        <v>304</v>
      </c>
    </row>
    <row r="227" spans="1:8" x14ac:dyDescent="0.25">
      <c r="A227" t="s">
        <v>306</v>
      </c>
      <c r="B227" t="s">
        <v>307</v>
      </c>
      <c r="G227" t="s">
        <v>3034</v>
      </c>
      <c r="H227" t="s">
        <v>307</v>
      </c>
    </row>
    <row r="228" spans="1:8" x14ac:dyDescent="0.25">
      <c r="A228" t="s">
        <v>309</v>
      </c>
      <c r="B228" t="s">
        <v>310</v>
      </c>
      <c r="C228" t="s">
        <v>3035</v>
      </c>
      <c r="D228" t="s">
        <v>3036</v>
      </c>
      <c r="E228" t="s">
        <v>3037</v>
      </c>
      <c r="F228" t="s">
        <v>2090</v>
      </c>
      <c r="G228" t="s">
        <v>3038</v>
      </c>
      <c r="H228" t="s">
        <v>310</v>
      </c>
    </row>
    <row r="229" spans="1:8" x14ac:dyDescent="0.25">
      <c r="A229" t="s">
        <v>312</v>
      </c>
      <c r="B229" t="s">
        <v>314</v>
      </c>
      <c r="G229" t="s">
        <v>3039</v>
      </c>
      <c r="H229" t="s">
        <v>313</v>
      </c>
    </row>
    <row r="230" spans="1:8" x14ac:dyDescent="0.25">
      <c r="A230" t="s">
        <v>316</v>
      </c>
      <c r="B230" t="s">
        <v>318</v>
      </c>
      <c r="G230" t="s">
        <v>3040</v>
      </c>
      <c r="H230" t="s">
        <v>317</v>
      </c>
    </row>
    <row r="231" spans="1:8" x14ac:dyDescent="0.25">
      <c r="A231" t="s">
        <v>320</v>
      </c>
      <c r="B231" t="s">
        <v>322</v>
      </c>
      <c r="G231" t="s">
        <v>3041</v>
      </c>
      <c r="H231" t="s">
        <v>321</v>
      </c>
    </row>
    <row r="232" spans="1:8" x14ac:dyDescent="0.25">
      <c r="A232" t="s">
        <v>324</v>
      </c>
      <c r="B232" t="s">
        <v>325</v>
      </c>
      <c r="G232" t="s">
        <v>3042</v>
      </c>
      <c r="H232" t="s">
        <v>325</v>
      </c>
    </row>
    <row r="233" spans="1:8" x14ac:dyDescent="0.25">
      <c r="A233" t="s">
        <v>327</v>
      </c>
      <c r="B233" t="s">
        <v>328</v>
      </c>
      <c r="C233" t="s">
        <v>3043</v>
      </c>
      <c r="D233" t="s">
        <v>3044</v>
      </c>
      <c r="E233" t="s">
        <v>3045</v>
      </c>
      <c r="G233" t="s">
        <v>3046</v>
      </c>
      <c r="H233" t="s">
        <v>328</v>
      </c>
    </row>
    <row r="234" spans="1:8" x14ac:dyDescent="0.25">
      <c r="A234" t="s">
        <v>330</v>
      </c>
      <c r="B234" t="s">
        <v>332</v>
      </c>
      <c r="C234" t="s">
        <v>3047</v>
      </c>
      <c r="D234" t="s">
        <v>3048</v>
      </c>
      <c r="E234" t="s">
        <v>3049</v>
      </c>
      <c r="G234" t="s">
        <v>3050</v>
      </c>
      <c r="H234" t="s">
        <v>331</v>
      </c>
    </row>
    <row r="235" spans="1:8" x14ac:dyDescent="0.25">
      <c r="A235" t="s">
        <v>334</v>
      </c>
      <c r="D235" t="s">
        <v>3051</v>
      </c>
      <c r="G235" t="s">
        <v>3052</v>
      </c>
      <c r="H235" t="s">
        <v>335</v>
      </c>
    </row>
    <row r="236" spans="1:8" x14ac:dyDescent="0.25">
      <c r="A236" t="s">
        <v>337</v>
      </c>
      <c r="B236" t="s">
        <v>339</v>
      </c>
      <c r="C236" t="s">
        <v>3053</v>
      </c>
      <c r="D236" t="s">
        <v>3054</v>
      </c>
      <c r="E236" t="s">
        <v>3055</v>
      </c>
      <c r="G236" t="s">
        <v>3056</v>
      </c>
      <c r="H236" t="s">
        <v>338</v>
      </c>
    </row>
    <row r="237" spans="1:8" x14ac:dyDescent="0.25">
      <c r="A237" t="s">
        <v>341</v>
      </c>
      <c r="B237" t="s">
        <v>343</v>
      </c>
      <c r="C237" t="s">
        <v>3057</v>
      </c>
      <c r="D237" t="s">
        <v>3058</v>
      </c>
      <c r="E237" t="s">
        <v>3059</v>
      </c>
      <c r="G237" t="s">
        <v>3060</v>
      </c>
      <c r="H237" t="s">
        <v>342</v>
      </c>
    </row>
    <row r="238" spans="1:8" x14ac:dyDescent="0.25">
      <c r="A238" t="s">
        <v>345</v>
      </c>
      <c r="B238" t="s">
        <v>347</v>
      </c>
      <c r="C238" t="s">
        <v>3061</v>
      </c>
      <c r="D238" t="s">
        <v>3062</v>
      </c>
      <c r="E238" t="s">
        <v>3063</v>
      </c>
      <c r="G238" t="s">
        <v>3064</v>
      </c>
      <c r="H238" t="s">
        <v>346</v>
      </c>
    </row>
    <row r="239" spans="1:8" x14ac:dyDescent="0.25">
      <c r="A239" t="s">
        <v>349</v>
      </c>
      <c r="B239" t="s">
        <v>351</v>
      </c>
      <c r="C239" t="s">
        <v>3065</v>
      </c>
      <c r="D239" t="s">
        <v>3066</v>
      </c>
      <c r="E239" t="s">
        <v>3067</v>
      </c>
      <c r="G239" t="s">
        <v>3068</v>
      </c>
      <c r="H239" t="s">
        <v>350</v>
      </c>
    </row>
    <row r="240" spans="1:8" x14ac:dyDescent="0.25">
      <c r="A240" t="s">
        <v>353</v>
      </c>
      <c r="B240" t="s">
        <v>355</v>
      </c>
      <c r="C240" t="s">
        <v>3069</v>
      </c>
      <c r="D240" t="s">
        <v>3070</v>
      </c>
      <c r="E240" t="s">
        <v>3071</v>
      </c>
      <c r="G240" t="s">
        <v>3072</v>
      </c>
      <c r="H240" t="s">
        <v>354</v>
      </c>
    </row>
    <row r="241" spans="1:8" x14ac:dyDescent="0.25">
      <c r="A241" t="s">
        <v>357</v>
      </c>
      <c r="B241" t="s">
        <v>358</v>
      </c>
      <c r="C241" t="s">
        <v>3073</v>
      </c>
      <c r="D241" t="s">
        <v>3074</v>
      </c>
      <c r="E241" t="s">
        <v>3075</v>
      </c>
      <c r="G241" t="s">
        <v>3076</v>
      </c>
      <c r="H241" t="s">
        <v>358</v>
      </c>
    </row>
    <row r="242" spans="1:8" x14ac:dyDescent="0.25">
      <c r="A242" t="s">
        <v>360</v>
      </c>
      <c r="B242" t="s">
        <v>361</v>
      </c>
      <c r="D242" t="s">
        <v>3077</v>
      </c>
      <c r="F242" t="s">
        <v>3078</v>
      </c>
      <c r="G242" t="s">
        <v>3079</v>
      </c>
      <c r="H242" t="s">
        <v>361</v>
      </c>
    </row>
    <row r="243" spans="1:8" x14ac:dyDescent="0.25">
      <c r="A243" t="s">
        <v>363</v>
      </c>
      <c r="C243" t="s">
        <v>3080</v>
      </c>
      <c r="D243" t="s">
        <v>3081</v>
      </c>
      <c r="G243" t="s">
        <v>3082</v>
      </c>
      <c r="H243" t="s">
        <v>364</v>
      </c>
    </row>
    <row r="244" spans="1:8" x14ac:dyDescent="0.25">
      <c r="A244" t="s">
        <v>366</v>
      </c>
      <c r="B244" t="s">
        <v>368</v>
      </c>
      <c r="C244" t="s">
        <v>3083</v>
      </c>
      <c r="D244" t="s">
        <v>3084</v>
      </c>
      <c r="G244" t="s">
        <v>3085</v>
      </c>
      <c r="H244" t="s">
        <v>367</v>
      </c>
    </row>
    <row r="245" spans="1:8" x14ac:dyDescent="0.25">
      <c r="A245" t="s">
        <v>370</v>
      </c>
      <c r="C245" t="s">
        <v>3086</v>
      </c>
      <c r="D245" t="s">
        <v>3087</v>
      </c>
      <c r="G245" t="s">
        <v>3088</v>
      </c>
      <c r="H245" t="s">
        <v>371</v>
      </c>
    </row>
    <row r="246" spans="1:8" x14ac:dyDescent="0.25">
      <c r="A246" t="s">
        <v>374</v>
      </c>
      <c r="D246" t="s">
        <v>3089</v>
      </c>
      <c r="G246" t="s">
        <v>3090</v>
      </c>
      <c r="H246" t="s">
        <v>375</v>
      </c>
    </row>
    <row r="247" spans="1:8" x14ac:dyDescent="0.25">
      <c r="A247" t="s">
        <v>377</v>
      </c>
      <c r="B247" t="s">
        <v>379</v>
      </c>
      <c r="C247" t="s">
        <v>3091</v>
      </c>
      <c r="D247" t="s">
        <v>3092</v>
      </c>
      <c r="E247" t="s">
        <v>3093</v>
      </c>
      <c r="F247" t="s">
        <v>3094</v>
      </c>
      <c r="G247" t="s">
        <v>3095</v>
      </c>
      <c r="H247" t="s">
        <v>378</v>
      </c>
    </row>
    <row r="248" spans="1:8" x14ac:dyDescent="0.25">
      <c r="A248" t="s">
        <v>381</v>
      </c>
      <c r="B248" t="s">
        <v>382</v>
      </c>
      <c r="C248" t="s">
        <v>3096</v>
      </c>
      <c r="D248" t="s">
        <v>3097</v>
      </c>
      <c r="E248" t="s">
        <v>3098</v>
      </c>
      <c r="F248" t="s">
        <v>3099</v>
      </c>
      <c r="G248" t="s">
        <v>3100</v>
      </c>
      <c r="H248" t="s">
        <v>382</v>
      </c>
    </row>
    <row r="249" spans="1:8" x14ac:dyDescent="0.25">
      <c r="A249" t="s">
        <v>384</v>
      </c>
      <c r="B249" t="s">
        <v>385</v>
      </c>
      <c r="G249" t="s">
        <v>3101</v>
      </c>
      <c r="H249" t="s">
        <v>385</v>
      </c>
    </row>
    <row r="250" spans="1:8" x14ac:dyDescent="0.25">
      <c r="A250" t="s">
        <v>387</v>
      </c>
      <c r="B250" t="s">
        <v>388</v>
      </c>
      <c r="G250" t="s">
        <v>3102</v>
      </c>
      <c r="H250" t="s">
        <v>388</v>
      </c>
    </row>
    <row r="251" spans="1:8" x14ac:dyDescent="0.25">
      <c r="A251" t="s">
        <v>390</v>
      </c>
      <c r="B251" t="s">
        <v>391</v>
      </c>
      <c r="G251" t="s">
        <v>3103</v>
      </c>
      <c r="H251" t="s">
        <v>391</v>
      </c>
    </row>
    <row r="252" spans="1:8" x14ac:dyDescent="0.25">
      <c r="A252" t="s">
        <v>393</v>
      </c>
      <c r="B252" t="s">
        <v>394</v>
      </c>
      <c r="G252" t="s">
        <v>3104</v>
      </c>
      <c r="H252" t="s">
        <v>394</v>
      </c>
    </row>
    <row r="253" spans="1:8" x14ac:dyDescent="0.25">
      <c r="A253" t="s">
        <v>396</v>
      </c>
      <c r="B253" t="s">
        <v>397</v>
      </c>
      <c r="C253" t="s">
        <v>3105</v>
      </c>
      <c r="D253" t="s">
        <v>3106</v>
      </c>
      <c r="E253" t="s">
        <v>3107</v>
      </c>
      <c r="F253" t="s">
        <v>3108</v>
      </c>
      <c r="G253" t="s">
        <v>3109</v>
      </c>
      <c r="H253" t="s">
        <v>397</v>
      </c>
    </row>
    <row r="254" spans="1:8" x14ac:dyDescent="0.25">
      <c r="A254" t="s">
        <v>399</v>
      </c>
      <c r="B254" t="s">
        <v>400</v>
      </c>
      <c r="C254" t="s">
        <v>3110</v>
      </c>
      <c r="D254" t="s">
        <v>3111</v>
      </c>
      <c r="E254" t="s">
        <v>3112</v>
      </c>
      <c r="F254" t="s">
        <v>3113</v>
      </c>
      <c r="G254" t="s">
        <v>3114</v>
      </c>
      <c r="H254" t="s">
        <v>400</v>
      </c>
    </row>
    <row r="255" spans="1:8" x14ac:dyDescent="0.25">
      <c r="A255" t="s">
        <v>402</v>
      </c>
      <c r="B255" t="s">
        <v>403</v>
      </c>
      <c r="G255" t="s">
        <v>3115</v>
      </c>
      <c r="H255" t="s">
        <v>403</v>
      </c>
    </row>
    <row r="256" spans="1:8" x14ac:dyDescent="0.25">
      <c r="A256" t="s">
        <v>405</v>
      </c>
      <c r="B256" t="s">
        <v>406</v>
      </c>
      <c r="C256" t="s">
        <v>3116</v>
      </c>
      <c r="D256" t="s">
        <v>3117</v>
      </c>
      <c r="E256" t="s">
        <v>3118</v>
      </c>
      <c r="F256" t="s">
        <v>3118</v>
      </c>
      <c r="G256" t="s">
        <v>3119</v>
      </c>
      <c r="H256" t="s">
        <v>406</v>
      </c>
    </row>
    <row r="257" spans="1:8" x14ac:dyDescent="0.25">
      <c r="A257" t="s">
        <v>408</v>
      </c>
      <c r="B257" t="s">
        <v>409</v>
      </c>
      <c r="G257" t="s">
        <v>3120</v>
      </c>
      <c r="H257" t="s">
        <v>409</v>
      </c>
    </row>
    <row r="258" spans="1:8" x14ac:dyDescent="0.25">
      <c r="A258" t="s">
        <v>411</v>
      </c>
      <c r="B258" t="s">
        <v>413</v>
      </c>
      <c r="C258" t="s">
        <v>3121</v>
      </c>
      <c r="D258" t="s">
        <v>3122</v>
      </c>
      <c r="E258" t="s">
        <v>3123</v>
      </c>
      <c r="F258" t="s">
        <v>3124</v>
      </c>
      <c r="G258" t="s">
        <v>3125</v>
      </c>
      <c r="H258" t="s">
        <v>412</v>
      </c>
    </row>
    <row r="259" spans="1:8" x14ac:dyDescent="0.25">
      <c r="A259" t="s">
        <v>415</v>
      </c>
      <c r="B259" t="s">
        <v>416</v>
      </c>
      <c r="C259" t="s">
        <v>3126</v>
      </c>
      <c r="D259" t="s">
        <v>3127</v>
      </c>
      <c r="E259" t="s">
        <v>3128</v>
      </c>
      <c r="F259" t="s">
        <v>3129</v>
      </c>
      <c r="G259" t="s">
        <v>3130</v>
      </c>
      <c r="H259" t="s">
        <v>416</v>
      </c>
    </row>
    <row r="260" spans="1:8" x14ac:dyDescent="0.25">
      <c r="A260" t="s">
        <v>418</v>
      </c>
      <c r="B260" t="s">
        <v>420</v>
      </c>
      <c r="C260" t="s">
        <v>3131</v>
      </c>
      <c r="D260" t="s">
        <v>3132</v>
      </c>
      <c r="E260" t="s">
        <v>3133</v>
      </c>
      <c r="F260" t="s">
        <v>3134</v>
      </c>
      <c r="G260" t="s">
        <v>3135</v>
      </c>
      <c r="H260" t="s">
        <v>419</v>
      </c>
    </row>
    <row r="261" spans="1:8" x14ac:dyDescent="0.25">
      <c r="A261" t="s">
        <v>422</v>
      </c>
      <c r="B261" t="s">
        <v>424</v>
      </c>
      <c r="C261" t="s">
        <v>3136</v>
      </c>
      <c r="D261" t="s">
        <v>3137</v>
      </c>
      <c r="E261" t="s">
        <v>3138</v>
      </c>
      <c r="F261" t="s">
        <v>3139</v>
      </c>
      <c r="G261" t="s">
        <v>3140</v>
      </c>
      <c r="H261" t="s">
        <v>423</v>
      </c>
    </row>
    <row r="262" spans="1:8" x14ac:dyDescent="0.25">
      <c r="A262" t="s">
        <v>426</v>
      </c>
      <c r="B262" t="s">
        <v>427</v>
      </c>
      <c r="C262" t="s">
        <v>3141</v>
      </c>
      <c r="D262" t="s">
        <v>3142</v>
      </c>
      <c r="E262" t="s">
        <v>3143</v>
      </c>
      <c r="F262" t="s">
        <v>3144</v>
      </c>
      <c r="G262" t="s">
        <v>3145</v>
      </c>
      <c r="H262" t="s">
        <v>427</v>
      </c>
    </row>
    <row r="263" spans="1:8" x14ac:dyDescent="0.25">
      <c r="A263" t="s">
        <v>429</v>
      </c>
      <c r="B263" t="s">
        <v>431</v>
      </c>
      <c r="C263" t="s">
        <v>3146</v>
      </c>
      <c r="D263" t="s">
        <v>3147</v>
      </c>
      <c r="E263" t="s">
        <v>3148</v>
      </c>
      <c r="F263" t="s">
        <v>3149</v>
      </c>
      <c r="G263" t="s">
        <v>3150</v>
      </c>
      <c r="H263" t="s">
        <v>430</v>
      </c>
    </row>
    <row r="264" spans="1:8" x14ac:dyDescent="0.25">
      <c r="A264" t="s">
        <v>433</v>
      </c>
      <c r="B264" t="s">
        <v>434</v>
      </c>
      <c r="C264" t="s">
        <v>3151</v>
      </c>
      <c r="D264" t="s">
        <v>3152</v>
      </c>
      <c r="E264" t="s">
        <v>3153</v>
      </c>
      <c r="F264" t="s">
        <v>3154</v>
      </c>
      <c r="G264" t="s">
        <v>3155</v>
      </c>
      <c r="H264" t="s">
        <v>434</v>
      </c>
    </row>
    <row r="265" spans="1:8" x14ac:dyDescent="0.25">
      <c r="A265" t="s">
        <v>436</v>
      </c>
      <c r="B265" t="s">
        <v>438</v>
      </c>
      <c r="C265" t="s">
        <v>3156</v>
      </c>
      <c r="D265" t="s">
        <v>3157</v>
      </c>
      <c r="E265" t="s">
        <v>3158</v>
      </c>
      <c r="F265" t="s">
        <v>3158</v>
      </c>
      <c r="G265" t="s">
        <v>3159</v>
      </c>
      <c r="H265" t="s">
        <v>437</v>
      </c>
    </row>
    <row r="266" spans="1:8" x14ac:dyDescent="0.25">
      <c r="A266" t="s">
        <v>440</v>
      </c>
      <c r="B266" t="s">
        <v>442</v>
      </c>
      <c r="G266" t="s">
        <v>3160</v>
      </c>
      <c r="H266" t="s">
        <v>441</v>
      </c>
    </row>
    <row r="267" spans="1:8" x14ac:dyDescent="0.25">
      <c r="A267" t="s">
        <v>444</v>
      </c>
      <c r="B267" t="s">
        <v>445</v>
      </c>
      <c r="G267" t="s">
        <v>3161</v>
      </c>
      <c r="H267" t="s">
        <v>445</v>
      </c>
    </row>
    <row r="268" spans="1:8" x14ac:dyDescent="0.25">
      <c r="A268" t="s">
        <v>447</v>
      </c>
      <c r="B268" t="s">
        <v>448</v>
      </c>
      <c r="C268" t="s">
        <v>3162</v>
      </c>
      <c r="D268" t="s">
        <v>3163</v>
      </c>
      <c r="E268" t="s">
        <v>3164</v>
      </c>
      <c r="F268" t="s">
        <v>3165</v>
      </c>
      <c r="G268" t="s">
        <v>3166</v>
      </c>
      <c r="H268" t="s">
        <v>448</v>
      </c>
    </row>
    <row r="269" spans="1:8" x14ac:dyDescent="0.25">
      <c r="A269" t="s">
        <v>451</v>
      </c>
      <c r="B269" t="s">
        <v>452</v>
      </c>
      <c r="C269" t="s">
        <v>3167</v>
      </c>
      <c r="D269" t="s">
        <v>3168</v>
      </c>
      <c r="E269" t="s">
        <v>3169</v>
      </c>
      <c r="F269" t="s">
        <v>3170</v>
      </c>
      <c r="G269" t="s">
        <v>3171</v>
      </c>
      <c r="H269" t="s">
        <v>452</v>
      </c>
    </row>
    <row r="270" spans="1:8" x14ac:dyDescent="0.25">
      <c r="A270" t="s">
        <v>454</v>
      </c>
      <c r="B270" t="s">
        <v>455</v>
      </c>
      <c r="C270" t="s">
        <v>3172</v>
      </c>
      <c r="D270" t="s">
        <v>3173</v>
      </c>
      <c r="E270" t="s">
        <v>3174</v>
      </c>
      <c r="F270" t="s">
        <v>3175</v>
      </c>
      <c r="G270" t="s">
        <v>3176</v>
      </c>
      <c r="H270" t="s">
        <v>455</v>
      </c>
    </row>
    <row r="271" spans="1:8" x14ac:dyDescent="0.25">
      <c r="A271" t="s">
        <v>458</v>
      </c>
      <c r="B271" t="s">
        <v>459</v>
      </c>
      <c r="C271" t="s">
        <v>3177</v>
      </c>
      <c r="D271" t="s">
        <v>3178</v>
      </c>
      <c r="E271" t="s">
        <v>3179</v>
      </c>
      <c r="F271" t="s">
        <v>3180</v>
      </c>
      <c r="G271" t="s">
        <v>3181</v>
      </c>
      <c r="H271" t="s">
        <v>459</v>
      </c>
    </row>
    <row r="272" spans="1:8" x14ac:dyDescent="0.25">
      <c r="A272" t="s">
        <v>461</v>
      </c>
      <c r="B272" t="s">
        <v>463</v>
      </c>
      <c r="G272" t="s">
        <v>3182</v>
      </c>
      <c r="H272" t="s">
        <v>462</v>
      </c>
    </row>
    <row r="273" spans="1:8" x14ac:dyDescent="0.25">
      <c r="A273" t="s">
        <v>465</v>
      </c>
      <c r="B273" t="s">
        <v>467</v>
      </c>
      <c r="C273" t="s">
        <v>3183</v>
      </c>
      <c r="D273" t="s">
        <v>3184</v>
      </c>
      <c r="E273" t="s">
        <v>3185</v>
      </c>
      <c r="F273" t="s">
        <v>3186</v>
      </c>
      <c r="G273" t="s">
        <v>3187</v>
      </c>
      <c r="H273" t="s">
        <v>466</v>
      </c>
    </row>
    <row r="274" spans="1:8" x14ac:dyDescent="0.25">
      <c r="A274" t="s">
        <v>469</v>
      </c>
      <c r="B274" t="s">
        <v>470</v>
      </c>
      <c r="C274" t="s">
        <v>3188</v>
      </c>
      <c r="D274" t="s">
        <v>3189</v>
      </c>
      <c r="E274" t="s">
        <v>3190</v>
      </c>
      <c r="F274" t="s">
        <v>3191</v>
      </c>
      <c r="G274" t="s">
        <v>3192</v>
      </c>
      <c r="H274" t="s">
        <v>470</v>
      </c>
    </row>
    <row r="275" spans="1:8" x14ac:dyDescent="0.25">
      <c r="A275" t="s">
        <v>474</v>
      </c>
      <c r="B275" t="s">
        <v>476</v>
      </c>
      <c r="C275" t="s">
        <v>3193</v>
      </c>
      <c r="D275" t="s">
        <v>3194</v>
      </c>
      <c r="E275" t="s">
        <v>3195</v>
      </c>
      <c r="F275" t="s">
        <v>3196</v>
      </c>
      <c r="G275" t="s">
        <v>3197</v>
      </c>
      <c r="H275" t="s">
        <v>475</v>
      </c>
    </row>
    <row r="276" spans="1:8" x14ac:dyDescent="0.25">
      <c r="A276" t="s">
        <v>482</v>
      </c>
      <c r="B276" t="s">
        <v>483</v>
      </c>
      <c r="C276" t="s">
        <v>3198</v>
      </c>
      <c r="D276" t="s">
        <v>3199</v>
      </c>
      <c r="E276" t="s">
        <v>3200</v>
      </c>
      <c r="F276" t="s">
        <v>3201</v>
      </c>
      <c r="G276" t="s">
        <v>3202</v>
      </c>
      <c r="H276" t="s">
        <v>483</v>
      </c>
    </row>
    <row r="277" spans="1:8" x14ac:dyDescent="0.25">
      <c r="A277" t="s">
        <v>485</v>
      </c>
      <c r="B277" t="s">
        <v>487</v>
      </c>
      <c r="C277" t="s">
        <v>3203</v>
      </c>
      <c r="D277" t="s">
        <v>3204</v>
      </c>
      <c r="E277" t="s">
        <v>3205</v>
      </c>
      <c r="F277" t="s">
        <v>3206</v>
      </c>
      <c r="G277" t="s">
        <v>3207</v>
      </c>
      <c r="H277" t="s">
        <v>486</v>
      </c>
    </row>
    <row r="278" spans="1:8" x14ac:dyDescent="0.25">
      <c r="A278" t="s">
        <v>489</v>
      </c>
      <c r="B278" t="s">
        <v>491</v>
      </c>
      <c r="C278" t="s">
        <v>3208</v>
      </c>
      <c r="D278" t="s">
        <v>3209</v>
      </c>
      <c r="E278" t="s">
        <v>3210</v>
      </c>
      <c r="F278" t="s">
        <v>3211</v>
      </c>
      <c r="G278" t="s">
        <v>3212</v>
      </c>
      <c r="H278" t="s">
        <v>490</v>
      </c>
    </row>
    <row r="279" spans="1:8" x14ac:dyDescent="0.25">
      <c r="A279" t="s">
        <v>493</v>
      </c>
      <c r="B279" t="s">
        <v>494</v>
      </c>
      <c r="C279" t="s">
        <v>3213</v>
      </c>
      <c r="D279" t="s">
        <v>3214</v>
      </c>
      <c r="E279" t="s">
        <v>3215</v>
      </c>
      <c r="F279" t="s">
        <v>3216</v>
      </c>
      <c r="G279" t="s">
        <v>3217</v>
      </c>
      <c r="H279" t="s">
        <v>494</v>
      </c>
    </row>
    <row r="280" spans="1:8" x14ac:dyDescent="0.25">
      <c r="A280" t="s">
        <v>499</v>
      </c>
      <c r="B280" t="s">
        <v>501</v>
      </c>
      <c r="C280" t="s">
        <v>3218</v>
      </c>
      <c r="D280" t="s">
        <v>3219</v>
      </c>
      <c r="E280" t="s">
        <v>3220</v>
      </c>
      <c r="G280" t="s">
        <v>3221</v>
      </c>
      <c r="H280" t="s">
        <v>500</v>
      </c>
    </row>
    <row r="281" spans="1:8" x14ac:dyDescent="0.25">
      <c r="A281" t="s">
        <v>507</v>
      </c>
      <c r="B281" t="s">
        <v>508</v>
      </c>
      <c r="G281" t="s">
        <v>3222</v>
      </c>
      <c r="H281" t="s">
        <v>508</v>
      </c>
    </row>
    <row r="282" spans="1:8" x14ac:dyDescent="0.25">
      <c r="A282" t="s">
        <v>510</v>
      </c>
      <c r="B282" t="s">
        <v>511</v>
      </c>
      <c r="G282" t="s">
        <v>3223</v>
      </c>
      <c r="H282" t="s">
        <v>511</v>
      </c>
    </row>
    <row r="283" spans="1:8" x14ac:dyDescent="0.25">
      <c r="A283" t="s">
        <v>513</v>
      </c>
      <c r="B283" t="s">
        <v>514</v>
      </c>
      <c r="C283" t="s">
        <v>3224</v>
      </c>
      <c r="D283" t="s">
        <v>3225</v>
      </c>
      <c r="E283" t="s">
        <v>3226</v>
      </c>
      <c r="F283" t="s">
        <v>3227</v>
      </c>
      <c r="G283" t="s">
        <v>3228</v>
      </c>
      <c r="H283" t="s">
        <v>514</v>
      </c>
    </row>
    <row r="284" spans="1:8" x14ac:dyDescent="0.25">
      <c r="A284" t="s">
        <v>516</v>
      </c>
      <c r="B284" t="s">
        <v>518</v>
      </c>
      <c r="G284" t="s">
        <v>3229</v>
      </c>
      <c r="H284" t="s">
        <v>517</v>
      </c>
    </row>
    <row r="285" spans="1:8" x14ac:dyDescent="0.25">
      <c r="A285" t="s">
        <v>520</v>
      </c>
      <c r="B285" t="s">
        <v>521</v>
      </c>
      <c r="C285" t="s">
        <v>3230</v>
      </c>
      <c r="D285" t="s">
        <v>3231</v>
      </c>
      <c r="E285" t="s">
        <v>3232</v>
      </c>
      <c r="F285" t="s">
        <v>3233</v>
      </c>
      <c r="G285" t="s">
        <v>3234</v>
      </c>
      <c r="H285" t="s">
        <v>521</v>
      </c>
    </row>
    <row r="286" spans="1:8" x14ac:dyDescent="0.25">
      <c r="A286" t="s">
        <v>523</v>
      </c>
      <c r="B286" t="s">
        <v>524</v>
      </c>
      <c r="G286" t="s">
        <v>3235</v>
      </c>
      <c r="H286" t="s">
        <v>524</v>
      </c>
    </row>
    <row r="287" spans="1:8" x14ac:dyDescent="0.25">
      <c r="A287" t="s">
        <v>527</v>
      </c>
      <c r="B287" t="s">
        <v>529</v>
      </c>
      <c r="G287" t="s">
        <v>3236</v>
      </c>
      <c r="H287" t="s">
        <v>528</v>
      </c>
    </row>
    <row r="288" spans="1:8" x14ac:dyDescent="0.25">
      <c r="A288" t="s">
        <v>531</v>
      </c>
      <c r="B288" t="s">
        <v>532</v>
      </c>
      <c r="C288" t="s">
        <v>3230</v>
      </c>
      <c r="D288" t="s">
        <v>3237</v>
      </c>
      <c r="E288" t="s">
        <v>3238</v>
      </c>
      <c r="F288" t="s">
        <v>3238</v>
      </c>
      <c r="G288" t="s">
        <v>3239</v>
      </c>
      <c r="H288" t="s">
        <v>532</v>
      </c>
    </row>
    <row r="289" spans="1:8" x14ac:dyDescent="0.25">
      <c r="A289" t="s">
        <v>534</v>
      </c>
      <c r="B289" t="s">
        <v>536</v>
      </c>
      <c r="G289" t="s">
        <v>3240</v>
      </c>
      <c r="H289" t="s">
        <v>535</v>
      </c>
    </row>
    <row r="290" spans="1:8" x14ac:dyDescent="0.25">
      <c r="A290" t="s">
        <v>538</v>
      </c>
      <c r="B290" t="s">
        <v>540</v>
      </c>
      <c r="G290" t="s">
        <v>3241</v>
      </c>
      <c r="H290" t="s">
        <v>539</v>
      </c>
    </row>
    <row r="291" spans="1:8" x14ac:dyDescent="0.25">
      <c r="A291" t="s">
        <v>542</v>
      </c>
      <c r="B291" t="s">
        <v>543</v>
      </c>
      <c r="C291" t="s">
        <v>3242</v>
      </c>
      <c r="D291" t="s">
        <v>3243</v>
      </c>
      <c r="E291" t="s">
        <v>3244</v>
      </c>
      <c r="F291" t="s">
        <v>3245</v>
      </c>
      <c r="G291" t="s">
        <v>3246</v>
      </c>
      <c r="H291" t="s">
        <v>543</v>
      </c>
    </row>
    <row r="292" spans="1:8" x14ac:dyDescent="0.25">
      <c r="A292" t="s">
        <v>545</v>
      </c>
      <c r="B292" t="s">
        <v>546</v>
      </c>
      <c r="C292" t="s">
        <v>3247</v>
      </c>
      <c r="D292" t="s">
        <v>3248</v>
      </c>
      <c r="E292" t="s">
        <v>3249</v>
      </c>
      <c r="F292" t="s">
        <v>3250</v>
      </c>
      <c r="G292" t="s">
        <v>3251</v>
      </c>
      <c r="H292" t="s">
        <v>546</v>
      </c>
    </row>
    <row r="293" spans="1:8" x14ac:dyDescent="0.25">
      <c r="A293" t="s">
        <v>548</v>
      </c>
      <c r="B293" t="s">
        <v>550</v>
      </c>
      <c r="C293" t="s">
        <v>3252</v>
      </c>
      <c r="D293" t="s">
        <v>3253</v>
      </c>
      <c r="E293" t="s">
        <v>3254</v>
      </c>
      <c r="F293" t="s">
        <v>3255</v>
      </c>
      <c r="G293" t="s">
        <v>3256</v>
      </c>
      <c r="H293" t="s">
        <v>549</v>
      </c>
    </row>
    <row r="294" spans="1:8" x14ac:dyDescent="0.25">
      <c r="A294" t="s">
        <v>552</v>
      </c>
      <c r="B294" t="s">
        <v>553</v>
      </c>
      <c r="G294" t="s">
        <v>3257</v>
      </c>
      <c r="H294" t="s">
        <v>553</v>
      </c>
    </row>
    <row r="295" spans="1:8" x14ac:dyDescent="0.25">
      <c r="A295" t="s">
        <v>555</v>
      </c>
      <c r="B295" t="s">
        <v>556</v>
      </c>
      <c r="G295" t="s">
        <v>3258</v>
      </c>
      <c r="H295" t="s">
        <v>556</v>
      </c>
    </row>
    <row r="296" spans="1:8" x14ac:dyDescent="0.25">
      <c r="A296" t="s">
        <v>558</v>
      </c>
      <c r="B296" t="s">
        <v>559</v>
      </c>
      <c r="G296" t="s">
        <v>3259</v>
      </c>
      <c r="H296" t="s">
        <v>559</v>
      </c>
    </row>
    <row r="297" spans="1:8" x14ac:dyDescent="0.25">
      <c r="A297" t="s">
        <v>561</v>
      </c>
      <c r="B297" t="s">
        <v>562</v>
      </c>
      <c r="C297" t="s">
        <v>3260</v>
      </c>
      <c r="D297" t="s">
        <v>3261</v>
      </c>
      <c r="E297" t="s">
        <v>3262</v>
      </c>
      <c r="F297" t="s">
        <v>3263</v>
      </c>
      <c r="G297" t="s">
        <v>3264</v>
      </c>
      <c r="H297" t="s">
        <v>562</v>
      </c>
    </row>
    <row r="298" spans="1:8" x14ac:dyDescent="0.25">
      <c r="A298" t="s">
        <v>564</v>
      </c>
      <c r="B298" t="s">
        <v>565</v>
      </c>
      <c r="C298" t="s">
        <v>3265</v>
      </c>
      <c r="D298" t="s">
        <v>3266</v>
      </c>
      <c r="E298" t="s">
        <v>3267</v>
      </c>
      <c r="F298" t="s">
        <v>3268</v>
      </c>
      <c r="G298" t="s">
        <v>3269</v>
      </c>
      <c r="H298" t="s">
        <v>565</v>
      </c>
    </row>
    <row r="299" spans="1:8" x14ac:dyDescent="0.25">
      <c r="A299" t="s">
        <v>567</v>
      </c>
      <c r="B299" t="s">
        <v>568</v>
      </c>
      <c r="G299" t="s">
        <v>3270</v>
      </c>
      <c r="H299" t="s">
        <v>568</v>
      </c>
    </row>
    <row r="300" spans="1:8" x14ac:dyDescent="0.25">
      <c r="A300" t="s">
        <v>570</v>
      </c>
      <c r="B300" t="s">
        <v>571</v>
      </c>
      <c r="C300" t="s">
        <v>3271</v>
      </c>
      <c r="D300" t="s">
        <v>3272</v>
      </c>
      <c r="E300" t="s">
        <v>3273</v>
      </c>
      <c r="F300" t="s">
        <v>3274</v>
      </c>
      <c r="G300" t="s">
        <v>3275</v>
      </c>
      <c r="H300" t="s">
        <v>571</v>
      </c>
    </row>
    <row r="301" spans="1:8" x14ac:dyDescent="0.25">
      <c r="A301" t="s">
        <v>573</v>
      </c>
      <c r="B301" t="s">
        <v>574</v>
      </c>
      <c r="C301" t="s">
        <v>3276</v>
      </c>
      <c r="D301" t="s">
        <v>3277</v>
      </c>
      <c r="E301" t="s">
        <v>3278</v>
      </c>
      <c r="F301" t="s">
        <v>3278</v>
      </c>
      <c r="G301" t="s">
        <v>3279</v>
      </c>
      <c r="H301" t="s">
        <v>574</v>
      </c>
    </row>
    <row r="302" spans="1:8" x14ac:dyDescent="0.25">
      <c r="A302" t="s">
        <v>576</v>
      </c>
      <c r="B302" t="s">
        <v>577</v>
      </c>
      <c r="C302" t="s">
        <v>3280</v>
      </c>
      <c r="D302" t="s">
        <v>3281</v>
      </c>
      <c r="E302" t="s">
        <v>3282</v>
      </c>
      <c r="F302" t="s">
        <v>3283</v>
      </c>
      <c r="G302" t="s">
        <v>3284</v>
      </c>
      <c r="H302" t="s">
        <v>577</v>
      </c>
    </row>
    <row r="303" spans="1:8" x14ac:dyDescent="0.25">
      <c r="A303" t="s">
        <v>579</v>
      </c>
      <c r="B303" t="s">
        <v>581</v>
      </c>
      <c r="C303" t="s">
        <v>3285</v>
      </c>
      <c r="D303" t="s">
        <v>3286</v>
      </c>
      <c r="E303" t="s">
        <v>3287</v>
      </c>
      <c r="F303" t="s">
        <v>3288</v>
      </c>
      <c r="G303" t="s">
        <v>3289</v>
      </c>
      <c r="H303" t="s">
        <v>580</v>
      </c>
    </row>
    <row r="304" spans="1:8" x14ac:dyDescent="0.25">
      <c r="A304" t="s">
        <v>583</v>
      </c>
      <c r="B304" t="s">
        <v>585</v>
      </c>
      <c r="C304" t="s">
        <v>3290</v>
      </c>
      <c r="D304" t="s">
        <v>3272</v>
      </c>
      <c r="E304" t="s">
        <v>3291</v>
      </c>
      <c r="F304" t="s">
        <v>3292</v>
      </c>
      <c r="G304" t="s">
        <v>3293</v>
      </c>
      <c r="H304" t="s">
        <v>584</v>
      </c>
    </row>
    <row r="305" spans="1:8" x14ac:dyDescent="0.25">
      <c r="A305" t="s">
        <v>587</v>
      </c>
      <c r="B305" t="s">
        <v>588</v>
      </c>
      <c r="C305" t="s">
        <v>3294</v>
      </c>
      <c r="D305" t="s">
        <v>3295</v>
      </c>
      <c r="G305" t="s">
        <v>3296</v>
      </c>
      <c r="H305" t="s">
        <v>588</v>
      </c>
    </row>
    <row r="306" spans="1:8" x14ac:dyDescent="0.25">
      <c r="A306" t="s">
        <v>590</v>
      </c>
      <c r="B306" t="s">
        <v>591</v>
      </c>
      <c r="D306" t="s">
        <v>3297</v>
      </c>
      <c r="G306" t="s">
        <v>3298</v>
      </c>
      <c r="H306" t="s">
        <v>591</v>
      </c>
    </row>
    <row r="307" spans="1:8" x14ac:dyDescent="0.25">
      <c r="A307" t="s">
        <v>593</v>
      </c>
      <c r="B307" t="s">
        <v>594</v>
      </c>
      <c r="D307" t="s">
        <v>3299</v>
      </c>
      <c r="G307" t="s">
        <v>3300</v>
      </c>
      <c r="H307" t="s">
        <v>594</v>
      </c>
    </row>
    <row r="308" spans="1:8" x14ac:dyDescent="0.25">
      <c r="A308" t="s">
        <v>596</v>
      </c>
      <c r="B308" t="s">
        <v>597</v>
      </c>
      <c r="C308" t="s">
        <v>3301</v>
      </c>
      <c r="D308" t="s">
        <v>3302</v>
      </c>
      <c r="G308" t="s">
        <v>3303</v>
      </c>
      <c r="H308" t="s">
        <v>597</v>
      </c>
    </row>
    <row r="309" spans="1:8" x14ac:dyDescent="0.25">
      <c r="A309" t="s">
        <v>599</v>
      </c>
      <c r="B309" t="s">
        <v>601</v>
      </c>
      <c r="D309" t="s">
        <v>3304</v>
      </c>
      <c r="E309" t="s">
        <v>3305</v>
      </c>
      <c r="G309" t="s">
        <v>3306</v>
      </c>
      <c r="H309" t="s">
        <v>600</v>
      </c>
    </row>
    <row r="310" spans="1:8" x14ac:dyDescent="0.25">
      <c r="A310" t="s">
        <v>603</v>
      </c>
      <c r="B310" t="s">
        <v>604</v>
      </c>
      <c r="C310" t="s">
        <v>3307</v>
      </c>
      <c r="D310" t="s">
        <v>3308</v>
      </c>
      <c r="E310" t="s">
        <v>3309</v>
      </c>
      <c r="G310" t="s">
        <v>3310</v>
      </c>
      <c r="H310" t="s">
        <v>604</v>
      </c>
    </row>
    <row r="311" spans="1:8" x14ac:dyDescent="0.25">
      <c r="A311" t="s">
        <v>606</v>
      </c>
      <c r="B311" t="s">
        <v>607</v>
      </c>
      <c r="C311" t="s">
        <v>3311</v>
      </c>
      <c r="D311" t="s">
        <v>3312</v>
      </c>
      <c r="G311" t="s">
        <v>3313</v>
      </c>
      <c r="H311" t="s">
        <v>607</v>
      </c>
    </row>
    <row r="312" spans="1:8" x14ac:dyDescent="0.25">
      <c r="A312" t="s">
        <v>609</v>
      </c>
      <c r="B312" t="s">
        <v>610</v>
      </c>
      <c r="D312" t="s">
        <v>3314</v>
      </c>
      <c r="G312" t="s">
        <v>3315</v>
      </c>
      <c r="H312" t="s">
        <v>610</v>
      </c>
    </row>
    <row r="313" spans="1:8" x14ac:dyDescent="0.25">
      <c r="A313" t="s">
        <v>612</v>
      </c>
      <c r="B313" t="s">
        <v>613</v>
      </c>
      <c r="D313" t="s">
        <v>3316</v>
      </c>
      <c r="G313" t="s">
        <v>3317</v>
      </c>
      <c r="H313" t="s">
        <v>613</v>
      </c>
    </row>
    <row r="314" spans="1:8" x14ac:dyDescent="0.25">
      <c r="A314" t="s">
        <v>615</v>
      </c>
      <c r="B314" t="s">
        <v>616</v>
      </c>
      <c r="C314" t="s">
        <v>3318</v>
      </c>
      <c r="D314" t="s">
        <v>3319</v>
      </c>
      <c r="G314" t="s">
        <v>3320</v>
      </c>
      <c r="H314" t="s">
        <v>616</v>
      </c>
    </row>
    <row r="315" spans="1:8" x14ac:dyDescent="0.25">
      <c r="A315" t="s">
        <v>618</v>
      </c>
      <c r="B315" t="s">
        <v>619</v>
      </c>
      <c r="D315" t="s">
        <v>3321</v>
      </c>
      <c r="G315" t="s">
        <v>3322</v>
      </c>
      <c r="H315" t="s">
        <v>619</v>
      </c>
    </row>
    <row r="316" spans="1:8" x14ac:dyDescent="0.25">
      <c r="A316" t="s">
        <v>621</v>
      </c>
      <c r="B316" t="s">
        <v>622</v>
      </c>
      <c r="C316" t="s">
        <v>3323</v>
      </c>
      <c r="D316" t="s">
        <v>3324</v>
      </c>
      <c r="G316" t="s">
        <v>3325</v>
      </c>
      <c r="H316" t="s">
        <v>622</v>
      </c>
    </row>
    <row r="317" spans="1:8" x14ac:dyDescent="0.25">
      <c r="A317" t="s">
        <v>624</v>
      </c>
      <c r="B317" t="s">
        <v>625</v>
      </c>
      <c r="C317" t="s">
        <v>3326</v>
      </c>
      <c r="D317" t="s">
        <v>3327</v>
      </c>
      <c r="G317" t="s">
        <v>3328</v>
      </c>
      <c r="H317" t="s">
        <v>625</v>
      </c>
    </row>
    <row r="318" spans="1:8" x14ac:dyDescent="0.25">
      <c r="A318" t="s">
        <v>627</v>
      </c>
      <c r="B318" t="s">
        <v>628</v>
      </c>
      <c r="D318" t="s">
        <v>3329</v>
      </c>
      <c r="G318" t="s">
        <v>3330</v>
      </c>
      <c r="H318" t="s">
        <v>628</v>
      </c>
    </row>
    <row r="319" spans="1:8" x14ac:dyDescent="0.25">
      <c r="A319" t="s">
        <v>630</v>
      </c>
      <c r="B319" t="s">
        <v>632</v>
      </c>
      <c r="C319" t="s">
        <v>3331</v>
      </c>
      <c r="D319" t="s">
        <v>3332</v>
      </c>
      <c r="E319" t="s">
        <v>3333</v>
      </c>
      <c r="F319" t="s">
        <v>3334</v>
      </c>
      <c r="G319" t="s">
        <v>3335</v>
      </c>
      <c r="H319" t="s">
        <v>631</v>
      </c>
    </row>
    <row r="320" spans="1:8" x14ac:dyDescent="0.25">
      <c r="A320" t="s">
        <v>634</v>
      </c>
      <c r="B320" t="s">
        <v>635</v>
      </c>
      <c r="G320" t="s">
        <v>3336</v>
      </c>
      <c r="H320" t="s">
        <v>635</v>
      </c>
    </row>
    <row r="321" spans="1:8" x14ac:dyDescent="0.25">
      <c r="A321" t="s">
        <v>639</v>
      </c>
      <c r="B321" t="s">
        <v>640</v>
      </c>
      <c r="G321" t="s">
        <v>3337</v>
      </c>
      <c r="H321" t="s">
        <v>640</v>
      </c>
    </row>
    <row r="322" spans="1:8" x14ac:dyDescent="0.25">
      <c r="A322" t="s">
        <v>642</v>
      </c>
      <c r="B322" t="s">
        <v>643</v>
      </c>
      <c r="G322" t="s">
        <v>3338</v>
      </c>
      <c r="H322" t="s">
        <v>643</v>
      </c>
    </row>
    <row r="323" spans="1:8" x14ac:dyDescent="0.25">
      <c r="A323" t="s">
        <v>645</v>
      </c>
      <c r="B323" t="s">
        <v>646</v>
      </c>
      <c r="G323" t="s">
        <v>3339</v>
      </c>
      <c r="H323" t="s">
        <v>646</v>
      </c>
    </row>
    <row r="324" spans="1:8" x14ac:dyDescent="0.25">
      <c r="A324" t="s">
        <v>648</v>
      </c>
      <c r="B324" t="s">
        <v>649</v>
      </c>
      <c r="D324" t="s">
        <v>3340</v>
      </c>
      <c r="G324" t="s">
        <v>3341</v>
      </c>
      <c r="H324" t="s">
        <v>649</v>
      </c>
    </row>
    <row r="325" spans="1:8" x14ac:dyDescent="0.25">
      <c r="A325" t="s">
        <v>652</v>
      </c>
      <c r="B325" t="s">
        <v>653</v>
      </c>
      <c r="D325" t="s">
        <v>3340</v>
      </c>
      <c r="G325" t="s">
        <v>3342</v>
      </c>
      <c r="H325" t="s">
        <v>653</v>
      </c>
    </row>
    <row r="326" spans="1:8" x14ac:dyDescent="0.25">
      <c r="A326" t="s">
        <v>655</v>
      </c>
      <c r="B326" t="s">
        <v>656</v>
      </c>
      <c r="D326" t="s">
        <v>3343</v>
      </c>
      <c r="G326" t="s">
        <v>3344</v>
      </c>
      <c r="H326" t="s">
        <v>656</v>
      </c>
    </row>
    <row r="327" spans="1:8" x14ac:dyDescent="0.25">
      <c r="A327" t="s">
        <v>659</v>
      </c>
      <c r="B327" t="s">
        <v>660</v>
      </c>
      <c r="D327" t="s">
        <v>3345</v>
      </c>
      <c r="G327" t="s">
        <v>3346</v>
      </c>
      <c r="H327" t="s">
        <v>660</v>
      </c>
    </row>
    <row r="328" spans="1:8" x14ac:dyDescent="0.25">
      <c r="A328" t="s">
        <v>662</v>
      </c>
      <c r="C328" t="s">
        <v>3347</v>
      </c>
      <c r="D328" t="s">
        <v>3347</v>
      </c>
      <c r="E328" t="s">
        <v>3348</v>
      </c>
      <c r="F328" t="s">
        <v>3349</v>
      </c>
      <c r="G328" t="s">
        <v>3350</v>
      </c>
      <c r="H328" t="s">
        <v>663</v>
      </c>
    </row>
    <row r="329" spans="1:8" x14ac:dyDescent="0.25">
      <c r="A329" t="s">
        <v>665</v>
      </c>
      <c r="C329" t="s">
        <v>3351</v>
      </c>
      <c r="D329" t="s">
        <v>3347</v>
      </c>
      <c r="E329" t="s">
        <v>3352</v>
      </c>
      <c r="F329" t="s">
        <v>3349</v>
      </c>
      <c r="G329" t="s">
        <v>3353</v>
      </c>
      <c r="H329" t="s">
        <v>666</v>
      </c>
    </row>
    <row r="330" spans="1:8" x14ac:dyDescent="0.25">
      <c r="A330" t="s">
        <v>668</v>
      </c>
      <c r="B330" t="s">
        <v>670</v>
      </c>
      <c r="C330" t="s">
        <v>3347</v>
      </c>
      <c r="D330" t="s">
        <v>3354</v>
      </c>
      <c r="E330" t="s">
        <v>3355</v>
      </c>
      <c r="F330" t="s">
        <v>3356</v>
      </c>
      <c r="G330" t="s">
        <v>3357</v>
      </c>
      <c r="H330" t="s">
        <v>669</v>
      </c>
    </row>
    <row r="331" spans="1:8" x14ac:dyDescent="0.25">
      <c r="A331" t="s">
        <v>672</v>
      </c>
      <c r="C331" t="s">
        <v>3358</v>
      </c>
      <c r="D331" t="s">
        <v>3347</v>
      </c>
      <c r="E331" t="s">
        <v>3359</v>
      </c>
      <c r="F331" t="s">
        <v>3360</v>
      </c>
      <c r="G331" t="s">
        <v>3361</v>
      </c>
      <c r="H331" t="s">
        <v>673</v>
      </c>
    </row>
    <row r="332" spans="1:8" x14ac:dyDescent="0.25">
      <c r="A332" t="s">
        <v>675</v>
      </c>
      <c r="C332" t="s">
        <v>3347</v>
      </c>
      <c r="D332" t="s">
        <v>3347</v>
      </c>
      <c r="E332" t="s">
        <v>3362</v>
      </c>
      <c r="F332" t="s">
        <v>3360</v>
      </c>
      <c r="G332" t="s">
        <v>3363</v>
      </c>
      <c r="H332" t="s">
        <v>676</v>
      </c>
    </row>
    <row r="333" spans="1:8" x14ac:dyDescent="0.25">
      <c r="A333" t="s">
        <v>678</v>
      </c>
      <c r="C333" t="s">
        <v>3347</v>
      </c>
      <c r="D333" t="s">
        <v>3347</v>
      </c>
      <c r="E333" t="s">
        <v>3364</v>
      </c>
      <c r="F333" t="s">
        <v>3356</v>
      </c>
      <c r="G333" t="s">
        <v>3365</v>
      </c>
      <c r="H333" t="s">
        <v>679</v>
      </c>
    </row>
    <row r="334" spans="1:8" x14ac:dyDescent="0.25">
      <c r="A334" t="s">
        <v>681</v>
      </c>
      <c r="C334" t="s">
        <v>3366</v>
      </c>
      <c r="D334" t="s">
        <v>3347</v>
      </c>
      <c r="E334" t="s">
        <v>3367</v>
      </c>
      <c r="F334" t="s">
        <v>3349</v>
      </c>
      <c r="G334" t="s">
        <v>3368</v>
      </c>
      <c r="H334" t="s">
        <v>682</v>
      </c>
    </row>
    <row r="335" spans="1:8" x14ac:dyDescent="0.25">
      <c r="A335" t="s">
        <v>685</v>
      </c>
      <c r="C335" t="s">
        <v>3369</v>
      </c>
      <c r="D335" t="s">
        <v>3370</v>
      </c>
      <c r="E335" t="s">
        <v>3371</v>
      </c>
      <c r="F335" t="s">
        <v>3372</v>
      </c>
      <c r="G335" t="s">
        <v>3373</v>
      </c>
      <c r="H335" t="s">
        <v>646</v>
      </c>
    </row>
    <row r="336" spans="1:8" x14ac:dyDescent="0.25">
      <c r="A336" t="s">
        <v>687</v>
      </c>
      <c r="B336" t="s">
        <v>689</v>
      </c>
      <c r="C336" t="s">
        <v>3374</v>
      </c>
      <c r="D336" t="s">
        <v>3375</v>
      </c>
      <c r="E336" t="s">
        <v>3376</v>
      </c>
      <c r="F336" t="s">
        <v>3377</v>
      </c>
      <c r="G336" t="s">
        <v>3378</v>
      </c>
      <c r="H336" t="s">
        <v>688</v>
      </c>
    </row>
    <row r="337" spans="1:8" x14ac:dyDescent="0.25">
      <c r="A337" t="s">
        <v>691</v>
      </c>
      <c r="C337" t="s">
        <v>3379</v>
      </c>
      <c r="D337" t="s">
        <v>3347</v>
      </c>
      <c r="E337" t="s">
        <v>3380</v>
      </c>
      <c r="F337" t="s">
        <v>3360</v>
      </c>
      <c r="G337" t="s">
        <v>3381</v>
      </c>
      <c r="H337" t="s">
        <v>692</v>
      </c>
    </row>
    <row r="338" spans="1:8" x14ac:dyDescent="0.25">
      <c r="A338" t="s">
        <v>695</v>
      </c>
      <c r="C338" t="s">
        <v>3347</v>
      </c>
      <c r="D338" t="s">
        <v>3347</v>
      </c>
      <c r="E338" t="s">
        <v>3382</v>
      </c>
      <c r="F338" t="s">
        <v>3349</v>
      </c>
      <c r="G338" t="s">
        <v>3383</v>
      </c>
      <c r="H338" t="s">
        <v>696</v>
      </c>
    </row>
    <row r="339" spans="1:8" x14ac:dyDescent="0.25">
      <c r="A339" t="s">
        <v>698</v>
      </c>
      <c r="C339" t="s">
        <v>3347</v>
      </c>
      <c r="D339" t="s">
        <v>3347</v>
      </c>
      <c r="E339" t="s">
        <v>3382</v>
      </c>
      <c r="F339" t="s">
        <v>3349</v>
      </c>
      <c r="G339" t="s">
        <v>3384</v>
      </c>
      <c r="H339" t="s">
        <v>699</v>
      </c>
    </row>
    <row r="340" spans="1:8" x14ac:dyDescent="0.25">
      <c r="A340" t="s">
        <v>701</v>
      </c>
      <c r="C340" t="s">
        <v>3347</v>
      </c>
      <c r="D340" t="s">
        <v>3347</v>
      </c>
      <c r="E340" t="s">
        <v>3385</v>
      </c>
      <c r="F340" t="s">
        <v>3386</v>
      </c>
      <c r="G340" t="s">
        <v>3387</v>
      </c>
      <c r="H340" t="s">
        <v>702</v>
      </c>
    </row>
    <row r="341" spans="1:8" x14ac:dyDescent="0.25">
      <c r="A341" t="s">
        <v>704</v>
      </c>
      <c r="C341" t="s">
        <v>3347</v>
      </c>
      <c r="D341" t="s">
        <v>3347</v>
      </c>
      <c r="E341" t="s">
        <v>3388</v>
      </c>
      <c r="F341" t="s">
        <v>3360</v>
      </c>
      <c r="G341" t="s">
        <v>3389</v>
      </c>
      <c r="H341" t="s">
        <v>705</v>
      </c>
    </row>
    <row r="342" spans="1:8" x14ac:dyDescent="0.25">
      <c r="A342" t="s">
        <v>708</v>
      </c>
      <c r="C342" t="s">
        <v>3347</v>
      </c>
      <c r="D342" t="s">
        <v>3347</v>
      </c>
      <c r="E342" t="s">
        <v>3390</v>
      </c>
      <c r="F342" t="s">
        <v>3349</v>
      </c>
      <c r="G342" t="s">
        <v>3391</v>
      </c>
      <c r="H342" t="s">
        <v>709</v>
      </c>
    </row>
    <row r="343" spans="1:8" x14ac:dyDescent="0.25">
      <c r="A343" t="s">
        <v>711</v>
      </c>
      <c r="C343" t="s">
        <v>3392</v>
      </c>
      <c r="D343" t="s">
        <v>3347</v>
      </c>
      <c r="E343" t="s">
        <v>3393</v>
      </c>
      <c r="F343" t="s">
        <v>3394</v>
      </c>
      <c r="G343" t="s">
        <v>3395</v>
      </c>
      <c r="H343" t="s">
        <v>712</v>
      </c>
    </row>
    <row r="344" spans="1:8" x14ac:dyDescent="0.25">
      <c r="A344" t="s">
        <v>714</v>
      </c>
      <c r="C344" t="s">
        <v>3347</v>
      </c>
      <c r="D344" t="s">
        <v>3347</v>
      </c>
      <c r="E344" t="s">
        <v>3396</v>
      </c>
      <c r="F344" t="s">
        <v>3397</v>
      </c>
      <c r="G344" t="s">
        <v>3398</v>
      </c>
      <c r="H344" t="s">
        <v>715</v>
      </c>
    </row>
    <row r="345" spans="1:8" x14ac:dyDescent="0.25">
      <c r="A345" t="s">
        <v>718</v>
      </c>
      <c r="C345" t="s">
        <v>3347</v>
      </c>
      <c r="D345" t="s">
        <v>3347</v>
      </c>
      <c r="E345" t="s">
        <v>3399</v>
      </c>
      <c r="F345" t="s">
        <v>3349</v>
      </c>
      <c r="G345" t="s">
        <v>3400</v>
      </c>
      <c r="H345" t="s">
        <v>719</v>
      </c>
    </row>
    <row r="346" spans="1:8" x14ac:dyDescent="0.25">
      <c r="A346" t="s">
        <v>721</v>
      </c>
      <c r="C346" t="s">
        <v>3347</v>
      </c>
      <c r="D346" t="s">
        <v>3347</v>
      </c>
      <c r="E346" t="s">
        <v>3401</v>
      </c>
      <c r="F346" t="s">
        <v>3349</v>
      </c>
      <c r="G346" t="s">
        <v>3402</v>
      </c>
      <c r="H346" t="s">
        <v>722</v>
      </c>
    </row>
    <row r="347" spans="1:8" x14ac:dyDescent="0.25">
      <c r="A347" t="s">
        <v>724</v>
      </c>
      <c r="C347" t="s">
        <v>3347</v>
      </c>
      <c r="D347" t="s">
        <v>3347</v>
      </c>
      <c r="E347" t="s">
        <v>3348</v>
      </c>
      <c r="F347" t="s">
        <v>3360</v>
      </c>
      <c r="G347" t="s">
        <v>3403</v>
      </c>
      <c r="H347" t="s">
        <v>725</v>
      </c>
    </row>
    <row r="348" spans="1:8" x14ac:dyDescent="0.25">
      <c r="A348" t="s">
        <v>727</v>
      </c>
      <c r="B348" t="s">
        <v>729</v>
      </c>
      <c r="C348" t="s">
        <v>3404</v>
      </c>
      <c r="D348" t="s">
        <v>3405</v>
      </c>
      <c r="E348" t="s">
        <v>3406</v>
      </c>
      <c r="F348" t="s">
        <v>3407</v>
      </c>
      <c r="G348" t="s">
        <v>3408</v>
      </c>
      <c r="H348" t="s">
        <v>728</v>
      </c>
    </row>
    <row r="349" spans="1:8" x14ac:dyDescent="0.25">
      <c r="A349" t="s">
        <v>731</v>
      </c>
      <c r="C349" t="s">
        <v>3409</v>
      </c>
      <c r="D349" t="s">
        <v>3410</v>
      </c>
      <c r="E349" t="s">
        <v>3411</v>
      </c>
      <c r="F349" t="s">
        <v>3412</v>
      </c>
      <c r="G349" t="s">
        <v>3413</v>
      </c>
      <c r="H349" t="s">
        <v>732</v>
      </c>
    </row>
    <row r="350" spans="1:8" x14ac:dyDescent="0.25">
      <c r="A350" t="s">
        <v>734</v>
      </c>
      <c r="C350" t="s">
        <v>3404</v>
      </c>
      <c r="D350" t="s">
        <v>3414</v>
      </c>
      <c r="E350" t="s">
        <v>3415</v>
      </c>
      <c r="F350" t="s">
        <v>3407</v>
      </c>
      <c r="G350" t="s">
        <v>3416</v>
      </c>
      <c r="H350" t="s">
        <v>735</v>
      </c>
    </row>
    <row r="351" spans="1:8" x14ac:dyDescent="0.25">
      <c r="A351" t="s">
        <v>737</v>
      </c>
      <c r="B351" t="s">
        <v>739</v>
      </c>
      <c r="C351" t="s">
        <v>3417</v>
      </c>
      <c r="D351" t="s">
        <v>3418</v>
      </c>
      <c r="E351" t="s">
        <v>3419</v>
      </c>
      <c r="F351" t="s">
        <v>3420</v>
      </c>
      <c r="G351" t="s">
        <v>3421</v>
      </c>
      <c r="H351" t="s">
        <v>738</v>
      </c>
    </row>
    <row r="352" spans="1:8" x14ac:dyDescent="0.25">
      <c r="A352" t="s">
        <v>741</v>
      </c>
      <c r="C352" t="s">
        <v>3422</v>
      </c>
      <c r="D352" t="s">
        <v>3414</v>
      </c>
      <c r="E352" t="s">
        <v>3423</v>
      </c>
      <c r="F352" t="s">
        <v>3424</v>
      </c>
      <c r="G352" t="s">
        <v>3425</v>
      </c>
      <c r="H352" t="s">
        <v>742</v>
      </c>
    </row>
    <row r="353" spans="1:8" x14ac:dyDescent="0.25">
      <c r="A353" t="s">
        <v>744</v>
      </c>
      <c r="C353" t="s">
        <v>3426</v>
      </c>
      <c r="D353" t="s">
        <v>3347</v>
      </c>
      <c r="E353" t="s">
        <v>3427</v>
      </c>
      <c r="F353" t="s">
        <v>3428</v>
      </c>
      <c r="G353" t="s">
        <v>3429</v>
      </c>
      <c r="H353" t="s">
        <v>745</v>
      </c>
    </row>
    <row r="354" spans="1:8" x14ac:dyDescent="0.25">
      <c r="A354" t="s">
        <v>747</v>
      </c>
      <c r="B354" t="s">
        <v>749</v>
      </c>
      <c r="C354" t="s">
        <v>3430</v>
      </c>
      <c r="D354" t="s">
        <v>3431</v>
      </c>
      <c r="E354" t="s">
        <v>3432</v>
      </c>
      <c r="F354" t="s">
        <v>3433</v>
      </c>
      <c r="G354" t="s">
        <v>3434</v>
      </c>
      <c r="H354" t="s">
        <v>748</v>
      </c>
    </row>
    <row r="355" spans="1:8" x14ac:dyDescent="0.25">
      <c r="A355" t="s">
        <v>752</v>
      </c>
      <c r="B355" t="s">
        <v>754</v>
      </c>
      <c r="C355" t="s">
        <v>3435</v>
      </c>
      <c r="D355" t="s">
        <v>3436</v>
      </c>
      <c r="E355" t="s">
        <v>3437</v>
      </c>
      <c r="F355" t="s">
        <v>3438</v>
      </c>
      <c r="G355" t="s">
        <v>3439</v>
      </c>
      <c r="H355" t="s">
        <v>753</v>
      </c>
    </row>
    <row r="356" spans="1:8" x14ac:dyDescent="0.25">
      <c r="A356" t="s">
        <v>756</v>
      </c>
      <c r="C356" t="s">
        <v>3440</v>
      </c>
      <c r="D356" t="s">
        <v>3347</v>
      </c>
      <c r="E356" t="s">
        <v>3441</v>
      </c>
      <c r="F356" t="s">
        <v>3442</v>
      </c>
      <c r="G356" t="s">
        <v>3443</v>
      </c>
      <c r="H356" t="s">
        <v>757</v>
      </c>
    </row>
    <row r="357" spans="1:8" x14ac:dyDescent="0.25">
      <c r="A357" t="s">
        <v>759</v>
      </c>
      <c r="C357" t="s">
        <v>3347</v>
      </c>
      <c r="D357" t="s">
        <v>3347</v>
      </c>
      <c r="E357" t="s">
        <v>3444</v>
      </c>
      <c r="F357" t="s">
        <v>3445</v>
      </c>
      <c r="G357" t="s">
        <v>3446</v>
      </c>
      <c r="H357" t="s">
        <v>760</v>
      </c>
    </row>
    <row r="358" spans="1:8" x14ac:dyDescent="0.25">
      <c r="A358" t="s">
        <v>762</v>
      </c>
      <c r="C358" t="s">
        <v>3447</v>
      </c>
      <c r="D358" t="s">
        <v>3347</v>
      </c>
      <c r="E358" t="s">
        <v>3444</v>
      </c>
      <c r="F358" t="s">
        <v>3445</v>
      </c>
      <c r="G358" t="s">
        <v>3448</v>
      </c>
      <c r="H358" t="s">
        <v>763</v>
      </c>
    </row>
    <row r="359" spans="1:8" x14ac:dyDescent="0.25">
      <c r="A359" t="s">
        <v>765</v>
      </c>
      <c r="C359" t="s">
        <v>3347</v>
      </c>
      <c r="D359" t="s">
        <v>3347</v>
      </c>
      <c r="E359" t="s">
        <v>3449</v>
      </c>
      <c r="F359" t="s">
        <v>3450</v>
      </c>
      <c r="G359" t="s">
        <v>3451</v>
      </c>
      <c r="H359" t="s">
        <v>766</v>
      </c>
    </row>
    <row r="360" spans="1:8" x14ac:dyDescent="0.25">
      <c r="A360" t="s">
        <v>768</v>
      </c>
      <c r="C360" t="s">
        <v>3452</v>
      </c>
      <c r="D360" t="s">
        <v>3347</v>
      </c>
      <c r="E360" t="s">
        <v>3453</v>
      </c>
      <c r="F360" t="s">
        <v>3454</v>
      </c>
      <c r="G360" t="s">
        <v>3455</v>
      </c>
      <c r="H360" t="s">
        <v>769</v>
      </c>
    </row>
    <row r="361" spans="1:8" x14ac:dyDescent="0.25">
      <c r="A361" t="s">
        <v>771</v>
      </c>
      <c r="C361" t="s">
        <v>3456</v>
      </c>
      <c r="D361" t="s">
        <v>3347</v>
      </c>
      <c r="E361" t="s">
        <v>3457</v>
      </c>
      <c r="F361" t="s">
        <v>3450</v>
      </c>
      <c r="G361" t="s">
        <v>3458</v>
      </c>
      <c r="H361" t="s">
        <v>772</v>
      </c>
    </row>
    <row r="362" spans="1:8" x14ac:dyDescent="0.25">
      <c r="A362" t="s">
        <v>774</v>
      </c>
      <c r="C362" t="s">
        <v>3347</v>
      </c>
      <c r="D362" t="s">
        <v>3347</v>
      </c>
      <c r="E362" t="s">
        <v>3459</v>
      </c>
      <c r="F362" t="s">
        <v>3442</v>
      </c>
      <c r="G362" t="s">
        <v>3460</v>
      </c>
      <c r="H362" t="s">
        <v>775</v>
      </c>
    </row>
    <row r="363" spans="1:8" x14ac:dyDescent="0.25">
      <c r="A363" t="s">
        <v>777</v>
      </c>
      <c r="C363" t="s">
        <v>3461</v>
      </c>
      <c r="D363" t="s">
        <v>3347</v>
      </c>
      <c r="E363" t="s">
        <v>3462</v>
      </c>
      <c r="F363" t="s">
        <v>3463</v>
      </c>
      <c r="G363" t="s">
        <v>3464</v>
      </c>
      <c r="H363" t="s">
        <v>778</v>
      </c>
    </row>
    <row r="364" spans="1:8" x14ac:dyDescent="0.25">
      <c r="A364" t="s">
        <v>780</v>
      </c>
      <c r="C364" t="s">
        <v>3465</v>
      </c>
      <c r="D364" t="s">
        <v>3347</v>
      </c>
      <c r="E364" t="s">
        <v>3459</v>
      </c>
      <c r="F364" t="s">
        <v>3466</v>
      </c>
      <c r="G364" t="s">
        <v>3467</v>
      </c>
      <c r="H364" t="s">
        <v>781</v>
      </c>
    </row>
    <row r="365" spans="1:8" x14ac:dyDescent="0.25">
      <c r="A365" t="s">
        <v>783</v>
      </c>
      <c r="C365" t="s">
        <v>3468</v>
      </c>
      <c r="D365" t="s">
        <v>3347</v>
      </c>
      <c r="E365" t="s">
        <v>3459</v>
      </c>
      <c r="F365" t="s">
        <v>3469</v>
      </c>
      <c r="G365" t="s">
        <v>3470</v>
      </c>
      <c r="H365" t="s">
        <v>784</v>
      </c>
    </row>
    <row r="366" spans="1:8" x14ac:dyDescent="0.25">
      <c r="A366" t="s">
        <v>787</v>
      </c>
      <c r="C366" t="s">
        <v>3347</v>
      </c>
      <c r="D366" t="s">
        <v>3347</v>
      </c>
      <c r="E366" t="s">
        <v>3471</v>
      </c>
      <c r="F366" t="s">
        <v>3450</v>
      </c>
      <c r="G366" t="s">
        <v>3472</v>
      </c>
      <c r="H366" t="s">
        <v>788</v>
      </c>
    </row>
    <row r="367" spans="1:8" x14ac:dyDescent="0.25">
      <c r="A367" t="s">
        <v>790</v>
      </c>
      <c r="C367" t="s">
        <v>3473</v>
      </c>
      <c r="D367" t="s">
        <v>3347</v>
      </c>
      <c r="E367" t="s">
        <v>3462</v>
      </c>
      <c r="F367" t="s">
        <v>3474</v>
      </c>
      <c r="G367" t="s">
        <v>3475</v>
      </c>
      <c r="H367" t="s">
        <v>791</v>
      </c>
    </row>
    <row r="368" spans="1:8" x14ac:dyDescent="0.25">
      <c r="A368" t="s">
        <v>793</v>
      </c>
      <c r="B368" t="s">
        <v>795</v>
      </c>
      <c r="C368" t="s">
        <v>3476</v>
      </c>
      <c r="D368" t="s">
        <v>3477</v>
      </c>
      <c r="E368" t="s">
        <v>3478</v>
      </c>
      <c r="F368" t="s">
        <v>3479</v>
      </c>
      <c r="G368" t="s">
        <v>3480</v>
      </c>
      <c r="H368" t="s">
        <v>794</v>
      </c>
    </row>
    <row r="369" spans="1:8" x14ac:dyDescent="0.25">
      <c r="A369" t="s">
        <v>811</v>
      </c>
      <c r="B369" t="s">
        <v>812</v>
      </c>
      <c r="C369" t="s">
        <v>3481</v>
      </c>
      <c r="D369" t="s">
        <v>3347</v>
      </c>
      <c r="E369" t="s">
        <v>3482</v>
      </c>
      <c r="F369" t="s">
        <v>3483</v>
      </c>
      <c r="G369" t="s">
        <v>3484</v>
      </c>
      <c r="H369" t="s">
        <v>812</v>
      </c>
    </row>
    <row r="370" spans="1:8" x14ac:dyDescent="0.25">
      <c r="A370" t="s">
        <v>799</v>
      </c>
      <c r="B370" t="s">
        <v>800</v>
      </c>
      <c r="C370" t="s">
        <v>3485</v>
      </c>
      <c r="D370" t="s">
        <v>3486</v>
      </c>
      <c r="E370" t="s">
        <v>3487</v>
      </c>
      <c r="F370" t="s">
        <v>3488</v>
      </c>
      <c r="G370" t="s">
        <v>3489</v>
      </c>
      <c r="H370" t="s">
        <v>800</v>
      </c>
    </row>
    <row r="371" spans="1:8" x14ac:dyDescent="0.25">
      <c r="A371" t="s">
        <v>803</v>
      </c>
      <c r="B371" t="s">
        <v>804</v>
      </c>
      <c r="C371" t="s">
        <v>3490</v>
      </c>
      <c r="D371" t="s">
        <v>3491</v>
      </c>
      <c r="E371" t="s">
        <v>3492</v>
      </c>
      <c r="F371" t="s">
        <v>3493</v>
      </c>
      <c r="G371" t="s">
        <v>3494</v>
      </c>
      <c r="H371" t="s">
        <v>804</v>
      </c>
    </row>
    <row r="372" spans="1:8" x14ac:dyDescent="0.25">
      <c r="A372" t="s">
        <v>806</v>
      </c>
      <c r="B372" t="s">
        <v>807</v>
      </c>
      <c r="C372" t="s">
        <v>3495</v>
      </c>
      <c r="D372" t="s">
        <v>3496</v>
      </c>
      <c r="E372" t="s">
        <v>3497</v>
      </c>
      <c r="F372" t="s">
        <v>3498</v>
      </c>
      <c r="G372" t="s">
        <v>3499</v>
      </c>
      <c r="H372" t="s">
        <v>807</v>
      </c>
    </row>
    <row r="373" spans="1:8" x14ac:dyDescent="0.25">
      <c r="A373" t="s">
        <v>809</v>
      </c>
      <c r="B373" t="s">
        <v>810</v>
      </c>
      <c r="C373" t="s">
        <v>3500</v>
      </c>
      <c r="D373" t="s">
        <v>3501</v>
      </c>
      <c r="E373" t="s">
        <v>3502</v>
      </c>
      <c r="F373" t="s">
        <v>3503</v>
      </c>
      <c r="G373" t="s">
        <v>3504</v>
      </c>
      <c r="H373" t="s">
        <v>810</v>
      </c>
    </row>
    <row r="374" spans="1:8" x14ac:dyDescent="0.25">
      <c r="A374" t="s">
        <v>818</v>
      </c>
      <c r="B374" t="s">
        <v>819</v>
      </c>
      <c r="C374" t="s">
        <v>3505</v>
      </c>
      <c r="D374" t="s">
        <v>3506</v>
      </c>
      <c r="E374" t="s">
        <v>3507</v>
      </c>
      <c r="F374" t="s">
        <v>3508</v>
      </c>
      <c r="G374" t="s">
        <v>3509</v>
      </c>
      <c r="H374" t="s">
        <v>819</v>
      </c>
    </row>
    <row r="375" spans="1:8" x14ac:dyDescent="0.25">
      <c r="A375" t="s">
        <v>821</v>
      </c>
      <c r="B375" t="s">
        <v>822</v>
      </c>
      <c r="C375" t="s">
        <v>3510</v>
      </c>
      <c r="D375" t="s">
        <v>3511</v>
      </c>
      <c r="E375" t="s">
        <v>3512</v>
      </c>
      <c r="F375" t="s">
        <v>3513</v>
      </c>
      <c r="G375" t="s">
        <v>3514</v>
      </c>
      <c r="H375" t="s">
        <v>822</v>
      </c>
    </row>
    <row r="376" spans="1:8" x14ac:dyDescent="0.25">
      <c r="A376" t="s">
        <v>824</v>
      </c>
      <c r="B376" t="s">
        <v>825</v>
      </c>
      <c r="C376" t="s">
        <v>3515</v>
      </c>
      <c r="D376" t="s">
        <v>3516</v>
      </c>
      <c r="E376" t="s">
        <v>3517</v>
      </c>
      <c r="F376" t="s">
        <v>3518</v>
      </c>
      <c r="G376" t="s">
        <v>3519</v>
      </c>
      <c r="H376" t="s">
        <v>825</v>
      </c>
    </row>
    <row r="377" spans="1:8" x14ac:dyDescent="0.25">
      <c r="A377" t="s">
        <v>827</v>
      </c>
      <c r="B377" t="s">
        <v>829</v>
      </c>
      <c r="C377" t="s">
        <v>3520</v>
      </c>
      <c r="D377" t="s">
        <v>3521</v>
      </c>
      <c r="E377" t="s">
        <v>3522</v>
      </c>
      <c r="F377" t="s">
        <v>3523</v>
      </c>
      <c r="G377" t="s">
        <v>3524</v>
      </c>
      <c r="H377" t="s">
        <v>828</v>
      </c>
    </row>
    <row r="378" spans="1:8" x14ac:dyDescent="0.25">
      <c r="A378" t="s">
        <v>831</v>
      </c>
      <c r="B378" t="s">
        <v>832</v>
      </c>
      <c r="C378" t="s">
        <v>3525</v>
      </c>
      <c r="D378" t="s">
        <v>3526</v>
      </c>
      <c r="E378" t="s">
        <v>3527</v>
      </c>
      <c r="F378" t="s">
        <v>3528</v>
      </c>
      <c r="G378" t="s">
        <v>3529</v>
      </c>
      <c r="H378" t="s">
        <v>832</v>
      </c>
    </row>
    <row r="379" spans="1:8" x14ac:dyDescent="0.25">
      <c r="A379" t="s">
        <v>834</v>
      </c>
      <c r="B379" t="s">
        <v>836</v>
      </c>
      <c r="C379" t="s">
        <v>3530</v>
      </c>
      <c r="D379" t="s">
        <v>3531</v>
      </c>
      <c r="E379" t="s">
        <v>3532</v>
      </c>
      <c r="F379" t="s">
        <v>3533</v>
      </c>
      <c r="G379" t="s">
        <v>3534</v>
      </c>
      <c r="H379" t="s">
        <v>835</v>
      </c>
    </row>
    <row r="380" spans="1:8" x14ac:dyDescent="0.25">
      <c r="A380" t="s">
        <v>838</v>
      </c>
      <c r="B380" t="s">
        <v>839</v>
      </c>
      <c r="C380" t="s">
        <v>3347</v>
      </c>
      <c r="D380" t="s">
        <v>3347</v>
      </c>
      <c r="E380" t="s">
        <v>3535</v>
      </c>
      <c r="F380" t="s">
        <v>3536</v>
      </c>
      <c r="G380" t="s">
        <v>3537</v>
      </c>
      <c r="H380" t="s">
        <v>839</v>
      </c>
    </row>
    <row r="381" spans="1:8" x14ac:dyDescent="0.25">
      <c r="A381" t="s">
        <v>841</v>
      </c>
      <c r="B381" t="s">
        <v>842</v>
      </c>
      <c r="C381" t="s">
        <v>3538</v>
      </c>
      <c r="D381" t="s">
        <v>3539</v>
      </c>
      <c r="E381" t="s">
        <v>3540</v>
      </c>
      <c r="F381" t="s">
        <v>3541</v>
      </c>
      <c r="G381" t="s">
        <v>3542</v>
      </c>
      <c r="H381" t="s">
        <v>842</v>
      </c>
    </row>
    <row r="382" spans="1:8" x14ac:dyDescent="0.25">
      <c r="A382" t="s">
        <v>844</v>
      </c>
      <c r="B382" t="s">
        <v>845</v>
      </c>
      <c r="C382" t="s">
        <v>3543</v>
      </c>
      <c r="D382" t="s">
        <v>3347</v>
      </c>
      <c r="E382" t="s">
        <v>3544</v>
      </c>
      <c r="F382" t="s">
        <v>3474</v>
      </c>
      <c r="G382" t="s">
        <v>3545</v>
      </c>
      <c r="H382" t="s">
        <v>845</v>
      </c>
    </row>
    <row r="383" spans="1:8" x14ac:dyDescent="0.25">
      <c r="A383" t="s">
        <v>847</v>
      </c>
      <c r="B383" t="s">
        <v>848</v>
      </c>
      <c r="C383" t="s">
        <v>3546</v>
      </c>
      <c r="D383" t="s">
        <v>3347</v>
      </c>
      <c r="E383" t="s">
        <v>3547</v>
      </c>
      <c r="F383" t="s">
        <v>3466</v>
      </c>
      <c r="G383" t="s">
        <v>3548</v>
      </c>
      <c r="H383" t="s">
        <v>848</v>
      </c>
    </row>
    <row r="384" spans="1:8" x14ac:dyDescent="0.25">
      <c r="A384" t="s">
        <v>850</v>
      </c>
      <c r="B384" t="s">
        <v>851</v>
      </c>
      <c r="C384" t="s">
        <v>3549</v>
      </c>
      <c r="D384" t="s">
        <v>3347</v>
      </c>
      <c r="E384" t="s">
        <v>3550</v>
      </c>
      <c r="F384" t="s">
        <v>3551</v>
      </c>
      <c r="G384" t="s">
        <v>3552</v>
      </c>
      <c r="H384" t="s">
        <v>851</v>
      </c>
    </row>
    <row r="385" spans="1:8" x14ac:dyDescent="0.25">
      <c r="A385" t="s">
        <v>853</v>
      </c>
      <c r="B385" t="s">
        <v>854</v>
      </c>
      <c r="C385" t="s">
        <v>3347</v>
      </c>
      <c r="D385" t="s">
        <v>3347</v>
      </c>
      <c r="E385" t="s">
        <v>3553</v>
      </c>
      <c r="F385" t="s">
        <v>3554</v>
      </c>
      <c r="G385" t="s">
        <v>3555</v>
      </c>
      <c r="H385" t="s">
        <v>854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63"/>
  <sheetViews>
    <sheetView zoomScale="85" zoomScaleNormal="85" workbookViewId="0">
      <selection activeCell="D1" sqref="D1:E8"/>
    </sheetView>
  </sheetViews>
  <sheetFormatPr baseColWidth="10" defaultColWidth="9.140625" defaultRowHeight="15" x14ac:dyDescent="0.25"/>
  <cols>
    <col min="1" max="1" width="15.5703125" customWidth="1"/>
    <col min="2" max="2" width="19.5703125" customWidth="1"/>
    <col min="3" max="3" width="22.140625" customWidth="1"/>
    <col min="4" max="4" width="19.5703125" customWidth="1"/>
    <col min="5" max="5" width="22.7109375" customWidth="1"/>
    <col min="6" max="6" width="19.85546875" customWidth="1"/>
    <col min="7" max="7" width="27.7109375" customWidth="1"/>
    <col min="8" max="8" width="25.28515625" customWidth="1"/>
    <col min="9" max="9" width="21" customWidth="1"/>
    <col min="10" max="10" width="22.85546875" customWidth="1"/>
    <col min="11" max="11" width="16.7109375" customWidth="1"/>
    <col min="12" max="12" width="14.140625" customWidth="1"/>
    <col min="13" max="13" width="22.42578125" customWidth="1"/>
    <col min="14" max="14" width="22.140625" customWidth="1"/>
    <col min="15" max="15" width="33" customWidth="1"/>
    <col min="16" max="16" width="15.28515625" customWidth="1"/>
  </cols>
  <sheetData>
    <row r="1" spans="1:16" x14ac:dyDescent="0.25">
      <c r="D1" s="4"/>
      <c r="E1" t="s">
        <v>3947</v>
      </c>
    </row>
    <row r="2" spans="1:16" x14ac:dyDescent="0.25">
      <c r="D2" s="5"/>
      <c r="E2" t="s">
        <v>3948</v>
      </c>
    </row>
    <row r="3" spans="1:16" x14ac:dyDescent="0.25">
      <c r="D3" s="8"/>
      <c r="E3" t="s">
        <v>3949</v>
      </c>
    </row>
    <row r="4" spans="1:16" x14ac:dyDescent="0.25">
      <c r="D4" s="13"/>
      <c r="E4" t="s">
        <v>3978</v>
      </c>
    </row>
    <row r="5" spans="1:16" x14ac:dyDescent="0.25">
      <c r="D5" s="7"/>
      <c r="E5" t="s">
        <v>3922</v>
      </c>
    </row>
    <row r="6" spans="1:16" x14ac:dyDescent="0.25">
      <c r="D6" s="6"/>
      <c r="E6" t="s">
        <v>3950</v>
      </c>
    </row>
    <row r="7" spans="1:16" x14ac:dyDescent="0.25">
      <c r="D7" s="11"/>
      <c r="E7" t="s">
        <v>3951</v>
      </c>
    </row>
    <row r="8" spans="1:16" x14ac:dyDescent="0.25">
      <c r="D8" s="14"/>
      <c r="E8" t="s">
        <v>3977</v>
      </c>
    </row>
    <row r="11" spans="1:16" x14ac:dyDescent="0.25">
      <c r="A11" s="5" t="s">
        <v>0</v>
      </c>
      <c r="B11" s="14" t="s">
        <v>3556</v>
      </c>
      <c r="C11" s="14" t="s">
        <v>3557</v>
      </c>
      <c r="D11" s="14" t="s">
        <v>3558</v>
      </c>
      <c r="E11" s="14" t="s">
        <v>3559</v>
      </c>
      <c r="F11" s="14" t="s">
        <v>3560</v>
      </c>
      <c r="G11" s="14" t="s">
        <v>3561</v>
      </c>
      <c r="H11" s="14" t="s">
        <v>3562</v>
      </c>
      <c r="I11" s="14" t="s">
        <v>3563</v>
      </c>
      <c r="J11" s="8" t="s">
        <v>3564</v>
      </c>
      <c r="K11" s="8" t="s">
        <v>3565</v>
      </c>
      <c r="L11" s="8" t="s">
        <v>3566</v>
      </c>
      <c r="M11" s="8" t="s">
        <v>3567</v>
      </c>
      <c r="N11" s="8" t="s">
        <v>3568</v>
      </c>
      <c r="O11" s="8" t="s">
        <v>3569</v>
      </c>
      <c r="P11" s="8" t="s">
        <v>3570</v>
      </c>
    </row>
    <row r="12" spans="1:16" hidden="1" x14ac:dyDescent="0.25">
      <c r="A12" t="s">
        <v>19</v>
      </c>
      <c r="B12">
        <v>0</v>
      </c>
      <c r="E12">
        <v>1</v>
      </c>
      <c r="H12">
        <v>1000</v>
      </c>
      <c r="I12">
        <v>1000</v>
      </c>
      <c r="J12" t="s">
        <v>3572</v>
      </c>
      <c r="K12">
        <v>1000</v>
      </c>
      <c r="L12">
        <v>1000</v>
      </c>
      <c r="M12">
        <v>0</v>
      </c>
      <c r="N12">
        <v>0</v>
      </c>
      <c r="O12">
        <v>0</v>
      </c>
      <c r="P12">
        <v>0</v>
      </c>
    </row>
    <row r="13" spans="1:16" hidden="1" x14ac:dyDescent="0.25">
      <c r="A13" t="s">
        <v>23</v>
      </c>
      <c r="B13">
        <v>0</v>
      </c>
      <c r="E13">
        <v>1</v>
      </c>
      <c r="H13">
        <v>100</v>
      </c>
      <c r="I13">
        <v>100</v>
      </c>
      <c r="J13" t="s">
        <v>3572</v>
      </c>
      <c r="K13">
        <v>100</v>
      </c>
      <c r="L13">
        <v>100</v>
      </c>
      <c r="M13">
        <v>0</v>
      </c>
      <c r="N13">
        <v>0</v>
      </c>
      <c r="O13">
        <v>0</v>
      </c>
      <c r="P13">
        <v>0</v>
      </c>
    </row>
    <row r="14" spans="1:16" hidden="1" x14ac:dyDescent="0.25">
      <c r="A14" t="s">
        <v>26</v>
      </c>
      <c r="B14">
        <v>0</v>
      </c>
      <c r="E14">
        <v>1</v>
      </c>
      <c r="H14">
        <v>1750</v>
      </c>
      <c r="I14">
        <v>1750</v>
      </c>
      <c r="J14" t="s">
        <v>3572</v>
      </c>
      <c r="K14">
        <v>1750</v>
      </c>
      <c r="L14">
        <v>1750</v>
      </c>
      <c r="M14">
        <v>0</v>
      </c>
      <c r="N14">
        <v>0</v>
      </c>
      <c r="O14">
        <v>0</v>
      </c>
      <c r="P14">
        <v>1474</v>
      </c>
    </row>
    <row r="15" spans="1:16" hidden="1" x14ac:dyDescent="0.25">
      <c r="A15" t="s">
        <v>30</v>
      </c>
      <c r="B15">
        <v>0</v>
      </c>
      <c r="E15">
        <v>1</v>
      </c>
      <c r="H15">
        <v>1000</v>
      </c>
      <c r="I15">
        <v>1000</v>
      </c>
      <c r="J15" t="s">
        <v>3572</v>
      </c>
      <c r="K15">
        <v>1000</v>
      </c>
      <c r="L15">
        <v>1000</v>
      </c>
      <c r="M15">
        <v>0</v>
      </c>
      <c r="N15">
        <v>0</v>
      </c>
      <c r="O15">
        <v>0</v>
      </c>
      <c r="P15">
        <v>0</v>
      </c>
    </row>
    <row r="16" spans="1:16" hidden="1" x14ac:dyDescent="0.25">
      <c r="A16" t="s">
        <v>34</v>
      </c>
      <c r="B16">
        <v>0</v>
      </c>
      <c r="E16">
        <v>1</v>
      </c>
      <c r="H16">
        <v>500</v>
      </c>
      <c r="I16">
        <v>500</v>
      </c>
      <c r="J16" t="s">
        <v>3572</v>
      </c>
      <c r="K16">
        <v>500</v>
      </c>
      <c r="L16">
        <v>500</v>
      </c>
      <c r="M16">
        <v>0</v>
      </c>
      <c r="N16">
        <v>0</v>
      </c>
      <c r="O16">
        <v>0</v>
      </c>
      <c r="P16">
        <v>0</v>
      </c>
    </row>
    <row r="17" spans="1:16" hidden="1" x14ac:dyDescent="0.25">
      <c r="A17" t="s">
        <v>38</v>
      </c>
      <c r="B17">
        <v>0</v>
      </c>
      <c r="E17">
        <v>1</v>
      </c>
      <c r="H17">
        <v>500</v>
      </c>
      <c r="I17">
        <v>500</v>
      </c>
      <c r="J17" t="s">
        <v>3572</v>
      </c>
      <c r="K17">
        <v>500</v>
      </c>
      <c r="L17">
        <v>500</v>
      </c>
      <c r="M17">
        <v>0</v>
      </c>
      <c r="N17">
        <v>0</v>
      </c>
      <c r="O17">
        <v>0</v>
      </c>
      <c r="P17">
        <v>0</v>
      </c>
    </row>
    <row r="18" spans="1:16" hidden="1" x14ac:dyDescent="0.25">
      <c r="A18" t="s">
        <v>42</v>
      </c>
      <c r="B18">
        <v>0</v>
      </c>
      <c r="E18">
        <v>1</v>
      </c>
      <c r="H18">
        <v>400</v>
      </c>
      <c r="I18">
        <v>400</v>
      </c>
      <c r="J18" t="s">
        <v>3572</v>
      </c>
      <c r="K18">
        <v>400</v>
      </c>
      <c r="L18">
        <v>400</v>
      </c>
      <c r="M18">
        <v>0</v>
      </c>
      <c r="N18">
        <v>0</v>
      </c>
      <c r="O18">
        <v>0</v>
      </c>
      <c r="P18">
        <v>0</v>
      </c>
    </row>
    <row r="19" spans="1:16" hidden="1" x14ac:dyDescent="0.25">
      <c r="A19" t="s">
        <v>46</v>
      </c>
      <c r="B19">
        <v>0.24</v>
      </c>
      <c r="C19">
        <v>288</v>
      </c>
      <c r="D19">
        <v>288</v>
      </c>
      <c r="E19">
        <v>0.76</v>
      </c>
      <c r="H19">
        <v>912</v>
      </c>
      <c r="I19">
        <v>912</v>
      </c>
      <c r="J19" t="s">
        <v>3573</v>
      </c>
      <c r="K19">
        <v>912</v>
      </c>
      <c r="L19">
        <v>912</v>
      </c>
      <c r="M19">
        <v>288</v>
      </c>
      <c r="N19">
        <v>288</v>
      </c>
      <c r="O19">
        <v>0</v>
      </c>
      <c r="P19">
        <v>0</v>
      </c>
    </row>
    <row r="20" spans="1:16" hidden="1" x14ac:dyDescent="0.25">
      <c r="A20" t="s">
        <v>49</v>
      </c>
      <c r="B20">
        <v>0.24</v>
      </c>
      <c r="C20">
        <v>120</v>
      </c>
      <c r="D20">
        <v>120</v>
      </c>
      <c r="E20">
        <v>0.76</v>
      </c>
      <c r="H20">
        <v>380</v>
      </c>
      <c r="I20">
        <v>380</v>
      </c>
      <c r="J20" t="s">
        <v>3573</v>
      </c>
      <c r="K20">
        <v>380</v>
      </c>
      <c r="L20">
        <v>380</v>
      </c>
      <c r="M20">
        <v>120</v>
      </c>
      <c r="N20">
        <v>120</v>
      </c>
      <c r="O20">
        <v>0</v>
      </c>
      <c r="P20">
        <v>0</v>
      </c>
    </row>
    <row r="21" spans="1:16" hidden="1" x14ac:dyDescent="0.25">
      <c r="A21" t="s">
        <v>53</v>
      </c>
      <c r="B21">
        <v>0.24</v>
      </c>
      <c r="C21">
        <v>120</v>
      </c>
      <c r="D21">
        <v>120</v>
      </c>
      <c r="E21">
        <v>0.76</v>
      </c>
      <c r="H21">
        <v>380</v>
      </c>
      <c r="I21">
        <v>380</v>
      </c>
      <c r="J21" t="s">
        <v>3573</v>
      </c>
      <c r="K21">
        <v>380</v>
      </c>
      <c r="L21">
        <v>380</v>
      </c>
      <c r="M21">
        <v>120</v>
      </c>
      <c r="N21">
        <v>120</v>
      </c>
      <c r="O21">
        <v>0</v>
      </c>
      <c r="P21">
        <v>0</v>
      </c>
    </row>
    <row r="22" spans="1:16" hidden="1" x14ac:dyDescent="0.25">
      <c r="A22" t="s">
        <v>56</v>
      </c>
      <c r="B22">
        <v>0.24</v>
      </c>
      <c r="C22">
        <v>3120</v>
      </c>
      <c r="D22">
        <v>3120</v>
      </c>
      <c r="E22">
        <v>0.76</v>
      </c>
      <c r="H22">
        <v>9880</v>
      </c>
      <c r="I22">
        <v>9880</v>
      </c>
      <c r="J22" t="s">
        <v>3573</v>
      </c>
      <c r="K22">
        <v>9880</v>
      </c>
      <c r="L22">
        <v>9880</v>
      </c>
      <c r="M22">
        <v>3120</v>
      </c>
      <c r="N22">
        <v>3120</v>
      </c>
      <c r="O22">
        <v>0</v>
      </c>
      <c r="P22">
        <v>0</v>
      </c>
    </row>
    <row r="23" spans="1:16" hidden="1" x14ac:dyDescent="0.25">
      <c r="A23" t="s">
        <v>59</v>
      </c>
      <c r="B23">
        <v>0.24</v>
      </c>
      <c r="C23">
        <v>480</v>
      </c>
      <c r="D23">
        <v>480</v>
      </c>
      <c r="E23">
        <v>0.76</v>
      </c>
      <c r="H23">
        <v>1520</v>
      </c>
      <c r="I23">
        <v>1520</v>
      </c>
      <c r="J23" t="s">
        <v>3573</v>
      </c>
      <c r="K23">
        <v>1520</v>
      </c>
      <c r="L23">
        <v>1520</v>
      </c>
      <c r="M23">
        <v>480</v>
      </c>
      <c r="N23">
        <v>480</v>
      </c>
      <c r="O23">
        <v>0</v>
      </c>
      <c r="P23">
        <v>0</v>
      </c>
    </row>
    <row r="24" spans="1:16" hidden="1" x14ac:dyDescent="0.25">
      <c r="A24" t="s">
        <v>63</v>
      </c>
      <c r="B24">
        <v>0.24</v>
      </c>
      <c r="C24">
        <v>240</v>
      </c>
      <c r="D24">
        <v>240</v>
      </c>
      <c r="E24">
        <v>0.76</v>
      </c>
      <c r="H24">
        <v>760</v>
      </c>
      <c r="I24">
        <v>760</v>
      </c>
      <c r="J24" t="s">
        <v>3573</v>
      </c>
      <c r="K24">
        <v>760</v>
      </c>
      <c r="L24">
        <v>760</v>
      </c>
      <c r="M24">
        <v>240</v>
      </c>
      <c r="N24">
        <v>240</v>
      </c>
      <c r="O24">
        <v>209</v>
      </c>
      <c r="P24">
        <v>661</v>
      </c>
    </row>
    <row r="25" spans="1:16" hidden="1" x14ac:dyDescent="0.25">
      <c r="A25" t="s">
        <v>1438</v>
      </c>
      <c r="B25">
        <v>0.24</v>
      </c>
      <c r="C25">
        <v>240</v>
      </c>
      <c r="D25">
        <v>240</v>
      </c>
      <c r="E25">
        <v>0.76</v>
      </c>
      <c r="H25">
        <v>760</v>
      </c>
      <c r="I25">
        <v>760</v>
      </c>
      <c r="J25" t="s">
        <v>3573</v>
      </c>
      <c r="K25">
        <v>760</v>
      </c>
      <c r="L25">
        <v>760</v>
      </c>
      <c r="M25">
        <v>240</v>
      </c>
      <c r="N25">
        <v>240</v>
      </c>
      <c r="O25">
        <v>0</v>
      </c>
      <c r="P25">
        <v>0</v>
      </c>
    </row>
    <row r="26" spans="1:16" hidden="1" x14ac:dyDescent="0.25">
      <c r="A26" t="s">
        <v>66</v>
      </c>
      <c r="B26">
        <v>0.24</v>
      </c>
      <c r="C26">
        <v>240</v>
      </c>
      <c r="D26">
        <v>240</v>
      </c>
      <c r="E26">
        <v>0.76</v>
      </c>
      <c r="H26">
        <v>760</v>
      </c>
      <c r="I26">
        <v>760</v>
      </c>
      <c r="J26" t="s">
        <v>3573</v>
      </c>
      <c r="K26">
        <v>760</v>
      </c>
      <c r="L26">
        <v>760</v>
      </c>
      <c r="M26">
        <v>240</v>
      </c>
      <c r="N26">
        <v>240</v>
      </c>
      <c r="O26">
        <v>0</v>
      </c>
      <c r="P26">
        <v>0</v>
      </c>
    </row>
    <row r="27" spans="1:16" hidden="1" x14ac:dyDescent="0.25">
      <c r="A27" t="s">
        <v>67</v>
      </c>
      <c r="B27">
        <v>0.24</v>
      </c>
      <c r="C27">
        <v>144</v>
      </c>
      <c r="D27">
        <v>144</v>
      </c>
      <c r="E27">
        <v>0.76</v>
      </c>
      <c r="H27">
        <v>456</v>
      </c>
      <c r="I27">
        <v>456</v>
      </c>
      <c r="J27" t="s">
        <v>3573</v>
      </c>
      <c r="K27">
        <v>456</v>
      </c>
      <c r="L27">
        <v>456</v>
      </c>
      <c r="M27">
        <v>144</v>
      </c>
      <c r="N27">
        <v>144</v>
      </c>
      <c r="O27">
        <v>0</v>
      </c>
      <c r="P27">
        <v>0</v>
      </c>
    </row>
    <row r="28" spans="1:16" hidden="1" x14ac:dyDescent="0.25">
      <c r="A28" t="s">
        <v>70</v>
      </c>
      <c r="B28">
        <v>0.24</v>
      </c>
      <c r="C28">
        <v>240</v>
      </c>
      <c r="D28">
        <v>240</v>
      </c>
      <c r="E28">
        <v>0.76</v>
      </c>
      <c r="H28">
        <v>760</v>
      </c>
      <c r="I28">
        <v>760</v>
      </c>
      <c r="J28" t="s">
        <v>3573</v>
      </c>
      <c r="K28">
        <v>760</v>
      </c>
      <c r="L28">
        <v>760</v>
      </c>
      <c r="M28">
        <v>240</v>
      </c>
      <c r="N28">
        <v>240</v>
      </c>
      <c r="O28">
        <v>0</v>
      </c>
      <c r="P28">
        <v>0</v>
      </c>
    </row>
    <row r="29" spans="1:16" hidden="1" x14ac:dyDescent="0.25">
      <c r="A29" t="s">
        <v>74</v>
      </c>
      <c r="B29">
        <v>0.24</v>
      </c>
      <c r="C29">
        <v>60</v>
      </c>
      <c r="D29">
        <v>60</v>
      </c>
      <c r="E29">
        <v>0.76</v>
      </c>
      <c r="H29">
        <v>190</v>
      </c>
      <c r="I29">
        <v>190</v>
      </c>
      <c r="J29" t="s">
        <v>3573</v>
      </c>
      <c r="K29">
        <v>190</v>
      </c>
      <c r="L29">
        <v>190</v>
      </c>
      <c r="M29">
        <v>60</v>
      </c>
      <c r="N29">
        <v>60</v>
      </c>
      <c r="O29">
        <v>0</v>
      </c>
      <c r="P29">
        <v>0</v>
      </c>
    </row>
    <row r="30" spans="1:16" hidden="1" x14ac:dyDescent="0.25">
      <c r="A30" t="s">
        <v>77</v>
      </c>
      <c r="B30">
        <v>0.24</v>
      </c>
      <c r="C30">
        <v>120</v>
      </c>
      <c r="D30">
        <v>120</v>
      </c>
      <c r="E30">
        <v>0.76</v>
      </c>
      <c r="H30">
        <v>380</v>
      </c>
      <c r="I30">
        <v>380</v>
      </c>
      <c r="J30" t="s">
        <v>3573</v>
      </c>
      <c r="K30">
        <v>380</v>
      </c>
      <c r="L30">
        <v>380</v>
      </c>
      <c r="M30">
        <v>120</v>
      </c>
      <c r="N30">
        <v>120</v>
      </c>
      <c r="O30">
        <v>0</v>
      </c>
      <c r="P30">
        <v>0</v>
      </c>
    </row>
    <row r="31" spans="1:16" hidden="1" x14ac:dyDescent="0.25">
      <c r="A31" t="s">
        <v>81</v>
      </c>
      <c r="B31">
        <v>0.24</v>
      </c>
      <c r="C31">
        <v>72</v>
      </c>
      <c r="D31">
        <v>72</v>
      </c>
      <c r="E31">
        <v>0.76</v>
      </c>
      <c r="H31">
        <v>228</v>
      </c>
      <c r="I31">
        <v>228</v>
      </c>
      <c r="J31" t="s">
        <v>3573</v>
      </c>
      <c r="K31">
        <v>228</v>
      </c>
      <c r="L31">
        <v>228</v>
      </c>
      <c r="M31">
        <v>72</v>
      </c>
      <c r="N31">
        <v>72</v>
      </c>
      <c r="O31">
        <v>0</v>
      </c>
      <c r="P31">
        <v>0</v>
      </c>
    </row>
    <row r="32" spans="1:16" hidden="1" x14ac:dyDescent="0.25">
      <c r="A32" t="s">
        <v>85</v>
      </c>
      <c r="B32">
        <v>0.24</v>
      </c>
      <c r="C32">
        <v>240</v>
      </c>
      <c r="D32">
        <v>240</v>
      </c>
      <c r="E32">
        <v>0.76</v>
      </c>
      <c r="H32">
        <v>760</v>
      </c>
      <c r="I32">
        <v>760</v>
      </c>
      <c r="J32" t="s">
        <v>3573</v>
      </c>
      <c r="K32">
        <v>760</v>
      </c>
      <c r="L32">
        <v>760</v>
      </c>
      <c r="M32">
        <v>240</v>
      </c>
      <c r="N32">
        <v>240</v>
      </c>
      <c r="O32">
        <v>0</v>
      </c>
      <c r="P32">
        <v>0</v>
      </c>
    </row>
    <row r="33" spans="1:16" hidden="1" x14ac:dyDescent="0.25">
      <c r="A33" t="s">
        <v>89</v>
      </c>
      <c r="B33">
        <v>0.24</v>
      </c>
      <c r="C33">
        <v>60</v>
      </c>
      <c r="D33">
        <v>60</v>
      </c>
      <c r="E33">
        <v>0.76</v>
      </c>
      <c r="H33">
        <v>190</v>
      </c>
      <c r="I33">
        <v>190</v>
      </c>
      <c r="J33" t="s">
        <v>3573</v>
      </c>
      <c r="K33">
        <v>190</v>
      </c>
      <c r="L33">
        <v>190</v>
      </c>
      <c r="M33">
        <v>60</v>
      </c>
      <c r="N33">
        <v>60</v>
      </c>
      <c r="O33">
        <v>0</v>
      </c>
      <c r="P33">
        <v>0</v>
      </c>
    </row>
    <row r="34" spans="1:16" hidden="1" x14ac:dyDescent="0.25">
      <c r="A34" t="s">
        <v>92</v>
      </c>
      <c r="B34">
        <v>0.1133333333333333</v>
      </c>
      <c r="C34">
        <v>85</v>
      </c>
      <c r="D34">
        <v>85</v>
      </c>
      <c r="E34">
        <v>0.33200000000000002</v>
      </c>
      <c r="F34">
        <v>413</v>
      </c>
      <c r="G34">
        <v>0.55466666666666664</v>
      </c>
      <c r="H34">
        <v>248</v>
      </c>
      <c r="I34">
        <v>660</v>
      </c>
      <c r="J34" t="s">
        <v>3573</v>
      </c>
      <c r="K34">
        <v>413</v>
      </c>
      <c r="L34">
        <v>660</v>
      </c>
      <c r="M34">
        <v>90</v>
      </c>
      <c r="N34">
        <v>90</v>
      </c>
      <c r="O34">
        <v>0</v>
      </c>
      <c r="P34">
        <v>0</v>
      </c>
    </row>
    <row r="35" spans="1:16" hidden="1" x14ac:dyDescent="0.25">
      <c r="A35" t="s">
        <v>95</v>
      </c>
      <c r="B35">
        <v>0.1132</v>
      </c>
      <c r="C35">
        <v>283</v>
      </c>
      <c r="D35">
        <v>283</v>
      </c>
      <c r="E35">
        <v>0.33200000000000002</v>
      </c>
      <c r="F35">
        <v>1400</v>
      </c>
      <c r="G35">
        <v>0.55520000000000003</v>
      </c>
      <c r="H35">
        <v>825</v>
      </c>
      <c r="I35">
        <v>2225</v>
      </c>
      <c r="J35" t="s">
        <v>3573</v>
      </c>
      <c r="K35">
        <v>1400</v>
      </c>
      <c r="L35">
        <v>2220</v>
      </c>
      <c r="M35">
        <v>280</v>
      </c>
      <c r="N35">
        <v>280</v>
      </c>
      <c r="O35">
        <v>0</v>
      </c>
      <c r="P35">
        <v>0</v>
      </c>
    </row>
    <row r="36" spans="1:16" hidden="1" x14ac:dyDescent="0.25">
      <c r="A36" t="s">
        <v>98</v>
      </c>
      <c r="B36">
        <v>0.1142857142857143</v>
      </c>
      <c r="C36">
        <v>40</v>
      </c>
      <c r="D36">
        <v>40</v>
      </c>
      <c r="E36">
        <v>0.33142857142857141</v>
      </c>
      <c r="F36">
        <v>193</v>
      </c>
      <c r="G36">
        <v>0.55428571428571427</v>
      </c>
      <c r="H36">
        <v>116</v>
      </c>
      <c r="I36">
        <v>308</v>
      </c>
      <c r="J36" t="s">
        <v>3573</v>
      </c>
      <c r="K36">
        <v>193</v>
      </c>
      <c r="L36">
        <v>310</v>
      </c>
      <c r="M36">
        <v>40</v>
      </c>
      <c r="N36">
        <v>40</v>
      </c>
      <c r="O36">
        <v>0</v>
      </c>
      <c r="P36">
        <v>0</v>
      </c>
    </row>
    <row r="37" spans="1:16" hidden="1" x14ac:dyDescent="0.25">
      <c r="A37" t="s">
        <v>99</v>
      </c>
      <c r="B37">
        <v>0.114</v>
      </c>
      <c r="C37">
        <v>57</v>
      </c>
      <c r="D37">
        <v>57</v>
      </c>
      <c r="E37">
        <v>0.33200000000000002</v>
      </c>
      <c r="F37">
        <v>280</v>
      </c>
      <c r="G37">
        <v>0.55600000000000005</v>
      </c>
      <c r="H37">
        <v>165</v>
      </c>
      <c r="I37">
        <v>445</v>
      </c>
      <c r="J37" t="s">
        <v>3573</v>
      </c>
      <c r="K37">
        <v>280</v>
      </c>
      <c r="L37">
        <v>445</v>
      </c>
      <c r="M37">
        <v>55</v>
      </c>
      <c r="N37">
        <v>55</v>
      </c>
      <c r="O37">
        <v>0</v>
      </c>
      <c r="P37">
        <v>0</v>
      </c>
    </row>
    <row r="38" spans="1:16" hidden="1" x14ac:dyDescent="0.25">
      <c r="A38" t="s">
        <v>100</v>
      </c>
      <c r="B38">
        <v>0.114</v>
      </c>
      <c r="C38">
        <v>57</v>
      </c>
      <c r="D38">
        <v>57</v>
      </c>
      <c r="E38">
        <v>0.33200000000000002</v>
      </c>
      <c r="F38">
        <v>280</v>
      </c>
      <c r="G38">
        <v>0.55600000000000005</v>
      </c>
      <c r="H38">
        <v>165</v>
      </c>
      <c r="I38">
        <v>445</v>
      </c>
      <c r="J38" t="s">
        <v>3573</v>
      </c>
      <c r="K38">
        <v>280</v>
      </c>
      <c r="L38">
        <v>445</v>
      </c>
      <c r="M38">
        <v>55</v>
      </c>
      <c r="N38">
        <v>55</v>
      </c>
      <c r="O38">
        <v>0</v>
      </c>
      <c r="P38">
        <v>0</v>
      </c>
    </row>
    <row r="39" spans="1:16" hidden="1" x14ac:dyDescent="0.25">
      <c r="A39" t="s">
        <v>103</v>
      </c>
      <c r="B39">
        <v>0.113</v>
      </c>
      <c r="C39">
        <v>226</v>
      </c>
      <c r="D39">
        <v>226</v>
      </c>
      <c r="E39">
        <v>0.33200000000000002</v>
      </c>
      <c r="F39">
        <v>1120</v>
      </c>
      <c r="G39">
        <v>0.55500000000000005</v>
      </c>
      <c r="H39">
        <v>660</v>
      </c>
      <c r="I39">
        <v>1780</v>
      </c>
      <c r="J39" t="s">
        <v>3573</v>
      </c>
      <c r="K39">
        <v>1120</v>
      </c>
      <c r="L39">
        <v>1780</v>
      </c>
      <c r="M39">
        <v>220</v>
      </c>
      <c r="N39">
        <v>220</v>
      </c>
      <c r="O39">
        <v>127</v>
      </c>
      <c r="P39">
        <v>993</v>
      </c>
    </row>
    <row r="40" spans="1:16" hidden="1" x14ac:dyDescent="0.25">
      <c r="A40" t="s">
        <v>107</v>
      </c>
      <c r="B40">
        <v>0.114</v>
      </c>
      <c r="C40">
        <v>57</v>
      </c>
      <c r="D40">
        <v>57</v>
      </c>
      <c r="E40">
        <v>0.33200000000000002</v>
      </c>
      <c r="F40">
        <v>280</v>
      </c>
      <c r="G40">
        <v>0.55600000000000005</v>
      </c>
      <c r="H40">
        <v>165</v>
      </c>
      <c r="I40">
        <v>445</v>
      </c>
      <c r="J40" t="s">
        <v>3573</v>
      </c>
      <c r="K40">
        <v>280</v>
      </c>
      <c r="L40">
        <v>445</v>
      </c>
      <c r="M40">
        <v>55</v>
      </c>
      <c r="N40">
        <v>55</v>
      </c>
      <c r="O40">
        <v>35</v>
      </c>
      <c r="P40">
        <v>265</v>
      </c>
    </row>
    <row r="41" spans="1:16" hidden="1" x14ac:dyDescent="0.25">
      <c r="A41" t="s">
        <v>110</v>
      </c>
      <c r="B41">
        <v>0.113</v>
      </c>
      <c r="C41">
        <v>113</v>
      </c>
      <c r="D41">
        <v>113</v>
      </c>
      <c r="E41">
        <v>0.33200000000000002</v>
      </c>
      <c r="F41">
        <v>560</v>
      </c>
      <c r="G41">
        <v>0.55500000000000005</v>
      </c>
      <c r="H41">
        <v>330</v>
      </c>
      <c r="I41">
        <v>890</v>
      </c>
      <c r="J41" t="s">
        <v>3573</v>
      </c>
      <c r="K41">
        <v>560</v>
      </c>
      <c r="L41">
        <v>890</v>
      </c>
      <c r="M41">
        <v>110</v>
      </c>
      <c r="N41">
        <v>110</v>
      </c>
      <c r="O41">
        <v>71</v>
      </c>
      <c r="P41">
        <v>552</v>
      </c>
    </row>
    <row r="42" spans="1:16" hidden="1" x14ac:dyDescent="0.25">
      <c r="A42" t="s">
        <v>113</v>
      </c>
      <c r="B42">
        <v>0.113</v>
      </c>
      <c r="C42">
        <v>113</v>
      </c>
      <c r="D42">
        <v>113</v>
      </c>
      <c r="E42">
        <v>0.33200000000000002</v>
      </c>
      <c r="F42">
        <v>560</v>
      </c>
      <c r="G42">
        <v>0.55500000000000005</v>
      </c>
      <c r="H42">
        <v>330</v>
      </c>
      <c r="I42">
        <v>890</v>
      </c>
      <c r="J42" t="s">
        <v>3573</v>
      </c>
      <c r="K42">
        <v>560</v>
      </c>
      <c r="L42">
        <v>890</v>
      </c>
      <c r="M42">
        <v>110</v>
      </c>
      <c r="N42">
        <v>110</v>
      </c>
      <c r="O42">
        <v>0</v>
      </c>
      <c r="P42">
        <v>0</v>
      </c>
    </row>
    <row r="43" spans="1:16" hidden="1" x14ac:dyDescent="0.25">
      <c r="A43" t="s">
        <v>114</v>
      </c>
      <c r="B43">
        <v>0.113</v>
      </c>
      <c r="C43">
        <v>113</v>
      </c>
      <c r="D43">
        <v>113</v>
      </c>
      <c r="E43">
        <v>0.33200000000000002</v>
      </c>
      <c r="F43">
        <v>560</v>
      </c>
      <c r="G43">
        <v>0.55500000000000005</v>
      </c>
      <c r="H43">
        <v>330</v>
      </c>
      <c r="I43">
        <v>890</v>
      </c>
      <c r="J43" t="s">
        <v>3573</v>
      </c>
      <c r="K43">
        <v>560</v>
      </c>
      <c r="L43">
        <v>890</v>
      </c>
      <c r="M43">
        <v>110</v>
      </c>
      <c r="N43">
        <v>110</v>
      </c>
      <c r="O43">
        <v>0</v>
      </c>
      <c r="P43">
        <v>0</v>
      </c>
    </row>
    <row r="44" spans="1:16" hidden="1" x14ac:dyDescent="0.25">
      <c r="A44" t="s">
        <v>118</v>
      </c>
      <c r="B44">
        <v>0.1127272727272727</v>
      </c>
      <c r="C44">
        <v>124</v>
      </c>
      <c r="D44">
        <v>124</v>
      </c>
      <c r="E44">
        <v>0.33181818181818179</v>
      </c>
      <c r="F44">
        <v>616</v>
      </c>
      <c r="G44">
        <v>0.55545454545454542</v>
      </c>
      <c r="H44">
        <v>363</v>
      </c>
      <c r="I44">
        <v>979</v>
      </c>
      <c r="J44" t="s">
        <v>3573</v>
      </c>
      <c r="K44">
        <v>616</v>
      </c>
      <c r="L44">
        <v>975</v>
      </c>
      <c r="M44">
        <v>125</v>
      </c>
      <c r="N44">
        <v>125</v>
      </c>
      <c r="O44">
        <v>0</v>
      </c>
      <c r="P44">
        <v>0</v>
      </c>
    </row>
    <row r="45" spans="1:16" hidden="1" x14ac:dyDescent="0.25">
      <c r="A45" t="s">
        <v>121</v>
      </c>
      <c r="B45">
        <v>0.1136363636363636</v>
      </c>
      <c r="C45">
        <v>125</v>
      </c>
      <c r="D45">
        <v>125</v>
      </c>
      <c r="E45">
        <v>0.33</v>
      </c>
      <c r="F45">
        <v>616</v>
      </c>
      <c r="G45">
        <v>0.55636363636363639</v>
      </c>
      <c r="H45">
        <v>363</v>
      </c>
      <c r="I45">
        <v>979</v>
      </c>
      <c r="J45" t="s">
        <v>3573</v>
      </c>
      <c r="K45">
        <v>616</v>
      </c>
      <c r="L45">
        <v>975</v>
      </c>
      <c r="M45">
        <v>125</v>
      </c>
      <c r="N45">
        <v>125</v>
      </c>
      <c r="O45">
        <v>0</v>
      </c>
      <c r="P45">
        <v>0</v>
      </c>
    </row>
    <row r="46" spans="1:16" hidden="1" x14ac:dyDescent="0.25">
      <c r="A46" t="s">
        <v>124</v>
      </c>
      <c r="B46">
        <v>1</v>
      </c>
      <c r="C46">
        <v>1200</v>
      </c>
      <c r="D46">
        <v>1200</v>
      </c>
      <c r="I46">
        <v>0</v>
      </c>
      <c r="J46" t="s">
        <v>3574</v>
      </c>
      <c r="K46">
        <v>0</v>
      </c>
      <c r="L46">
        <v>0</v>
      </c>
      <c r="M46">
        <v>1200</v>
      </c>
      <c r="N46">
        <v>1200</v>
      </c>
      <c r="O46">
        <v>1068</v>
      </c>
      <c r="P46">
        <v>0</v>
      </c>
    </row>
    <row r="47" spans="1:16" hidden="1" x14ac:dyDescent="0.25">
      <c r="A47" t="s">
        <v>127</v>
      </c>
      <c r="B47">
        <v>1</v>
      </c>
      <c r="C47">
        <v>5200</v>
      </c>
      <c r="D47">
        <v>5200</v>
      </c>
      <c r="I47">
        <v>0</v>
      </c>
      <c r="J47" t="s">
        <v>3574</v>
      </c>
      <c r="K47">
        <v>0</v>
      </c>
      <c r="L47">
        <v>0</v>
      </c>
      <c r="M47">
        <v>5200</v>
      </c>
      <c r="N47">
        <v>5200</v>
      </c>
      <c r="O47">
        <v>4290</v>
      </c>
      <c r="P47">
        <v>0</v>
      </c>
    </row>
    <row r="48" spans="1:16" hidden="1" x14ac:dyDescent="0.25">
      <c r="A48" t="s">
        <v>131</v>
      </c>
      <c r="B48">
        <v>1</v>
      </c>
      <c r="C48">
        <v>4000</v>
      </c>
      <c r="D48">
        <v>4000</v>
      </c>
      <c r="I48">
        <v>0</v>
      </c>
      <c r="J48" t="s">
        <v>3574</v>
      </c>
      <c r="K48">
        <v>0</v>
      </c>
      <c r="L48">
        <v>0</v>
      </c>
      <c r="M48">
        <v>4000</v>
      </c>
      <c r="N48">
        <v>4000</v>
      </c>
      <c r="O48">
        <v>3800</v>
      </c>
      <c r="P48">
        <v>0</v>
      </c>
    </row>
    <row r="49" spans="1:16" hidden="1" x14ac:dyDescent="0.25">
      <c r="A49" t="s">
        <v>135</v>
      </c>
      <c r="B49">
        <v>1</v>
      </c>
      <c r="C49">
        <v>1200</v>
      </c>
      <c r="D49">
        <v>1200</v>
      </c>
      <c r="I49">
        <v>0</v>
      </c>
      <c r="J49" t="s">
        <v>3574</v>
      </c>
      <c r="K49">
        <v>0</v>
      </c>
      <c r="L49">
        <v>0</v>
      </c>
      <c r="M49">
        <v>1200</v>
      </c>
      <c r="N49">
        <v>1200</v>
      </c>
      <c r="O49">
        <v>0</v>
      </c>
      <c r="P49">
        <v>0</v>
      </c>
    </row>
    <row r="50" spans="1:16" hidden="1" x14ac:dyDescent="0.25">
      <c r="A50" t="s">
        <v>138</v>
      </c>
      <c r="B50">
        <v>1</v>
      </c>
      <c r="C50">
        <v>700</v>
      </c>
      <c r="D50">
        <v>700</v>
      </c>
      <c r="I50">
        <v>0</v>
      </c>
      <c r="J50" t="s">
        <v>3574</v>
      </c>
      <c r="K50">
        <v>0</v>
      </c>
      <c r="L50">
        <v>0</v>
      </c>
      <c r="M50">
        <v>700</v>
      </c>
      <c r="N50">
        <v>700</v>
      </c>
      <c r="O50">
        <v>371</v>
      </c>
      <c r="P50">
        <v>0</v>
      </c>
    </row>
    <row r="51" spans="1:16" hidden="1" x14ac:dyDescent="0.25">
      <c r="A51" t="s">
        <v>142</v>
      </c>
      <c r="B51">
        <v>1</v>
      </c>
      <c r="C51">
        <v>730</v>
      </c>
      <c r="D51">
        <v>730</v>
      </c>
      <c r="I51">
        <v>0</v>
      </c>
      <c r="J51" t="s">
        <v>3574</v>
      </c>
      <c r="K51">
        <v>0</v>
      </c>
      <c r="L51">
        <v>0</v>
      </c>
      <c r="M51">
        <v>730</v>
      </c>
      <c r="N51">
        <v>730</v>
      </c>
      <c r="O51">
        <v>679</v>
      </c>
      <c r="P51">
        <v>0</v>
      </c>
    </row>
    <row r="52" spans="1:16" hidden="1" x14ac:dyDescent="0.25">
      <c r="A52" t="s">
        <v>146</v>
      </c>
      <c r="B52">
        <v>1</v>
      </c>
      <c r="C52">
        <v>2000</v>
      </c>
      <c r="D52">
        <v>2000</v>
      </c>
      <c r="I52">
        <v>0</v>
      </c>
      <c r="J52" t="s">
        <v>3574</v>
      </c>
      <c r="K52">
        <v>0</v>
      </c>
      <c r="L52">
        <v>0</v>
      </c>
      <c r="M52">
        <v>2000</v>
      </c>
      <c r="N52">
        <v>2000</v>
      </c>
      <c r="O52">
        <v>0</v>
      </c>
      <c r="P52">
        <v>0</v>
      </c>
    </row>
    <row r="53" spans="1:16" hidden="1" x14ac:dyDescent="0.25">
      <c r="A53" t="s">
        <v>149</v>
      </c>
      <c r="B53">
        <v>1</v>
      </c>
      <c r="C53">
        <v>2980</v>
      </c>
      <c r="D53">
        <v>2980</v>
      </c>
      <c r="I53">
        <v>0</v>
      </c>
      <c r="J53" t="s">
        <v>3574</v>
      </c>
      <c r="K53">
        <v>0</v>
      </c>
      <c r="L53">
        <v>0</v>
      </c>
      <c r="M53">
        <v>2980</v>
      </c>
      <c r="N53">
        <v>2980</v>
      </c>
      <c r="O53">
        <v>2086</v>
      </c>
      <c r="P53">
        <v>0</v>
      </c>
    </row>
    <row r="54" spans="1:16" hidden="1" x14ac:dyDescent="0.25">
      <c r="A54" t="s">
        <v>153</v>
      </c>
      <c r="B54">
        <v>1</v>
      </c>
      <c r="C54">
        <v>1200</v>
      </c>
      <c r="D54">
        <v>1200</v>
      </c>
      <c r="I54">
        <v>0</v>
      </c>
      <c r="J54" t="s">
        <v>3574</v>
      </c>
      <c r="K54">
        <v>0</v>
      </c>
      <c r="L54">
        <v>0</v>
      </c>
      <c r="M54">
        <v>1200</v>
      </c>
      <c r="N54">
        <v>1200</v>
      </c>
      <c r="O54">
        <v>0</v>
      </c>
      <c r="P54">
        <v>0</v>
      </c>
    </row>
    <row r="55" spans="1:16" hidden="1" x14ac:dyDescent="0.25">
      <c r="A55" t="s">
        <v>156</v>
      </c>
      <c r="B55">
        <v>1</v>
      </c>
      <c r="C55">
        <v>1000</v>
      </c>
      <c r="D55">
        <v>1000</v>
      </c>
      <c r="I55">
        <v>0</v>
      </c>
      <c r="J55" t="s">
        <v>3574</v>
      </c>
      <c r="K55">
        <v>0</v>
      </c>
      <c r="L55">
        <v>0</v>
      </c>
      <c r="M55">
        <v>1000</v>
      </c>
      <c r="N55">
        <v>1000</v>
      </c>
      <c r="O55">
        <v>590</v>
      </c>
      <c r="P55">
        <v>0</v>
      </c>
    </row>
    <row r="56" spans="1:16" hidden="1" x14ac:dyDescent="0.25">
      <c r="A56" t="s">
        <v>159</v>
      </c>
      <c r="B56">
        <v>1</v>
      </c>
      <c r="C56">
        <v>4500</v>
      </c>
      <c r="D56">
        <v>4500</v>
      </c>
      <c r="I56">
        <v>0</v>
      </c>
      <c r="J56" t="s">
        <v>3574</v>
      </c>
      <c r="K56">
        <v>0</v>
      </c>
      <c r="L56">
        <v>0</v>
      </c>
      <c r="M56">
        <v>4500</v>
      </c>
      <c r="N56">
        <v>4500</v>
      </c>
      <c r="O56">
        <v>3735</v>
      </c>
      <c r="P56">
        <v>0</v>
      </c>
    </row>
    <row r="57" spans="1:16" hidden="1" x14ac:dyDescent="0.25">
      <c r="A57" t="s">
        <v>162</v>
      </c>
      <c r="B57">
        <v>1</v>
      </c>
      <c r="C57">
        <v>2000</v>
      </c>
      <c r="D57">
        <v>2000</v>
      </c>
      <c r="I57">
        <v>0</v>
      </c>
      <c r="J57" t="s">
        <v>3574</v>
      </c>
      <c r="K57">
        <v>0</v>
      </c>
      <c r="L57">
        <v>0</v>
      </c>
      <c r="M57">
        <v>2000</v>
      </c>
      <c r="N57">
        <v>2000</v>
      </c>
      <c r="O57">
        <v>2000</v>
      </c>
      <c r="P57">
        <v>0</v>
      </c>
    </row>
    <row r="58" spans="1:16" hidden="1" x14ac:dyDescent="0.25">
      <c r="A58" t="s">
        <v>166</v>
      </c>
      <c r="B58">
        <v>1</v>
      </c>
      <c r="C58">
        <v>1200</v>
      </c>
      <c r="D58">
        <v>1200</v>
      </c>
      <c r="I58">
        <v>0</v>
      </c>
      <c r="J58" t="s">
        <v>3574</v>
      </c>
      <c r="K58">
        <v>0</v>
      </c>
      <c r="L58">
        <v>0</v>
      </c>
      <c r="M58">
        <v>1200</v>
      </c>
      <c r="N58">
        <v>1200</v>
      </c>
      <c r="O58">
        <v>1019</v>
      </c>
      <c r="P58">
        <v>0</v>
      </c>
    </row>
    <row r="59" spans="1:16" hidden="1" x14ac:dyDescent="0.25">
      <c r="A59" t="s">
        <v>170</v>
      </c>
      <c r="B59">
        <v>1</v>
      </c>
      <c r="C59">
        <v>3600</v>
      </c>
      <c r="D59">
        <v>3600</v>
      </c>
      <c r="I59">
        <v>0</v>
      </c>
      <c r="J59" t="s">
        <v>3574</v>
      </c>
      <c r="K59">
        <v>0</v>
      </c>
      <c r="L59">
        <v>0</v>
      </c>
      <c r="M59">
        <v>3600</v>
      </c>
      <c r="N59">
        <v>3600</v>
      </c>
      <c r="O59">
        <v>0</v>
      </c>
      <c r="P59">
        <v>0</v>
      </c>
    </row>
    <row r="60" spans="1:16" hidden="1" x14ac:dyDescent="0.25">
      <c r="A60" t="s">
        <v>174</v>
      </c>
      <c r="B60">
        <v>1</v>
      </c>
      <c r="C60">
        <v>1200</v>
      </c>
      <c r="D60">
        <v>1200</v>
      </c>
      <c r="I60">
        <v>0</v>
      </c>
      <c r="J60" t="s">
        <v>3574</v>
      </c>
      <c r="K60">
        <v>0</v>
      </c>
      <c r="L60">
        <v>0</v>
      </c>
      <c r="M60">
        <v>1200</v>
      </c>
      <c r="N60">
        <v>1200</v>
      </c>
      <c r="O60">
        <v>806</v>
      </c>
      <c r="P60">
        <v>0</v>
      </c>
    </row>
    <row r="61" spans="1:16" hidden="1" x14ac:dyDescent="0.25">
      <c r="A61" t="s">
        <v>177</v>
      </c>
      <c r="B61">
        <v>1</v>
      </c>
      <c r="C61">
        <v>3440</v>
      </c>
      <c r="D61">
        <v>3440</v>
      </c>
      <c r="I61">
        <v>0</v>
      </c>
      <c r="J61" t="s">
        <v>3574</v>
      </c>
      <c r="K61">
        <v>0</v>
      </c>
      <c r="L61">
        <v>0</v>
      </c>
      <c r="M61">
        <v>3440</v>
      </c>
      <c r="N61">
        <v>3440</v>
      </c>
      <c r="O61">
        <v>0</v>
      </c>
      <c r="P61">
        <v>0</v>
      </c>
    </row>
    <row r="62" spans="1:16" hidden="1" x14ac:dyDescent="0.25">
      <c r="A62" t="s">
        <v>180</v>
      </c>
      <c r="B62">
        <v>1</v>
      </c>
      <c r="C62">
        <v>1300</v>
      </c>
      <c r="D62">
        <v>1300</v>
      </c>
      <c r="I62">
        <v>0</v>
      </c>
      <c r="J62" t="s">
        <v>3574</v>
      </c>
      <c r="K62">
        <v>0</v>
      </c>
      <c r="L62">
        <v>0</v>
      </c>
      <c r="M62">
        <v>1300</v>
      </c>
      <c r="N62">
        <v>1300</v>
      </c>
      <c r="O62">
        <v>1235</v>
      </c>
      <c r="P62">
        <v>0</v>
      </c>
    </row>
    <row r="63" spans="1:16" hidden="1" x14ac:dyDescent="0.25">
      <c r="A63" t="s">
        <v>183</v>
      </c>
      <c r="B63">
        <v>1</v>
      </c>
      <c r="C63">
        <v>2400</v>
      </c>
      <c r="D63">
        <v>2400</v>
      </c>
      <c r="I63">
        <v>0</v>
      </c>
      <c r="J63" t="s">
        <v>3574</v>
      </c>
      <c r="K63">
        <v>0</v>
      </c>
      <c r="L63">
        <v>0</v>
      </c>
      <c r="M63">
        <v>2400</v>
      </c>
      <c r="N63">
        <v>2400</v>
      </c>
      <c r="O63">
        <v>2040</v>
      </c>
      <c r="P63">
        <v>0</v>
      </c>
    </row>
    <row r="64" spans="1:16" hidden="1" x14ac:dyDescent="0.25">
      <c r="A64" t="s">
        <v>187</v>
      </c>
      <c r="B64">
        <v>1</v>
      </c>
      <c r="C64">
        <v>1000</v>
      </c>
      <c r="D64">
        <v>1000</v>
      </c>
      <c r="I64">
        <v>0</v>
      </c>
      <c r="J64" t="s">
        <v>3574</v>
      </c>
      <c r="K64">
        <v>0</v>
      </c>
      <c r="L64">
        <v>0</v>
      </c>
      <c r="M64">
        <v>1000</v>
      </c>
      <c r="N64">
        <v>1000</v>
      </c>
      <c r="O64">
        <v>953</v>
      </c>
      <c r="P64">
        <v>0</v>
      </c>
    </row>
    <row r="65" spans="1:16" hidden="1" x14ac:dyDescent="0.25">
      <c r="A65" t="s">
        <v>190</v>
      </c>
      <c r="B65">
        <v>1</v>
      </c>
      <c r="C65">
        <v>800</v>
      </c>
      <c r="D65">
        <v>800</v>
      </c>
      <c r="I65">
        <v>0</v>
      </c>
      <c r="J65" t="s">
        <v>3574</v>
      </c>
      <c r="K65">
        <v>0</v>
      </c>
      <c r="L65">
        <v>0</v>
      </c>
      <c r="M65">
        <v>800</v>
      </c>
      <c r="N65">
        <v>800</v>
      </c>
      <c r="O65">
        <v>0</v>
      </c>
      <c r="P65">
        <v>0</v>
      </c>
    </row>
    <row r="66" spans="1:16" hidden="1" x14ac:dyDescent="0.25">
      <c r="A66" t="s">
        <v>193</v>
      </c>
      <c r="B66">
        <v>1</v>
      </c>
      <c r="C66">
        <v>1000</v>
      </c>
      <c r="D66">
        <v>1000</v>
      </c>
      <c r="I66">
        <v>0</v>
      </c>
      <c r="J66" t="s">
        <v>3574</v>
      </c>
      <c r="K66">
        <v>0</v>
      </c>
      <c r="L66">
        <v>0</v>
      </c>
      <c r="M66">
        <v>1000</v>
      </c>
      <c r="N66">
        <v>1000</v>
      </c>
      <c r="O66">
        <v>450</v>
      </c>
      <c r="P66">
        <v>0</v>
      </c>
    </row>
    <row r="67" spans="1:16" hidden="1" x14ac:dyDescent="0.25">
      <c r="A67" t="s">
        <v>196</v>
      </c>
      <c r="B67">
        <v>1</v>
      </c>
      <c r="C67">
        <v>4000</v>
      </c>
      <c r="D67">
        <v>4000</v>
      </c>
      <c r="I67">
        <v>0</v>
      </c>
      <c r="J67" t="s">
        <v>3574</v>
      </c>
      <c r="K67">
        <v>0</v>
      </c>
      <c r="L67">
        <v>0</v>
      </c>
      <c r="M67">
        <v>4000</v>
      </c>
      <c r="N67">
        <v>4000</v>
      </c>
      <c r="O67">
        <v>3300</v>
      </c>
      <c r="P67">
        <v>0</v>
      </c>
    </row>
    <row r="68" spans="1:16" hidden="1" x14ac:dyDescent="0.25">
      <c r="A68" t="s">
        <v>200</v>
      </c>
      <c r="B68">
        <v>1</v>
      </c>
      <c r="C68">
        <v>2000</v>
      </c>
      <c r="D68">
        <v>2000</v>
      </c>
      <c r="I68">
        <v>0</v>
      </c>
      <c r="J68" t="s">
        <v>3574</v>
      </c>
      <c r="K68">
        <v>0</v>
      </c>
      <c r="L68">
        <v>0</v>
      </c>
      <c r="M68">
        <v>2000</v>
      </c>
      <c r="N68">
        <v>2000</v>
      </c>
      <c r="O68">
        <v>1460</v>
      </c>
      <c r="P68">
        <v>0</v>
      </c>
    </row>
    <row r="69" spans="1:16" hidden="1" x14ac:dyDescent="0.25">
      <c r="A69" t="s">
        <v>203</v>
      </c>
      <c r="B69">
        <v>1</v>
      </c>
      <c r="C69">
        <v>2000</v>
      </c>
      <c r="D69">
        <v>2000</v>
      </c>
      <c r="I69">
        <v>0</v>
      </c>
      <c r="J69" t="s">
        <v>3574</v>
      </c>
      <c r="K69">
        <v>0</v>
      </c>
      <c r="L69">
        <v>0</v>
      </c>
      <c r="M69">
        <v>2000</v>
      </c>
      <c r="N69">
        <v>2000</v>
      </c>
      <c r="O69">
        <v>820</v>
      </c>
      <c r="P69">
        <v>0</v>
      </c>
    </row>
    <row r="70" spans="1:16" hidden="1" x14ac:dyDescent="0.25">
      <c r="A70" t="s">
        <v>206</v>
      </c>
      <c r="B70">
        <v>1</v>
      </c>
      <c r="C70">
        <v>2000</v>
      </c>
      <c r="D70">
        <v>2000</v>
      </c>
      <c r="I70">
        <v>0</v>
      </c>
      <c r="J70" t="s">
        <v>3574</v>
      </c>
      <c r="K70">
        <v>0</v>
      </c>
      <c r="L70">
        <v>0</v>
      </c>
      <c r="M70">
        <v>2000</v>
      </c>
      <c r="N70">
        <v>2000</v>
      </c>
      <c r="O70">
        <v>600</v>
      </c>
      <c r="P70">
        <v>0</v>
      </c>
    </row>
    <row r="71" spans="1:16" hidden="1" x14ac:dyDescent="0.25">
      <c r="A71" t="s">
        <v>210</v>
      </c>
      <c r="B71">
        <v>1</v>
      </c>
      <c r="C71">
        <v>2000</v>
      </c>
      <c r="D71">
        <v>2000</v>
      </c>
      <c r="I71">
        <v>0</v>
      </c>
      <c r="J71" t="s">
        <v>3574</v>
      </c>
      <c r="K71">
        <v>0</v>
      </c>
      <c r="L71">
        <v>0</v>
      </c>
      <c r="M71">
        <v>2000</v>
      </c>
      <c r="N71">
        <v>2000</v>
      </c>
      <c r="O71">
        <v>1562</v>
      </c>
      <c r="P71">
        <v>0</v>
      </c>
    </row>
    <row r="72" spans="1:16" hidden="1" x14ac:dyDescent="0.25">
      <c r="A72" t="s">
        <v>213</v>
      </c>
      <c r="B72">
        <v>1</v>
      </c>
      <c r="C72">
        <v>500</v>
      </c>
      <c r="D72">
        <v>500</v>
      </c>
      <c r="I72">
        <v>0</v>
      </c>
      <c r="J72" t="s">
        <v>3574</v>
      </c>
      <c r="K72">
        <v>0</v>
      </c>
      <c r="L72">
        <v>0</v>
      </c>
      <c r="M72">
        <v>500</v>
      </c>
      <c r="N72">
        <v>500</v>
      </c>
      <c r="O72">
        <v>322</v>
      </c>
      <c r="P72">
        <v>0</v>
      </c>
    </row>
    <row r="73" spans="1:16" hidden="1" x14ac:dyDescent="0.25">
      <c r="A73" t="s">
        <v>214</v>
      </c>
      <c r="B73">
        <v>1</v>
      </c>
      <c r="C73">
        <v>1200</v>
      </c>
      <c r="D73">
        <v>1200</v>
      </c>
      <c r="I73">
        <v>0</v>
      </c>
      <c r="J73" t="s">
        <v>3574</v>
      </c>
      <c r="K73">
        <v>0</v>
      </c>
      <c r="L73">
        <v>0</v>
      </c>
      <c r="M73">
        <v>1200</v>
      </c>
      <c r="N73">
        <v>1200</v>
      </c>
      <c r="O73">
        <v>1062</v>
      </c>
      <c r="P73">
        <v>0</v>
      </c>
    </row>
    <row r="74" spans="1:16" hidden="1" x14ac:dyDescent="0.25">
      <c r="A74" t="s">
        <v>218</v>
      </c>
      <c r="B74">
        <v>1</v>
      </c>
      <c r="C74">
        <v>600</v>
      </c>
      <c r="D74">
        <v>600</v>
      </c>
      <c r="I74">
        <v>0</v>
      </c>
      <c r="J74" t="s">
        <v>3574</v>
      </c>
      <c r="K74">
        <v>0</v>
      </c>
      <c r="L74">
        <v>0</v>
      </c>
      <c r="M74">
        <v>600</v>
      </c>
      <c r="N74">
        <v>600</v>
      </c>
      <c r="O74">
        <v>431</v>
      </c>
      <c r="P74">
        <v>0</v>
      </c>
    </row>
    <row r="75" spans="1:16" hidden="1" x14ac:dyDescent="0.25">
      <c r="A75" t="s">
        <v>221</v>
      </c>
      <c r="B75">
        <v>1</v>
      </c>
      <c r="C75">
        <v>1000</v>
      </c>
      <c r="D75">
        <v>1000</v>
      </c>
      <c r="I75">
        <v>0</v>
      </c>
      <c r="J75" t="s">
        <v>3574</v>
      </c>
      <c r="K75">
        <v>0</v>
      </c>
      <c r="L75">
        <v>0</v>
      </c>
      <c r="M75">
        <v>1000</v>
      </c>
      <c r="N75">
        <v>1000</v>
      </c>
      <c r="O75">
        <v>240</v>
      </c>
      <c r="P75">
        <v>0</v>
      </c>
    </row>
    <row r="76" spans="1:16" hidden="1" x14ac:dyDescent="0.25">
      <c r="A76" t="s">
        <v>225</v>
      </c>
      <c r="B76">
        <v>1</v>
      </c>
      <c r="C76">
        <v>1700</v>
      </c>
      <c r="D76">
        <v>1700</v>
      </c>
      <c r="I76">
        <v>0</v>
      </c>
      <c r="J76" t="s">
        <v>3574</v>
      </c>
      <c r="K76">
        <v>0</v>
      </c>
      <c r="L76">
        <v>0</v>
      </c>
      <c r="M76">
        <v>1700</v>
      </c>
      <c r="N76">
        <v>1700</v>
      </c>
      <c r="O76">
        <v>1610</v>
      </c>
      <c r="P76">
        <v>0</v>
      </c>
    </row>
    <row r="77" spans="1:16" hidden="1" x14ac:dyDescent="0.25">
      <c r="A77" t="s">
        <v>228</v>
      </c>
      <c r="B77">
        <v>1</v>
      </c>
      <c r="C77">
        <v>1000</v>
      </c>
      <c r="D77">
        <v>1000</v>
      </c>
      <c r="I77">
        <v>0</v>
      </c>
      <c r="J77" t="s">
        <v>3574</v>
      </c>
      <c r="K77">
        <v>0</v>
      </c>
      <c r="L77">
        <v>0</v>
      </c>
      <c r="M77">
        <v>1000</v>
      </c>
      <c r="N77">
        <v>1000</v>
      </c>
      <c r="O77">
        <v>827</v>
      </c>
      <c r="P77">
        <v>0</v>
      </c>
    </row>
    <row r="78" spans="1:16" hidden="1" x14ac:dyDescent="0.25">
      <c r="A78" t="s">
        <v>232</v>
      </c>
      <c r="B78">
        <v>1</v>
      </c>
      <c r="C78">
        <v>1200</v>
      </c>
      <c r="D78">
        <v>1200</v>
      </c>
      <c r="I78">
        <v>0</v>
      </c>
      <c r="J78" t="s">
        <v>3574</v>
      </c>
      <c r="K78">
        <v>0</v>
      </c>
      <c r="L78">
        <v>0</v>
      </c>
      <c r="M78">
        <v>1200</v>
      </c>
      <c r="N78">
        <v>1200</v>
      </c>
      <c r="O78">
        <v>1140</v>
      </c>
      <c r="P78">
        <v>0</v>
      </c>
    </row>
    <row r="79" spans="1:16" hidden="1" x14ac:dyDescent="0.25">
      <c r="A79" t="s">
        <v>235</v>
      </c>
      <c r="B79">
        <v>1</v>
      </c>
      <c r="C79">
        <v>2000</v>
      </c>
      <c r="D79">
        <v>2000</v>
      </c>
      <c r="I79">
        <v>0</v>
      </c>
      <c r="J79" t="s">
        <v>3574</v>
      </c>
      <c r="K79">
        <v>0</v>
      </c>
      <c r="L79">
        <v>0</v>
      </c>
      <c r="M79">
        <v>2000</v>
      </c>
      <c r="N79">
        <v>2000</v>
      </c>
      <c r="O79">
        <v>1514</v>
      </c>
      <c r="P79">
        <v>0</v>
      </c>
    </row>
    <row r="80" spans="1:16" hidden="1" x14ac:dyDescent="0.25">
      <c r="A80" t="s">
        <v>238</v>
      </c>
      <c r="B80">
        <v>1</v>
      </c>
      <c r="C80">
        <v>1000</v>
      </c>
      <c r="D80">
        <v>1000</v>
      </c>
      <c r="I80">
        <v>0</v>
      </c>
      <c r="J80" t="s">
        <v>3574</v>
      </c>
      <c r="K80">
        <v>0</v>
      </c>
      <c r="L80">
        <v>0</v>
      </c>
      <c r="M80">
        <v>1000</v>
      </c>
      <c r="N80">
        <v>1000</v>
      </c>
      <c r="O80">
        <v>580</v>
      </c>
      <c r="P80">
        <v>0</v>
      </c>
    </row>
    <row r="81" spans="1:16" hidden="1" x14ac:dyDescent="0.25">
      <c r="A81" t="s">
        <v>241</v>
      </c>
      <c r="B81">
        <v>1</v>
      </c>
      <c r="C81">
        <v>1000</v>
      </c>
      <c r="D81">
        <v>1000</v>
      </c>
      <c r="I81">
        <v>0</v>
      </c>
      <c r="J81" t="s">
        <v>3574</v>
      </c>
      <c r="K81">
        <v>0</v>
      </c>
      <c r="L81">
        <v>0</v>
      </c>
      <c r="M81">
        <v>1000</v>
      </c>
      <c r="N81">
        <v>1000</v>
      </c>
      <c r="O81">
        <v>1000</v>
      </c>
      <c r="P81">
        <v>0</v>
      </c>
    </row>
    <row r="82" spans="1:16" hidden="1" x14ac:dyDescent="0.25">
      <c r="A82" t="s">
        <v>244</v>
      </c>
      <c r="B82">
        <v>1</v>
      </c>
      <c r="C82">
        <v>1800</v>
      </c>
      <c r="D82">
        <v>1800</v>
      </c>
      <c r="I82">
        <v>0</v>
      </c>
      <c r="J82" t="s">
        <v>3574</v>
      </c>
      <c r="K82">
        <v>0</v>
      </c>
      <c r="L82">
        <v>0</v>
      </c>
      <c r="M82">
        <v>1800</v>
      </c>
      <c r="N82">
        <v>1800</v>
      </c>
      <c r="O82">
        <v>0</v>
      </c>
      <c r="P82">
        <v>0</v>
      </c>
    </row>
    <row r="83" spans="1:16" hidden="1" x14ac:dyDescent="0.25">
      <c r="A83" t="s">
        <v>245</v>
      </c>
      <c r="B83">
        <v>1</v>
      </c>
      <c r="C83">
        <v>650</v>
      </c>
      <c r="D83">
        <v>650</v>
      </c>
      <c r="I83">
        <v>0</v>
      </c>
      <c r="J83" t="s">
        <v>3574</v>
      </c>
      <c r="K83">
        <v>0</v>
      </c>
      <c r="L83">
        <v>0</v>
      </c>
      <c r="M83">
        <v>650</v>
      </c>
      <c r="N83">
        <v>650</v>
      </c>
      <c r="O83">
        <v>650</v>
      </c>
      <c r="P83">
        <v>0</v>
      </c>
    </row>
    <row r="84" spans="1:16" hidden="1" x14ac:dyDescent="0.25">
      <c r="A84" t="s">
        <v>249</v>
      </c>
      <c r="B84">
        <v>1</v>
      </c>
      <c r="C84">
        <v>1000</v>
      </c>
      <c r="D84">
        <v>1000</v>
      </c>
      <c r="I84">
        <v>0</v>
      </c>
      <c r="J84" t="s">
        <v>3574</v>
      </c>
      <c r="K84">
        <v>0</v>
      </c>
      <c r="L84">
        <v>0</v>
      </c>
      <c r="M84">
        <v>1000</v>
      </c>
      <c r="N84">
        <v>1000</v>
      </c>
      <c r="O84">
        <v>971</v>
      </c>
      <c r="P84">
        <v>0</v>
      </c>
    </row>
    <row r="85" spans="1:16" hidden="1" x14ac:dyDescent="0.25">
      <c r="A85" t="s">
        <v>252</v>
      </c>
      <c r="B85">
        <v>1</v>
      </c>
      <c r="C85">
        <v>1730</v>
      </c>
      <c r="D85">
        <v>1730</v>
      </c>
      <c r="I85">
        <v>0</v>
      </c>
      <c r="J85" t="s">
        <v>3574</v>
      </c>
      <c r="K85">
        <v>0</v>
      </c>
      <c r="L85">
        <v>0</v>
      </c>
      <c r="M85">
        <v>1730</v>
      </c>
      <c r="N85">
        <v>1730</v>
      </c>
      <c r="O85">
        <v>1226</v>
      </c>
      <c r="P85">
        <v>0</v>
      </c>
    </row>
    <row r="86" spans="1:16" hidden="1" x14ac:dyDescent="0.25">
      <c r="A86" t="s">
        <v>256</v>
      </c>
      <c r="B86">
        <v>1</v>
      </c>
      <c r="C86">
        <v>1000</v>
      </c>
      <c r="D86">
        <v>1000</v>
      </c>
      <c r="I86">
        <v>0</v>
      </c>
      <c r="J86" t="s">
        <v>3574</v>
      </c>
      <c r="K86">
        <v>0</v>
      </c>
      <c r="L86">
        <v>0</v>
      </c>
      <c r="M86">
        <v>1000</v>
      </c>
      <c r="N86">
        <v>1000</v>
      </c>
      <c r="O86">
        <v>786</v>
      </c>
      <c r="P86">
        <v>0</v>
      </c>
    </row>
    <row r="87" spans="1:16" hidden="1" x14ac:dyDescent="0.25">
      <c r="A87" t="s">
        <v>259</v>
      </c>
      <c r="B87">
        <v>1</v>
      </c>
      <c r="C87">
        <v>1000</v>
      </c>
      <c r="D87">
        <v>1000</v>
      </c>
      <c r="I87">
        <v>0</v>
      </c>
      <c r="J87" t="s">
        <v>3574</v>
      </c>
      <c r="K87">
        <v>0</v>
      </c>
      <c r="L87">
        <v>0</v>
      </c>
      <c r="M87">
        <v>1000</v>
      </c>
      <c r="N87">
        <v>1000</v>
      </c>
      <c r="O87">
        <v>993</v>
      </c>
      <c r="P87">
        <v>0</v>
      </c>
    </row>
    <row r="88" spans="1:16" hidden="1" x14ac:dyDescent="0.25">
      <c r="A88" t="s">
        <v>262</v>
      </c>
      <c r="B88">
        <v>1</v>
      </c>
      <c r="C88">
        <v>2875</v>
      </c>
      <c r="D88">
        <v>2875</v>
      </c>
      <c r="I88">
        <v>0</v>
      </c>
      <c r="J88" t="s">
        <v>3574</v>
      </c>
      <c r="K88">
        <v>0</v>
      </c>
      <c r="L88">
        <v>0</v>
      </c>
      <c r="M88">
        <v>2875</v>
      </c>
      <c r="N88">
        <v>2875</v>
      </c>
      <c r="O88">
        <v>1587</v>
      </c>
      <c r="P88">
        <v>0</v>
      </c>
    </row>
    <row r="89" spans="1:16" hidden="1" x14ac:dyDescent="0.25">
      <c r="A89" t="s">
        <v>265</v>
      </c>
      <c r="B89">
        <v>1</v>
      </c>
      <c r="C89">
        <v>1000</v>
      </c>
      <c r="D89">
        <v>1000</v>
      </c>
      <c r="I89">
        <v>0</v>
      </c>
      <c r="J89" t="s">
        <v>3574</v>
      </c>
      <c r="K89">
        <v>0</v>
      </c>
      <c r="L89">
        <v>0</v>
      </c>
      <c r="M89">
        <v>1000</v>
      </c>
      <c r="N89">
        <v>1000</v>
      </c>
      <c r="O89">
        <v>988</v>
      </c>
      <c r="P89">
        <v>0</v>
      </c>
    </row>
    <row r="90" spans="1:16" hidden="1" x14ac:dyDescent="0.25">
      <c r="A90" t="s">
        <v>268</v>
      </c>
      <c r="B90">
        <v>0</v>
      </c>
      <c r="E90">
        <v>1</v>
      </c>
      <c r="H90">
        <v>275</v>
      </c>
      <c r="I90">
        <v>275</v>
      </c>
      <c r="J90" t="s">
        <v>3572</v>
      </c>
      <c r="K90">
        <v>275</v>
      </c>
      <c r="L90">
        <v>275</v>
      </c>
      <c r="M90">
        <v>0</v>
      </c>
      <c r="N90">
        <v>0</v>
      </c>
      <c r="O90">
        <v>0</v>
      </c>
      <c r="P90">
        <v>0</v>
      </c>
    </row>
    <row r="91" spans="1:16" hidden="1" x14ac:dyDescent="0.25">
      <c r="A91" t="s">
        <v>271</v>
      </c>
      <c r="B91">
        <v>0.64</v>
      </c>
      <c r="C91">
        <v>320</v>
      </c>
      <c r="D91">
        <v>320</v>
      </c>
      <c r="E91">
        <v>0.36</v>
      </c>
      <c r="H91">
        <v>180</v>
      </c>
      <c r="I91">
        <v>180</v>
      </c>
      <c r="J91" t="s">
        <v>3573</v>
      </c>
      <c r="K91">
        <v>180</v>
      </c>
      <c r="L91">
        <v>180</v>
      </c>
      <c r="M91">
        <v>320</v>
      </c>
      <c r="N91">
        <v>320</v>
      </c>
      <c r="O91">
        <v>0</v>
      </c>
      <c r="P91">
        <v>0</v>
      </c>
    </row>
    <row r="92" spans="1:16" hidden="1" x14ac:dyDescent="0.25">
      <c r="A92" t="s">
        <v>274</v>
      </c>
      <c r="B92">
        <v>0.64</v>
      </c>
      <c r="C92">
        <v>2560</v>
      </c>
      <c r="D92">
        <v>2560</v>
      </c>
      <c r="E92">
        <v>0.36</v>
      </c>
      <c r="H92">
        <v>1440</v>
      </c>
      <c r="I92">
        <v>1440</v>
      </c>
      <c r="J92" t="s">
        <v>3573</v>
      </c>
      <c r="K92">
        <v>1440</v>
      </c>
      <c r="L92">
        <v>1440</v>
      </c>
      <c r="M92">
        <v>2560</v>
      </c>
      <c r="N92">
        <v>2560</v>
      </c>
      <c r="O92">
        <v>999</v>
      </c>
      <c r="P92">
        <v>561</v>
      </c>
    </row>
    <row r="93" spans="1:16" hidden="1" x14ac:dyDescent="0.25">
      <c r="A93" t="s">
        <v>278</v>
      </c>
      <c r="B93">
        <v>0.64</v>
      </c>
      <c r="C93">
        <v>640</v>
      </c>
      <c r="D93">
        <v>640</v>
      </c>
      <c r="E93">
        <v>0.36</v>
      </c>
      <c r="H93">
        <v>360</v>
      </c>
      <c r="I93">
        <v>360</v>
      </c>
      <c r="J93" t="s">
        <v>3573</v>
      </c>
      <c r="K93">
        <v>360</v>
      </c>
      <c r="L93">
        <v>360</v>
      </c>
      <c r="M93">
        <v>640</v>
      </c>
      <c r="N93">
        <v>640</v>
      </c>
      <c r="O93">
        <v>397</v>
      </c>
      <c r="P93">
        <v>222</v>
      </c>
    </row>
    <row r="94" spans="1:16" hidden="1" x14ac:dyDescent="0.25">
      <c r="A94" t="s">
        <v>282</v>
      </c>
      <c r="B94">
        <v>0.64</v>
      </c>
      <c r="C94">
        <v>2560</v>
      </c>
      <c r="D94">
        <v>2560</v>
      </c>
      <c r="E94">
        <v>0.36</v>
      </c>
      <c r="H94">
        <v>1440</v>
      </c>
      <c r="I94">
        <v>1440</v>
      </c>
      <c r="J94" t="s">
        <v>3573</v>
      </c>
      <c r="K94">
        <v>1440</v>
      </c>
      <c r="L94">
        <v>1440</v>
      </c>
      <c r="M94">
        <v>2560</v>
      </c>
      <c r="N94">
        <v>2560</v>
      </c>
      <c r="O94">
        <v>0</v>
      </c>
      <c r="P94">
        <v>0</v>
      </c>
    </row>
    <row r="95" spans="1:16" hidden="1" x14ac:dyDescent="0.25">
      <c r="A95" t="s">
        <v>283</v>
      </c>
      <c r="B95">
        <v>0.64</v>
      </c>
      <c r="C95">
        <v>640</v>
      </c>
      <c r="D95">
        <v>640</v>
      </c>
      <c r="E95">
        <v>0.36</v>
      </c>
      <c r="H95">
        <v>360</v>
      </c>
      <c r="I95">
        <v>360</v>
      </c>
      <c r="J95" t="s">
        <v>3573</v>
      </c>
      <c r="K95">
        <v>360</v>
      </c>
      <c r="L95">
        <v>360</v>
      </c>
      <c r="M95">
        <v>640</v>
      </c>
      <c r="N95">
        <v>640</v>
      </c>
      <c r="O95">
        <v>0</v>
      </c>
      <c r="P95">
        <v>0</v>
      </c>
    </row>
    <row r="96" spans="1:16" hidden="1" x14ac:dyDescent="0.25">
      <c r="A96" t="s">
        <v>286</v>
      </c>
      <c r="B96">
        <v>0.64</v>
      </c>
      <c r="C96">
        <v>182</v>
      </c>
      <c r="D96">
        <v>182</v>
      </c>
      <c r="E96">
        <v>0.36</v>
      </c>
      <c r="H96">
        <v>103</v>
      </c>
      <c r="I96">
        <v>103</v>
      </c>
      <c r="J96" t="s">
        <v>3573</v>
      </c>
      <c r="K96">
        <v>103</v>
      </c>
      <c r="L96">
        <v>102.6</v>
      </c>
      <c r="M96">
        <v>182</v>
      </c>
      <c r="N96">
        <v>182</v>
      </c>
      <c r="O96">
        <v>0</v>
      </c>
      <c r="P96">
        <v>0</v>
      </c>
    </row>
    <row r="97" spans="1:16" hidden="1" x14ac:dyDescent="0.25">
      <c r="A97" t="s">
        <v>287</v>
      </c>
      <c r="B97">
        <v>0.64</v>
      </c>
      <c r="C97">
        <v>1088</v>
      </c>
      <c r="D97">
        <v>1088</v>
      </c>
      <c r="E97">
        <v>0.36</v>
      </c>
      <c r="H97">
        <v>612</v>
      </c>
      <c r="I97">
        <v>612</v>
      </c>
      <c r="J97" t="s">
        <v>3573</v>
      </c>
      <c r="K97">
        <v>612</v>
      </c>
      <c r="L97">
        <v>612</v>
      </c>
      <c r="M97">
        <v>1088</v>
      </c>
      <c r="N97">
        <v>1088</v>
      </c>
      <c r="O97">
        <v>0</v>
      </c>
      <c r="P97">
        <v>0</v>
      </c>
    </row>
    <row r="98" spans="1:16" hidden="1" x14ac:dyDescent="0.25">
      <c r="A98" t="s">
        <v>291</v>
      </c>
      <c r="B98">
        <v>0.64</v>
      </c>
      <c r="C98">
        <v>2880</v>
      </c>
      <c r="D98">
        <v>2880</v>
      </c>
      <c r="E98">
        <v>0.36</v>
      </c>
      <c r="H98">
        <v>1620</v>
      </c>
      <c r="I98">
        <v>1620</v>
      </c>
      <c r="J98" t="s">
        <v>3573</v>
      </c>
      <c r="K98">
        <v>1620</v>
      </c>
      <c r="L98">
        <v>1620</v>
      </c>
      <c r="M98">
        <v>2880</v>
      </c>
      <c r="N98">
        <v>2880</v>
      </c>
      <c r="O98">
        <v>1734</v>
      </c>
      <c r="P98">
        <v>975</v>
      </c>
    </row>
    <row r="99" spans="1:16" hidden="1" x14ac:dyDescent="0.25">
      <c r="A99" t="s">
        <v>295</v>
      </c>
      <c r="B99">
        <v>0.64</v>
      </c>
      <c r="C99">
        <v>640</v>
      </c>
      <c r="D99">
        <v>640</v>
      </c>
      <c r="E99">
        <v>0.36</v>
      </c>
      <c r="H99">
        <v>360</v>
      </c>
      <c r="I99">
        <v>360</v>
      </c>
      <c r="J99" t="s">
        <v>3573</v>
      </c>
      <c r="K99">
        <v>360</v>
      </c>
      <c r="L99">
        <v>360</v>
      </c>
      <c r="M99">
        <v>640</v>
      </c>
      <c r="N99">
        <v>640</v>
      </c>
      <c r="O99">
        <v>576</v>
      </c>
      <c r="P99">
        <v>324</v>
      </c>
    </row>
    <row r="100" spans="1:16" hidden="1" x14ac:dyDescent="0.25">
      <c r="A100" t="s">
        <v>299</v>
      </c>
      <c r="B100">
        <v>0.64</v>
      </c>
      <c r="C100">
        <v>1280</v>
      </c>
      <c r="D100">
        <v>1280</v>
      </c>
      <c r="E100">
        <v>0.36</v>
      </c>
      <c r="H100">
        <v>720</v>
      </c>
      <c r="I100">
        <v>720</v>
      </c>
      <c r="J100" t="s">
        <v>3573</v>
      </c>
      <c r="K100">
        <v>720</v>
      </c>
      <c r="L100">
        <v>720</v>
      </c>
      <c r="M100">
        <v>1280</v>
      </c>
      <c r="N100">
        <v>1280</v>
      </c>
      <c r="O100">
        <v>904</v>
      </c>
      <c r="P100">
        <v>507</v>
      </c>
    </row>
    <row r="101" spans="1:16" hidden="1" x14ac:dyDescent="0.25">
      <c r="A101" t="s">
        <v>302</v>
      </c>
      <c r="B101">
        <v>0.64</v>
      </c>
      <c r="C101">
        <v>1152</v>
      </c>
      <c r="D101">
        <v>1152</v>
      </c>
      <c r="E101">
        <v>0.36</v>
      </c>
      <c r="H101">
        <v>648</v>
      </c>
      <c r="I101">
        <v>648</v>
      </c>
      <c r="J101" t="s">
        <v>3573</v>
      </c>
      <c r="K101">
        <v>648</v>
      </c>
      <c r="L101">
        <v>648</v>
      </c>
      <c r="M101">
        <v>1152</v>
      </c>
      <c r="N101">
        <v>1152</v>
      </c>
      <c r="O101">
        <v>0</v>
      </c>
      <c r="P101">
        <v>0</v>
      </c>
    </row>
    <row r="102" spans="1:16" hidden="1" x14ac:dyDescent="0.25">
      <c r="A102" t="s">
        <v>305</v>
      </c>
      <c r="B102">
        <v>0.64</v>
      </c>
      <c r="C102">
        <v>640</v>
      </c>
      <c r="D102">
        <v>640</v>
      </c>
      <c r="E102">
        <v>0.36</v>
      </c>
      <c r="H102">
        <v>360</v>
      </c>
      <c r="I102">
        <v>360</v>
      </c>
      <c r="J102" t="s">
        <v>3573</v>
      </c>
      <c r="K102">
        <v>360</v>
      </c>
      <c r="L102">
        <v>360</v>
      </c>
      <c r="M102">
        <v>640</v>
      </c>
      <c r="N102">
        <v>640</v>
      </c>
      <c r="O102">
        <v>0</v>
      </c>
      <c r="P102">
        <v>0</v>
      </c>
    </row>
    <row r="103" spans="1:16" hidden="1" x14ac:dyDescent="0.25">
      <c r="A103" t="s">
        <v>308</v>
      </c>
      <c r="B103">
        <v>1</v>
      </c>
      <c r="C103">
        <v>1000</v>
      </c>
      <c r="D103">
        <v>1000</v>
      </c>
      <c r="I103">
        <v>0</v>
      </c>
      <c r="J103" t="s">
        <v>3574</v>
      </c>
      <c r="K103">
        <v>0</v>
      </c>
      <c r="L103">
        <v>0</v>
      </c>
      <c r="M103">
        <v>1000</v>
      </c>
      <c r="N103">
        <v>1000</v>
      </c>
      <c r="O103">
        <v>886</v>
      </c>
      <c r="P103">
        <v>0</v>
      </c>
    </row>
    <row r="104" spans="1:16" hidden="1" x14ac:dyDescent="0.25">
      <c r="A104" t="s">
        <v>311</v>
      </c>
      <c r="B104">
        <v>0</v>
      </c>
      <c r="E104">
        <v>1</v>
      </c>
      <c r="H104">
        <v>250</v>
      </c>
      <c r="I104">
        <v>250</v>
      </c>
      <c r="J104" t="s">
        <v>3572</v>
      </c>
      <c r="K104">
        <v>250</v>
      </c>
      <c r="L104">
        <v>250</v>
      </c>
      <c r="M104">
        <v>0</v>
      </c>
      <c r="N104">
        <v>0</v>
      </c>
      <c r="O104">
        <v>0</v>
      </c>
      <c r="P104">
        <v>0</v>
      </c>
    </row>
    <row r="105" spans="1:16" hidden="1" x14ac:dyDescent="0.25">
      <c r="A105" t="s">
        <v>315</v>
      </c>
      <c r="B105">
        <v>0</v>
      </c>
      <c r="E105">
        <v>1</v>
      </c>
      <c r="H105">
        <v>900</v>
      </c>
      <c r="I105">
        <v>900</v>
      </c>
      <c r="J105" t="s">
        <v>3572</v>
      </c>
      <c r="K105">
        <v>900</v>
      </c>
      <c r="L105">
        <v>900</v>
      </c>
      <c r="M105">
        <v>0</v>
      </c>
      <c r="N105">
        <v>0</v>
      </c>
      <c r="O105">
        <v>0</v>
      </c>
      <c r="P105">
        <v>0</v>
      </c>
    </row>
    <row r="106" spans="1:16" hidden="1" x14ac:dyDescent="0.25">
      <c r="A106" t="s">
        <v>319</v>
      </c>
      <c r="B106">
        <v>0</v>
      </c>
      <c r="E106">
        <v>1</v>
      </c>
      <c r="H106">
        <v>1000</v>
      </c>
      <c r="I106">
        <v>1000</v>
      </c>
      <c r="J106" t="s">
        <v>3572</v>
      </c>
      <c r="K106">
        <v>1000</v>
      </c>
      <c r="L106">
        <v>1000</v>
      </c>
      <c r="M106">
        <v>0</v>
      </c>
      <c r="N106">
        <v>0</v>
      </c>
      <c r="O106">
        <v>0</v>
      </c>
      <c r="P106">
        <v>0</v>
      </c>
    </row>
    <row r="107" spans="1:16" hidden="1" x14ac:dyDescent="0.25">
      <c r="A107" t="s">
        <v>323</v>
      </c>
      <c r="B107">
        <v>0</v>
      </c>
      <c r="E107">
        <v>1</v>
      </c>
      <c r="H107">
        <v>250</v>
      </c>
      <c r="I107">
        <v>250</v>
      </c>
      <c r="J107" t="s">
        <v>3572</v>
      </c>
      <c r="K107">
        <v>250</v>
      </c>
      <c r="L107">
        <v>250</v>
      </c>
      <c r="M107">
        <v>0</v>
      </c>
      <c r="N107">
        <v>0</v>
      </c>
      <c r="O107">
        <v>0</v>
      </c>
      <c r="P107">
        <v>0</v>
      </c>
    </row>
    <row r="108" spans="1:16" hidden="1" x14ac:dyDescent="0.25">
      <c r="A108" t="s">
        <v>326</v>
      </c>
      <c r="B108">
        <v>1</v>
      </c>
      <c r="C108">
        <v>1200</v>
      </c>
      <c r="D108">
        <v>1200</v>
      </c>
      <c r="I108">
        <v>0</v>
      </c>
      <c r="J108" t="s">
        <v>3574</v>
      </c>
      <c r="K108">
        <v>0</v>
      </c>
      <c r="L108">
        <v>0</v>
      </c>
      <c r="M108">
        <v>1200</v>
      </c>
      <c r="N108">
        <v>1200</v>
      </c>
      <c r="O108">
        <v>0</v>
      </c>
      <c r="P108">
        <v>0</v>
      </c>
    </row>
    <row r="109" spans="1:16" hidden="1" x14ac:dyDescent="0.25">
      <c r="A109" t="s">
        <v>329</v>
      </c>
      <c r="B109">
        <v>1</v>
      </c>
      <c r="C109">
        <v>1000</v>
      </c>
      <c r="D109">
        <v>1000</v>
      </c>
      <c r="I109">
        <v>0</v>
      </c>
      <c r="J109" t="s">
        <v>3574</v>
      </c>
      <c r="K109">
        <v>0</v>
      </c>
      <c r="L109">
        <v>0</v>
      </c>
      <c r="M109">
        <v>1000</v>
      </c>
      <c r="N109">
        <v>1000</v>
      </c>
      <c r="O109">
        <v>982</v>
      </c>
      <c r="P109">
        <v>0</v>
      </c>
    </row>
    <row r="110" spans="1:16" hidden="1" x14ac:dyDescent="0.25">
      <c r="A110" t="s">
        <v>333</v>
      </c>
      <c r="B110">
        <v>1</v>
      </c>
      <c r="C110">
        <v>2000</v>
      </c>
      <c r="D110">
        <v>2000</v>
      </c>
      <c r="I110">
        <v>0</v>
      </c>
      <c r="J110" t="s">
        <v>3574</v>
      </c>
      <c r="K110">
        <v>0</v>
      </c>
      <c r="L110">
        <v>0</v>
      </c>
      <c r="M110">
        <v>2000</v>
      </c>
      <c r="N110">
        <v>2000</v>
      </c>
      <c r="O110">
        <v>2000</v>
      </c>
      <c r="P110">
        <v>0</v>
      </c>
    </row>
    <row r="111" spans="1:16" hidden="1" x14ac:dyDescent="0.25">
      <c r="A111" t="s">
        <v>336</v>
      </c>
      <c r="B111">
        <v>1</v>
      </c>
      <c r="C111">
        <v>1000</v>
      </c>
      <c r="D111">
        <v>1000</v>
      </c>
      <c r="I111">
        <v>0</v>
      </c>
      <c r="J111" t="s">
        <v>3574</v>
      </c>
      <c r="K111">
        <v>0</v>
      </c>
      <c r="L111">
        <v>0</v>
      </c>
      <c r="M111">
        <v>1000</v>
      </c>
      <c r="N111">
        <v>1000</v>
      </c>
      <c r="O111">
        <v>953</v>
      </c>
      <c r="P111">
        <v>0</v>
      </c>
    </row>
    <row r="112" spans="1:16" hidden="1" x14ac:dyDescent="0.25">
      <c r="A112" t="s">
        <v>340</v>
      </c>
      <c r="B112">
        <v>1</v>
      </c>
      <c r="C112">
        <v>1700</v>
      </c>
      <c r="D112">
        <v>1700</v>
      </c>
      <c r="I112">
        <v>0</v>
      </c>
      <c r="J112" t="s">
        <v>3574</v>
      </c>
      <c r="K112">
        <v>0</v>
      </c>
      <c r="L112">
        <v>0</v>
      </c>
      <c r="M112">
        <v>1700</v>
      </c>
      <c r="N112">
        <v>1700</v>
      </c>
      <c r="O112">
        <v>1700</v>
      </c>
      <c r="P112">
        <v>0</v>
      </c>
    </row>
    <row r="113" spans="1:16" hidden="1" x14ac:dyDescent="0.25">
      <c r="A113" t="s">
        <v>344</v>
      </c>
      <c r="B113">
        <v>1</v>
      </c>
      <c r="C113">
        <v>1200</v>
      </c>
      <c r="D113">
        <v>1200</v>
      </c>
      <c r="I113">
        <v>0</v>
      </c>
      <c r="J113" t="s">
        <v>3574</v>
      </c>
      <c r="K113">
        <v>0</v>
      </c>
      <c r="L113">
        <v>0</v>
      </c>
      <c r="M113">
        <v>1200</v>
      </c>
      <c r="N113">
        <v>1200</v>
      </c>
      <c r="O113">
        <v>1013</v>
      </c>
      <c r="P113">
        <v>0</v>
      </c>
    </row>
    <row r="114" spans="1:16" hidden="1" x14ac:dyDescent="0.25">
      <c r="A114" t="s">
        <v>348</v>
      </c>
      <c r="B114">
        <v>1</v>
      </c>
      <c r="C114">
        <v>2000</v>
      </c>
      <c r="D114">
        <v>2000</v>
      </c>
      <c r="I114">
        <v>0</v>
      </c>
      <c r="J114" t="s">
        <v>3574</v>
      </c>
      <c r="K114">
        <v>0</v>
      </c>
      <c r="L114">
        <v>0</v>
      </c>
      <c r="M114">
        <v>2000</v>
      </c>
      <c r="N114">
        <v>2000</v>
      </c>
      <c r="O114">
        <v>2000</v>
      </c>
      <c r="P114">
        <v>0</v>
      </c>
    </row>
    <row r="115" spans="1:16" hidden="1" x14ac:dyDescent="0.25">
      <c r="A115" t="s">
        <v>352</v>
      </c>
      <c r="B115">
        <v>1</v>
      </c>
      <c r="C115">
        <v>2000</v>
      </c>
      <c r="D115">
        <v>2000</v>
      </c>
      <c r="I115">
        <v>0</v>
      </c>
      <c r="J115" t="s">
        <v>3574</v>
      </c>
      <c r="K115">
        <v>0</v>
      </c>
      <c r="L115">
        <v>0</v>
      </c>
      <c r="M115">
        <v>2000</v>
      </c>
      <c r="N115">
        <v>2000</v>
      </c>
      <c r="O115">
        <v>1891</v>
      </c>
      <c r="P115">
        <v>0</v>
      </c>
    </row>
    <row r="116" spans="1:16" hidden="1" x14ac:dyDescent="0.25">
      <c r="A116" t="s">
        <v>356</v>
      </c>
      <c r="B116">
        <v>1</v>
      </c>
      <c r="C116">
        <v>2400</v>
      </c>
      <c r="D116">
        <v>2400</v>
      </c>
      <c r="I116">
        <v>0</v>
      </c>
      <c r="J116" t="s">
        <v>3574</v>
      </c>
      <c r="K116">
        <v>0</v>
      </c>
      <c r="L116">
        <v>0</v>
      </c>
      <c r="M116">
        <v>2400</v>
      </c>
      <c r="N116">
        <v>2400</v>
      </c>
      <c r="O116">
        <v>2400</v>
      </c>
      <c r="P116">
        <v>0</v>
      </c>
    </row>
    <row r="117" spans="1:16" hidden="1" x14ac:dyDescent="0.25">
      <c r="A117" t="s">
        <v>359</v>
      </c>
      <c r="B117">
        <v>1</v>
      </c>
      <c r="C117">
        <v>1200</v>
      </c>
      <c r="D117">
        <v>1200</v>
      </c>
      <c r="I117">
        <v>0</v>
      </c>
      <c r="J117" t="s">
        <v>3574</v>
      </c>
      <c r="K117">
        <v>0</v>
      </c>
      <c r="L117">
        <v>0</v>
      </c>
      <c r="M117">
        <v>1200</v>
      </c>
      <c r="N117">
        <v>1200</v>
      </c>
      <c r="O117">
        <v>1200</v>
      </c>
      <c r="P117">
        <v>0</v>
      </c>
    </row>
    <row r="118" spans="1:16" hidden="1" x14ac:dyDescent="0.25">
      <c r="A118" t="s">
        <v>362</v>
      </c>
      <c r="B118">
        <v>1</v>
      </c>
      <c r="C118">
        <v>1200</v>
      </c>
      <c r="D118">
        <v>1200</v>
      </c>
      <c r="I118">
        <v>0</v>
      </c>
      <c r="J118" t="s">
        <v>3574</v>
      </c>
      <c r="K118">
        <v>0</v>
      </c>
      <c r="L118">
        <v>0</v>
      </c>
      <c r="M118">
        <v>1200</v>
      </c>
      <c r="N118">
        <v>1200</v>
      </c>
      <c r="O118">
        <v>1012</v>
      </c>
      <c r="P118">
        <v>0</v>
      </c>
    </row>
    <row r="119" spans="1:16" hidden="1" x14ac:dyDescent="0.25">
      <c r="A119" t="s">
        <v>365</v>
      </c>
      <c r="B119">
        <v>1</v>
      </c>
      <c r="C119">
        <v>1200</v>
      </c>
      <c r="D119">
        <v>1200</v>
      </c>
      <c r="I119">
        <v>0</v>
      </c>
      <c r="J119" t="s">
        <v>3574</v>
      </c>
      <c r="K119">
        <v>0</v>
      </c>
      <c r="L119">
        <v>0</v>
      </c>
      <c r="M119">
        <v>1200</v>
      </c>
      <c r="N119">
        <v>1200</v>
      </c>
      <c r="O119">
        <v>1200</v>
      </c>
      <c r="P119">
        <v>0</v>
      </c>
    </row>
    <row r="120" spans="1:16" hidden="1" x14ac:dyDescent="0.25">
      <c r="A120" t="s">
        <v>369</v>
      </c>
      <c r="B120">
        <v>1</v>
      </c>
      <c r="C120">
        <v>1800</v>
      </c>
      <c r="D120">
        <v>1800</v>
      </c>
      <c r="I120">
        <v>0</v>
      </c>
      <c r="J120" t="s">
        <v>3574</v>
      </c>
      <c r="K120">
        <v>0</v>
      </c>
      <c r="L120">
        <v>0</v>
      </c>
      <c r="M120">
        <v>1800</v>
      </c>
      <c r="N120">
        <v>1800</v>
      </c>
      <c r="O120">
        <v>1800</v>
      </c>
      <c r="P120">
        <v>0</v>
      </c>
    </row>
    <row r="121" spans="1:16" hidden="1" x14ac:dyDescent="0.25">
      <c r="A121" t="s">
        <v>372</v>
      </c>
      <c r="B121">
        <v>1</v>
      </c>
      <c r="C121">
        <v>800</v>
      </c>
      <c r="D121">
        <v>800</v>
      </c>
      <c r="I121">
        <v>0</v>
      </c>
      <c r="J121" t="s">
        <v>3574</v>
      </c>
      <c r="K121">
        <v>0</v>
      </c>
      <c r="L121">
        <v>0</v>
      </c>
      <c r="M121">
        <v>800</v>
      </c>
      <c r="N121">
        <v>800</v>
      </c>
      <c r="O121">
        <v>800</v>
      </c>
      <c r="P121">
        <v>0</v>
      </c>
    </row>
    <row r="122" spans="1:16" hidden="1" x14ac:dyDescent="0.25">
      <c r="A122" t="s">
        <v>373</v>
      </c>
      <c r="B122">
        <v>1</v>
      </c>
      <c r="C122">
        <v>2400</v>
      </c>
      <c r="D122">
        <v>2400</v>
      </c>
      <c r="I122">
        <v>0</v>
      </c>
      <c r="J122" t="s">
        <v>3574</v>
      </c>
      <c r="K122">
        <v>0</v>
      </c>
      <c r="L122">
        <v>0</v>
      </c>
      <c r="M122">
        <v>2400</v>
      </c>
      <c r="N122">
        <v>2400</v>
      </c>
      <c r="O122">
        <v>2400</v>
      </c>
      <c r="P122">
        <v>0</v>
      </c>
    </row>
    <row r="123" spans="1:16" hidden="1" x14ac:dyDescent="0.25">
      <c r="A123" t="s">
        <v>376</v>
      </c>
      <c r="C123">
        <v>0</v>
      </c>
      <c r="D123">
        <v>0</v>
      </c>
      <c r="H123">
        <v>4000</v>
      </c>
      <c r="J123" t="s">
        <v>3574</v>
      </c>
      <c r="K123">
        <v>0</v>
      </c>
      <c r="L123">
        <v>0</v>
      </c>
      <c r="M123">
        <v>4000</v>
      </c>
      <c r="N123">
        <v>4000</v>
      </c>
      <c r="O123">
        <v>4000</v>
      </c>
      <c r="P123">
        <v>0</v>
      </c>
    </row>
    <row r="124" spans="1:16" hidden="1" x14ac:dyDescent="0.25">
      <c r="A124" t="s">
        <v>380</v>
      </c>
      <c r="B124">
        <v>0.64</v>
      </c>
      <c r="C124">
        <v>640</v>
      </c>
      <c r="D124">
        <v>640</v>
      </c>
      <c r="E124">
        <v>0.36</v>
      </c>
      <c r="H124">
        <v>360</v>
      </c>
      <c r="I124">
        <v>360</v>
      </c>
      <c r="J124" t="s">
        <v>3573</v>
      </c>
      <c r="K124">
        <v>360</v>
      </c>
      <c r="L124">
        <v>360</v>
      </c>
      <c r="M124">
        <v>640</v>
      </c>
      <c r="N124">
        <v>640</v>
      </c>
      <c r="O124">
        <v>640</v>
      </c>
      <c r="P124">
        <v>360</v>
      </c>
    </row>
    <row r="125" spans="1:16" hidden="1" x14ac:dyDescent="0.25">
      <c r="A125" t="s">
        <v>383</v>
      </c>
      <c r="B125">
        <v>0.64</v>
      </c>
      <c r="C125">
        <v>640</v>
      </c>
      <c r="D125">
        <v>640</v>
      </c>
      <c r="E125">
        <v>0.36</v>
      </c>
      <c r="H125">
        <v>360</v>
      </c>
      <c r="I125">
        <v>360</v>
      </c>
      <c r="J125" t="s">
        <v>3573</v>
      </c>
      <c r="K125">
        <v>360</v>
      </c>
      <c r="L125">
        <v>360</v>
      </c>
      <c r="M125">
        <v>640</v>
      </c>
      <c r="N125">
        <v>640</v>
      </c>
      <c r="O125">
        <v>0</v>
      </c>
      <c r="P125">
        <v>0</v>
      </c>
    </row>
    <row r="126" spans="1:16" hidden="1" x14ac:dyDescent="0.25">
      <c r="A126" t="s">
        <v>386</v>
      </c>
      <c r="B126">
        <v>0.64</v>
      </c>
      <c r="C126">
        <v>640</v>
      </c>
      <c r="D126">
        <v>640</v>
      </c>
      <c r="E126">
        <v>0.36</v>
      </c>
      <c r="H126">
        <v>360</v>
      </c>
      <c r="I126">
        <v>360</v>
      </c>
      <c r="J126" t="s">
        <v>3573</v>
      </c>
      <c r="K126">
        <v>360</v>
      </c>
      <c r="L126">
        <v>360</v>
      </c>
      <c r="M126">
        <v>640</v>
      </c>
      <c r="N126">
        <v>640</v>
      </c>
      <c r="O126">
        <v>0</v>
      </c>
      <c r="P126">
        <v>0</v>
      </c>
    </row>
    <row r="127" spans="1:16" hidden="1" x14ac:dyDescent="0.25">
      <c r="A127" t="s">
        <v>389</v>
      </c>
      <c r="B127">
        <v>0.64</v>
      </c>
      <c r="C127">
        <v>640</v>
      </c>
      <c r="D127">
        <v>640</v>
      </c>
      <c r="E127">
        <v>0.36</v>
      </c>
      <c r="H127">
        <v>360</v>
      </c>
      <c r="I127">
        <v>360</v>
      </c>
      <c r="J127" t="s">
        <v>3573</v>
      </c>
      <c r="K127">
        <v>360</v>
      </c>
      <c r="L127">
        <v>360</v>
      </c>
      <c r="M127">
        <v>640</v>
      </c>
      <c r="N127">
        <v>640</v>
      </c>
      <c r="O127">
        <v>0</v>
      </c>
      <c r="P127">
        <v>0</v>
      </c>
    </row>
    <row r="128" spans="1:16" hidden="1" x14ac:dyDescent="0.25">
      <c r="A128" t="s">
        <v>392</v>
      </c>
      <c r="B128">
        <v>0.64015151515151503</v>
      </c>
      <c r="C128">
        <v>676</v>
      </c>
      <c r="D128">
        <v>676</v>
      </c>
      <c r="E128">
        <v>0.35984848484848497</v>
      </c>
      <c r="H128">
        <v>380</v>
      </c>
      <c r="I128">
        <v>380</v>
      </c>
      <c r="J128" t="s">
        <v>3573</v>
      </c>
      <c r="K128">
        <v>380</v>
      </c>
      <c r="L128">
        <v>380</v>
      </c>
      <c r="M128">
        <v>675.99999999999989</v>
      </c>
      <c r="N128">
        <v>675.99999999999989</v>
      </c>
      <c r="O128">
        <v>0</v>
      </c>
      <c r="P128">
        <v>0</v>
      </c>
    </row>
    <row r="129" spans="1:16" hidden="1" x14ac:dyDescent="0.25">
      <c r="A129" t="s">
        <v>395</v>
      </c>
      <c r="B129">
        <v>0.64</v>
      </c>
      <c r="C129">
        <v>9600</v>
      </c>
      <c r="D129">
        <v>9600</v>
      </c>
      <c r="E129">
        <v>0.36</v>
      </c>
      <c r="H129">
        <v>5400</v>
      </c>
      <c r="I129">
        <v>5400</v>
      </c>
      <c r="J129" t="s">
        <v>3573</v>
      </c>
      <c r="K129">
        <v>5400</v>
      </c>
      <c r="L129">
        <v>5400</v>
      </c>
      <c r="M129">
        <v>9600</v>
      </c>
      <c r="N129">
        <v>9600</v>
      </c>
      <c r="O129">
        <v>4649</v>
      </c>
      <c r="P129">
        <v>2615</v>
      </c>
    </row>
    <row r="130" spans="1:16" hidden="1" x14ac:dyDescent="0.25">
      <c r="A130" t="s">
        <v>398</v>
      </c>
      <c r="B130">
        <v>0.64</v>
      </c>
      <c r="C130">
        <v>192</v>
      </c>
      <c r="D130">
        <v>192</v>
      </c>
      <c r="E130">
        <v>0.36</v>
      </c>
      <c r="H130">
        <v>108</v>
      </c>
      <c r="I130">
        <v>108</v>
      </c>
      <c r="J130" t="s">
        <v>3573</v>
      </c>
      <c r="K130">
        <v>108</v>
      </c>
      <c r="L130">
        <v>108</v>
      </c>
      <c r="M130">
        <v>192</v>
      </c>
      <c r="N130">
        <v>192</v>
      </c>
      <c r="O130">
        <v>167</v>
      </c>
      <c r="P130">
        <v>93</v>
      </c>
    </row>
    <row r="131" spans="1:16" hidden="1" x14ac:dyDescent="0.25">
      <c r="A131" t="s">
        <v>401</v>
      </c>
      <c r="B131">
        <v>0.64</v>
      </c>
      <c r="C131">
        <v>640</v>
      </c>
      <c r="D131">
        <v>640</v>
      </c>
      <c r="E131">
        <v>0.36</v>
      </c>
      <c r="H131">
        <v>360</v>
      </c>
      <c r="I131">
        <v>360</v>
      </c>
      <c r="J131" t="s">
        <v>3573</v>
      </c>
      <c r="K131">
        <v>360</v>
      </c>
      <c r="L131">
        <v>360</v>
      </c>
      <c r="M131">
        <v>640</v>
      </c>
      <c r="N131">
        <v>640</v>
      </c>
      <c r="O131">
        <v>0</v>
      </c>
      <c r="P131">
        <v>0</v>
      </c>
    </row>
    <row r="132" spans="1:16" hidden="1" x14ac:dyDescent="0.25">
      <c r="A132" t="s">
        <v>404</v>
      </c>
      <c r="B132">
        <v>0.64</v>
      </c>
      <c r="C132">
        <v>352</v>
      </c>
      <c r="D132">
        <v>352</v>
      </c>
      <c r="E132">
        <v>0.36</v>
      </c>
      <c r="H132">
        <v>198</v>
      </c>
      <c r="I132">
        <v>198</v>
      </c>
      <c r="J132" t="s">
        <v>3573</v>
      </c>
      <c r="K132">
        <v>198</v>
      </c>
      <c r="L132">
        <v>198</v>
      </c>
      <c r="M132">
        <v>352</v>
      </c>
      <c r="N132">
        <v>352</v>
      </c>
      <c r="O132">
        <v>288</v>
      </c>
      <c r="P132">
        <v>162</v>
      </c>
    </row>
    <row r="133" spans="1:16" hidden="1" x14ac:dyDescent="0.25">
      <c r="A133" t="s">
        <v>407</v>
      </c>
      <c r="B133">
        <v>1</v>
      </c>
      <c r="C133">
        <v>1000</v>
      </c>
      <c r="D133">
        <v>0</v>
      </c>
      <c r="E133">
        <v>0</v>
      </c>
      <c r="H133">
        <v>0</v>
      </c>
      <c r="I133">
        <v>0</v>
      </c>
      <c r="J133" t="s">
        <v>3573</v>
      </c>
      <c r="K133">
        <v>0</v>
      </c>
      <c r="L133">
        <v>0</v>
      </c>
      <c r="M133">
        <v>1000</v>
      </c>
      <c r="N133">
        <v>0</v>
      </c>
      <c r="O133">
        <v>0</v>
      </c>
      <c r="P133">
        <v>0</v>
      </c>
    </row>
    <row r="134" spans="1:16" hidden="1" x14ac:dyDescent="0.25">
      <c r="A134" t="s">
        <v>410</v>
      </c>
      <c r="B134">
        <v>0.64</v>
      </c>
      <c r="C134">
        <v>640</v>
      </c>
      <c r="D134">
        <v>640</v>
      </c>
      <c r="E134">
        <v>0.36</v>
      </c>
      <c r="H134">
        <v>360</v>
      </c>
      <c r="I134">
        <v>360</v>
      </c>
      <c r="J134" t="s">
        <v>3573</v>
      </c>
      <c r="K134">
        <v>360</v>
      </c>
      <c r="L134">
        <v>360</v>
      </c>
      <c r="M134">
        <v>640</v>
      </c>
      <c r="N134">
        <v>640</v>
      </c>
      <c r="O134">
        <v>118</v>
      </c>
      <c r="P134">
        <v>66</v>
      </c>
    </row>
    <row r="135" spans="1:16" hidden="1" x14ac:dyDescent="0.25">
      <c r="A135" t="s">
        <v>414</v>
      </c>
      <c r="B135">
        <v>1</v>
      </c>
      <c r="C135">
        <v>2000</v>
      </c>
      <c r="D135">
        <v>2000</v>
      </c>
      <c r="I135">
        <v>0</v>
      </c>
      <c r="J135" t="s">
        <v>3574</v>
      </c>
      <c r="K135">
        <v>0</v>
      </c>
      <c r="L135">
        <v>0</v>
      </c>
      <c r="M135">
        <v>2000</v>
      </c>
      <c r="N135">
        <v>2000</v>
      </c>
      <c r="O135">
        <v>1472</v>
      </c>
      <c r="P135">
        <v>0</v>
      </c>
    </row>
    <row r="136" spans="1:16" hidden="1" x14ac:dyDescent="0.25">
      <c r="A136" t="s">
        <v>417</v>
      </c>
      <c r="B136">
        <v>1</v>
      </c>
      <c r="C136">
        <v>2000</v>
      </c>
      <c r="D136">
        <v>2000</v>
      </c>
      <c r="I136">
        <v>0</v>
      </c>
      <c r="J136" t="s">
        <v>3574</v>
      </c>
      <c r="K136">
        <v>0</v>
      </c>
      <c r="L136">
        <v>0</v>
      </c>
      <c r="M136">
        <v>2000</v>
      </c>
      <c r="N136">
        <v>2000</v>
      </c>
      <c r="O136">
        <v>0</v>
      </c>
      <c r="P136">
        <v>0</v>
      </c>
    </row>
    <row r="137" spans="1:16" hidden="1" x14ac:dyDescent="0.25">
      <c r="A137" t="s">
        <v>421</v>
      </c>
      <c r="B137">
        <v>1</v>
      </c>
      <c r="C137">
        <v>8000</v>
      </c>
      <c r="D137">
        <v>8000</v>
      </c>
      <c r="I137">
        <v>0</v>
      </c>
      <c r="J137" t="s">
        <v>3574</v>
      </c>
      <c r="K137">
        <v>0</v>
      </c>
      <c r="L137">
        <v>0</v>
      </c>
      <c r="M137">
        <v>8000</v>
      </c>
      <c r="N137">
        <v>8000</v>
      </c>
      <c r="O137">
        <v>7440</v>
      </c>
      <c r="P137">
        <v>0</v>
      </c>
    </row>
    <row r="138" spans="1:16" hidden="1" x14ac:dyDescent="0.25">
      <c r="A138" t="s">
        <v>425</v>
      </c>
      <c r="B138">
        <v>1</v>
      </c>
      <c r="I138">
        <v>0</v>
      </c>
      <c r="J138" t="s">
        <v>3574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hidden="1" x14ac:dyDescent="0.25">
      <c r="A139" t="s">
        <v>428</v>
      </c>
      <c r="B139">
        <v>1</v>
      </c>
      <c r="C139">
        <v>1469</v>
      </c>
      <c r="D139">
        <v>1469</v>
      </c>
      <c r="I139">
        <v>0</v>
      </c>
      <c r="J139" t="s">
        <v>3574</v>
      </c>
      <c r="K139">
        <v>0</v>
      </c>
      <c r="L139">
        <v>0</v>
      </c>
      <c r="M139">
        <v>1469</v>
      </c>
      <c r="N139">
        <v>1469</v>
      </c>
      <c r="O139">
        <v>494</v>
      </c>
      <c r="P139">
        <v>0</v>
      </c>
    </row>
    <row r="140" spans="1:16" hidden="1" x14ac:dyDescent="0.25">
      <c r="A140" t="s">
        <v>432</v>
      </c>
      <c r="B140">
        <v>1</v>
      </c>
      <c r="C140">
        <v>1000</v>
      </c>
      <c r="D140">
        <v>1000</v>
      </c>
      <c r="I140">
        <v>0</v>
      </c>
      <c r="J140" t="s">
        <v>3574</v>
      </c>
      <c r="K140">
        <v>0</v>
      </c>
      <c r="L140">
        <v>0</v>
      </c>
      <c r="M140">
        <v>1000</v>
      </c>
      <c r="N140">
        <v>1000</v>
      </c>
      <c r="O140">
        <v>0</v>
      </c>
      <c r="P140">
        <v>0</v>
      </c>
    </row>
    <row r="141" spans="1:16" hidden="1" x14ac:dyDescent="0.25">
      <c r="A141" t="s">
        <v>435</v>
      </c>
      <c r="B141">
        <v>1</v>
      </c>
      <c r="C141">
        <v>2650</v>
      </c>
      <c r="D141">
        <v>2650</v>
      </c>
      <c r="I141">
        <v>0</v>
      </c>
      <c r="J141" t="s">
        <v>3574</v>
      </c>
      <c r="K141">
        <v>0</v>
      </c>
      <c r="L141">
        <v>0</v>
      </c>
      <c r="M141">
        <v>2650</v>
      </c>
      <c r="N141">
        <v>2650</v>
      </c>
      <c r="O141">
        <v>2494</v>
      </c>
      <c r="P141">
        <v>0</v>
      </c>
    </row>
    <row r="142" spans="1:16" hidden="1" x14ac:dyDescent="0.25">
      <c r="A142" t="s">
        <v>439</v>
      </c>
      <c r="B142">
        <v>1</v>
      </c>
      <c r="C142">
        <v>1000</v>
      </c>
      <c r="D142">
        <v>1000</v>
      </c>
      <c r="I142">
        <v>0</v>
      </c>
      <c r="J142" t="s">
        <v>3574</v>
      </c>
      <c r="K142">
        <v>0</v>
      </c>
      <c r="L142">
        <v>0</v>
      </c>
      <c r="M142">
        <v>1000</v>
      </c>
      <c r="N142">
        <v>1000</v>
      </c>
      <c r="O142">
        <v>0</v>
      </c>
      <c r="P142">
        <v>0</v>
      </c>
    </row>
    <row r="143" spans="1:16" hidden="1" x14ac:dyDescent="0.25">
      <c r="A143" t="s">
        <v>443</v>
      </c>
      <c r="B143">
        <v>1</v>
      </c>
      <c r="C143">
        <v>1200</v>
      </c>
      <c r="D143">
        <v>1200</v>
      </c>
      <c r="I143">
        <v>0</v>
      </c>
      <c r="J143" t="s">
        <v>3574</v>
      </c>
      <c r="K143">
        <v>0</v>
      </c>
      <c r="L143">
        <v>0</v>
      </c>
      <c r="M143">
        <v>1200</v>
      </c>
      <c r="N143">
        <v>1200</v>
      </c>
      <c r="O143">
        <v>0</v>
      </c>
      <c r="P143">
        <v>0</v>
      </c>
    </row>
    <row r="144" spans="1:16" hidden="1" x14ac:dyDescent="0.25">
      <c r="A144" t="s">
        <v>446</v>
      </c>
      <c r="B144">
        <v>1</v>
      </c>
      <c r="C144">
        <v>2000</v>
      </c>
      <c r="D144">
        <v>2000</v>
      </c>
      <c r="I144">
        <v>0</v>
      </c>
      <c r="J144" t="s">
        <v>3574</v>
      </c>
      <c r="K144">
        <v>0</v>
      </c>
      <c r="L144">
        <v>0</v>
      </c>
      <c r="M144">
        <v>2000</v>
      </c>
      <c r="N144">
        <v>2000</v>
      </c>
      <c r="O144">
        <v>0</v>
      </c>
      <c r="P144">
        <v>0</v>
      </c>
    </row>
    <row r="145" spans="1:16" hidden="1" x14ac:dyDescent="0.25">
      <c r="A145" t="s">
        <v>449</v>
      </c>
      <c r="B145">
        <v>1</v>
      </c>
      <c r="C145">
        <v>488</v>
      </c>
      <c r="D145">
        <v>488</v>
      </c>
      <c r="I145">
        <v>0</v>
      </c>
      <c r="J145" t="s">
        <v>3574</v>
      </c>
      <c r="K145">
        <v>0</v>
      </c>
      <c r="L145">
        <v>0</v>
      </c>
      <c r="M145">
        <v>488</v>
      </c>
      <c r="N145">
        <v>488</v>
      </c>
      <c r="O145">
        <v>0</v>
      </c>
      <c r="P145">
        <v>0</v>
      </c>
    </row>
    <row r="146" spans="1:16" hidden="1" x14ac:dyDescent="0.25">
      <c r="A146" t="s">
        <v>450</v>
      </c>
      <c r="B146">
        <v>1</v>
      </c>
      <c r="C146">
        <v>2865</v>
      </c>
      <c r="D146">
        <v>2865</v>
      </c>
      <c r="I146">
        <v>0</v>
      </c>
      <c r="J146" t="s">
        <v>3574</v>
      </c>
      <c r="K146">
        <v>0</v>
      </c>
      <c r="L146">
        <v>0</v>
      </c>
      <c r="M146">
        <v>2865</v>
      </c>
      <c r="N146">
        <v>2865</v>
      </c>
      <c r="O146">
        <v>882</v>
      </c>
      <c r="P146">
        <v>0</v>
      </c>
    </row>
    <row r="147" spans="1:16" hidden="1" x14ac:dyDescent="0.25">
      <c r="A147" t="s">
        <v>453</v>
      </c>
      <c r="B147">
        <v>1</v>
      </c>
      <c r="C147">
        <v>5220</v>
      </c>
      <c r="D147">
        <v>5220</v>
      </c>
      <c r="I147">
        <v>0</v>
      </c>
      <c r="J147" t="s">
        <v>3574</v>
      </c>
      <c r="K147">
        <v>0</v>
      </c>
      <c r="L147">
        <v>0</v>
      </c>
      <c r="M147">
        <v>5220</v>
      </c>
      <c r="N147">
        <v>5220</v>
      </c>
      <c r="O147">
        <v>4325</v>
      </c>
      <c r="P147">
        <v>0</v>
      </c>
    </row>
    <row r="148" spans="1:16" hidden="1" x14ac:dyDescent="0.25">
      <c r="A148" t="s">
        <v>456</v>
      </c>
      <c r="B148">
        <v>1</v>
      </c>
      <c r="C148">
        <v>1433</v>
      </c>
      <c r="D148">
        <v>1433</v>
      </c>
      <c r="I148">
        <v>0</v>
      </c>
      <c r="J148" t="s">
        <v>3574</v>
      </c>
      <c r="K148">
        <v>0</v>
      </c>
      <c r="L148">
        <v>0</v>
      </c>
      <c r="M148">
        <v>1433</v>
      </c>
      <c r="N148">
        <v>1433</v>
      </c>
      <c r="O148">
        <v>1187</v>
      </c>
      <c r="P148">
        <v>0</v>
      </c>
    </row>
    <row r="149" spans="1:16" hidden="1" x14ac:dyDescent="0.25">
      <c r="A149" t="s">
        <v>457</v>
      </c>
      <c r="B149">
        <v>1</v>
      </c>
      <c r="C149">
        <v>6666</v>
      </c>
      <c r="D149">
        <v>6666</v>
      </c>
      <c r="I149">
        <v>0</v>
      </c>
      <c r="J149" t="s">
        <v>3574</v>
      </c>
      <c r="K149">
        <v>0</v>
      </c>
      <c r="L149">
        <v>0</v>
      </c>
      <c r="M149">
        <v>6666</v>
      </c>
      <c r="N149">
        <v>6666</v>
      </c>
      <c r="O149">
        <v>6203</v>
      </c>
      <c r="P149">
        <v>0</v>
      </c>
    </row>
    <row r="150" spans="1:16" hidden="1" x14ac:dyDescent="0.25">
      <c r="A150" t="s">
        <v>460</v>
      </c>
      <c r="B150">
        <v>1</v>
      </c>
      <c r="C150">
        <v>990</v>
      </c>
      <c r="D150">
        <v>990</v>
      </c>
      <c r="I150">
        <v>0</v>
      </c>
      <c r="J150" t="s">
        <v>3574</v>
      </c>
      <c r="K150">
        <v>0</v>
      </c>
      <c r="L150">
        <v>0</v>
      </c>
      <c r="M150">
        <v>990</v>
      </c>
      <c r="N150">
        <v>990</v>
      </c>
      <c r="O150">
        <v>0</v>
      </c>
      <c r="P150">
        <v>0</v>
      </c>
    </row>
    <row r="151" spans="1:16" hidden="1" x14ac:dyDescent="0.25">
      <c r="A151" t="s">
        <v>464</v>
      </c>
      <c r="B151">
        <v>1</v>
      </c>
      <c r="C151">
        <v>6788</v>
      </c>
      <c r="D151">
        <v>6788</v>
      </c>
      <c r="I151">
        <v>0</v>
      </c>
      <c r="J151" t="s">
        <v>3574</v>
      </c>
      <c r="K151">
        <v>0</v>
      </c>
      <c r="L151">
        <v>0</v>
      </c>
      <c r="M151">
        <v>6788</v>
      </c>
      <c r="N151">
        <v>6788</v>
      </c>
      <c r="O151">
        <v>5495</v>
      </c>
      <c r="P151">
        <v>0</v>
      </c>
    </row>
    <row r="152" spans="1:16" hidden="1" x14ac:dyDescent="0.25">
      <c r="A152" t="s">
        <v>468</v>
      </c>
      <c r="B152">
        <v>1</v>
      </c>
      <c r="C152">
        <v>1000</v>
      </c>
      <c r="D152">
        <v>1000</v>
      </c>
      <c r="I152">
        <v>0</v>
      </c>
      <c r="J152" t="s">
        <v>3574</v>
      </c>
      <c r="K152">
        <v>0</v>
      </c>
      <c r="L152">
        <v>0</v>
      </c>
      <c r="M152">
        <v>1000</v>
      </c>
      <c r="N152">
        <v>1000</v>
      </c>
      <c r="O152">
        <v>750</v>
      </c>
      <c r="P152">
        <v>0</v>
      </c>
    </row>
    <row r="153" spans="1:16" hidden="1" x14ac:dyDescent="0.25">
      <c r="A153" t="s">
        <v>471</v>
      </c>
      <c r="B153">
        <v>1</v>
      </c>
      <c r="C153">
        <v>4050</v>
      </c>
      <c r="D153">
        <v>4050</v>
      </c>
      <c r="I153">
        <v>0</v>
      </c>
      <c r="J153" t="s">
        <v>3574</v>
      </c>
      <c r="K153">
        <v>0</v>
      </c>
      <c r="L153">
        <v>0</v>
      </c>
      <c r="M153">
        <v>4050</v>
      </c>
      <c r="N153">
        <v>4050</v>
      </c>
      <c r="O153">
        <v>2583</v>
      </c>
      <c r="P153">
        <v>0</v>
      </c>
    </row>
    <row r="154" spans="1:16" hidden="1" x14ac:dyDescent="0.25">
      <c r="A154" t="s">
        <v>472</v>
      </c>
      <c r="B154">
        <v>1</v>
      </c>
      <c r="C154">
        <v>2000</v>
      </c>
      <c r="D154">
        <v>2000</v>
      </c>
      <c r="I154">
        <v>0</v>
      </c>
      <c r="J154" t="s">
        <v>3574</v>
      </c>
      <c r="K154">
        <v>0</v>
      </c>
      <c r="L154">
        <v>0</v>
      </c>
      <c r="M154">
        <v>2000</v>
      </c>
      <c r="N154">
        <v>2000</v>
      </c>
      <c r="O154">
        <v>953</v>
      </c>
      <c r="P154">
        <v>0</v>
      </c>
    </row>
    <row r="155" spans="1:16" hidden="1" x14ac:dyDescent="0.25">
      <c r="A155" t="s">
        <v>473</v>
      </c>
      <c r="B155">
        <v>1</v>
      </c>
      <c r="C155">
        <v>18000</v>
      </c>
      <c r="D155">
        <v>18000</v>
      </c>
      <c r="I155">
        <v>0</v>
      </c>
      <c r="J155" t="s">
        <v>3574</v>
      </c>
      <c r="K155">
        <v>0</v>
      </c>
      <c r="L155">
        <v>0</v>
      </c>
      <c r="M155">
        <v>18000</v>
      </c>
      <c r="N155">
        <v>18000</v>
      </c>
      <c r="O155">
        <v>7560</v>
      </c>
      <c r="P155">
        <v>0</v>
      </c>
    </row>
    <row r="156" spans="1:16" hidden="1" x14ac:dyDescent="0.25">
      <c r="A156" t="s">
        <v>477</v>
      </c>
      <c r="B156">
        <v>1</v>
      </c>
      <c r="C156">
        <v>20500</v>
      </c>
      <c r="D156">
        <v>20489</v>
      </c>
      <c r="I156">
        <v>0</v>
      </c>
      <c r="J156" t="s">
        <v>3574</v>
      </c>
      <c r="K156">
        <v>0</v>
      </c>
      <c r="L156">
        <v>0</v>
      </c>
      <c r="M156">
        <v>20500</v>
      </c>
      <c r="N156">
        <v>20489</v>
      </c>
      <c r="O156">
        <v>16810</v>
      </c>
      <c r="P156">
        <v>0</v>
      </c>
    </row>
    <row r="157" spans="1:16" hidden="1" x14ac:dyDescent="0.25">
      <c r="A157" t="s">
        <v>478</v>
      </c>
      <c r="B157">
        <v>1</v>
      </c>
      <c r="C157">
        <v>9420</v>
      </c>
      <c r="D157">
        <v>9420</v>
      </c>
      <c r="I157">
        <v>0</v>
      </c>
      <c r="J157" t="s">
        <v>3574</v>
      </c>
      <c r="K157">
        <v>0</v>
      </c>
      <c r="L157">
        <v>0</v>
      </c>
      <c r="M157">
        <v>9420</v>
      </c>
      <c r="N157">
        <v>9420</v>
      </c>
      <c r="O157">
        <v>9420</v>
      </c>
      <c r="P157">
        <v>0</v>
      </c>
    </row>
    <row r="158" spans="1:16" hidden="1" x14ac:dyDescent="0.25">
      <c r="A158" t="s">
        <v>479</v>
      </c>
      <c r="B158">
        <v>1</v>
      </c>
      <c r="C158">
        <v>2000</v>
      </c>
      <c r="D158">
        <v>2000</v>
      </c>
      <c r="I158">
        <v>0</v>
      </c>
      <c r="J158" t="s">
        <v>3574</v>
      </c>
      <c r="K158">
        <v>0</v>
      </c>
      <c r="L158">
        <v>0</v>
      </c>
      <c r="M158">
        <v>2000</v>
      </c>
      <c r="N158">
        <v>2000</v>
      </c>
      <c r="O158">
        <v>0</v>
      </c>
      <c r="P158">
        <v>0</v>
      </c>
    </row>
    <row r="159" spans="1:16" hidden="1" x14ac:dyDescent="0.25">
      <c r="A159" t="s">
        <v>480</v>
      </c>
      <c r="B159">
        <v>1</v>
      </c>
      <c r="C159">
        <v>2650</v>
      </c>
      <c r="D159">
        <v>2650</v>
      </c>
      <c r="I159">
        <v>0</v>
      </c>
      <c r="J159" t="s">
        <v>3574</v>
      </c>
      <c r="K159">
        <v>0</v>
      </c>
      <c r="L159">
        <v>0</v>
      </c>
      <c r="M159">
        <v>2650</v>
      </c>
      <c r="N159">
        <v>2650</v>
      </c>
      <c r="O159">
        <v>1068</v>
      </c>
      <c r="P159">
        <v>0</v>
      </c>
    </row>
    <row r="160" spans="1:16" hidden="1" x14ac:dyDescent="0.25">
      <c r="A160" t="s">
        <v>481</v>
      </c>
      <c r="B160">
        <v>1</v>
      </c>
      <c r="C160">
        <v>1000</v>
      </c>
      <c r="D160">
        <v>1000</v>
      </c>
      <c r="I160">
        <v>0</v>
      </c>
      <c r="J160" t="s">
        <v>3574</v>
      </c>
      <c r="K160">
        <v>0</v>
      </c>
      <c r="L160">
        <v>0</v>
      </c>
      <c r="M160">
        <v>1000</v>
      </c>
      <c r="N160">
        <v>1000</v>
      </c>
      <c r="O160">
        <v>883</v>
      </c>
      <c r="P160">
        <v>0</v>
      </c>
    </row>
    <row r="161" spans="1:16" hidden="1" x14ac:dyDescent="0.25">
      <c r="A161" t="s">
        <v>484</v>
      </c>
      <c r="B161">
        <v>1</v>
      </c>
      <c r="C161">
        <v>1000</v>
      </c>
      <c r="D161">
        <v>1000</v>
      </c>
      <c r="I161">
        <v>0</v>
      </c>
      <c r="J161" t="s">
        <v>3574</v>
      </c>
      <c r="K161">
        <v>0</v>
      </c>
      <c r="L161">
        <v>0</v>
      </c>
      <c r="M161">
        <v>1000</v>
      </c>
      <c r="N161">
        <v>1000</v>
      </c>
      <c r="O161">
        <v>897</v>
      </c>
      <c r="P161">
        <v>0</v>
      </c>
    </row>
    <row r="162" spans="1:16" hidden="1" x14ac:dyDescent="0.25">
      <c r="A162" t="s">
        <v>488</v>
      </c>
      <c r="B162">
        <v>1</v>
      </c>
      <c r="C162">
        <v>2907</v>
      </c>
      <c r="D162">
        <v>2907</v>
      </c>
      <c r="I162">
        <v>0</v>
      </c>
      <c r="J162" t="s">
        <v>3574</v>
      </c>
      <c r="K162">
        <v>0</v>
      </c>
      <c r="L162">
        <v>0</v>
      </c>
      <c r="M162">
        <v>2907</v>
      </c>
      <c r="N162">
        <v>2907</v>
      </c>
      <c r="O162">
        <v>2894</v>
      </c>
      <c r="P162">
        <v>0</v>
      </c>
    </row>
    <row r="163" spans="1:16" hidden="1" x14ac:dyDescent="0.25">
      <c r="A163" t="s">
        <v>492</v>
      </c>
      <c r="B163">
        <v>1</v>
      </c>
      <c r="C163">
        <v>1500</v>
      </c>
      <c r="D163">
        <v>1500</v>
      </c>
      <c r="I163">
        <v>0</v>
      </c>
      <c r="J163" t="s">
        <v>3574</v>
      </c>
      <c r="K163">
        <v>0</v>
      </c>
      <c r="L163">
        <v>0</v>
      </c>
      <c r="M163">
        <v>1500</v>
      </c>
      <c r="N163">
        <v>1500</v>
      </c>
      <c r="O163">
        <v>350</v>
      </c>
      <c r="P163">
        <v>0</v>
      </c>
    </row>
    <row r="164" spans="1:16" hidden="1" x14ac:dyDescent="0.25">
      <c r="A164" t="s">
        <v>495</v>
      </c>
      <c r="B164">
        <v>1</v>
      </c>
      <c r="C164">
        <v>3795</v>
      </c>
      <c r="D164">
        <v>3795</v>
      </c>
      <c r="I164">
        <v>0</v>
      </c>
      <c r="J164" t="s">
        <v>3574</v>
      </c>
      <c r="K164">
        <v>0</v>
      </c>
      <c r="L164">
        <v>0</v>
      </c>
      <c r="M164">
        <v>3795</v>
      </c>
      <c r="N164">
        <v>3795</v>
      </c>
      <c r="O164">
        <v>3023</v>
      </c>
      <c r="P164">
        <v>0</v>
      </c>
    </row>
    <row r="165" spans="1:16" hidden="1" x14ac:dyDescent="0.25">
      <c r="A165" t="s">
        <v>496</v>
      </c>
      <c r="B165">
        <v>1</v>
      </c>
      <c r="C165">
        <v>2350</v>
      </c>
      <c r="D165">
        <v>2350</v>
      </c>
      <c r="I165">
        <v>0</v>
      </c>
      <c r="J165" t="s">
        <v>3574</v>
      </c>
      <c r="K165">
        <v>0</v>
      </c>
      <c r="L165">
        <v>0</v>
      </c>
      <c r="M165">
        <v>2350</v>
      </c>
      <c r="N165">
        <v>2350</v>
      </c>
      <c r="O165">
        <v>1339</v>
      </c>
      <c r="P165">
        <v>0</v>
      </c>
    </row>
    <row r="166" spans="1:16" hidden="1" x14ac:dyDescent="0.25">
      <c r="A166" t="s">
        <v>497</v>
      </c>
      <c r="B166">
        <v>1</v>
      </c>
      <c r="C166">
        <v>690</v>
      </c>
      <c r="D166">
        <v>690</v>
      </c>
      <c r="I166">
        <v>0</v>
      </c>
      <c r="J166" t="s">
        <v>3574</v>
      </c>
      <c r="K166">
        <v>0</v>
      </c>
      <c r="L166">
        <v>0</v>
      </c>
      <c r="M166">
        <v>690</v>
      </c>
      <c r="N166">
        <v>690</v>
      </c>
      <c r="O166">
        <v>672</v>
      </c>
      <c r="P166">
        <v>0</v>
      </c>
    </row>
    <row r="167" spans="1:16" hidden="1" x14ac:dyDescent="0.25">
      <c r="A167" t="s">
        <v>498</v>
      </c>
      <c r="B167">
        <v>1</v>
      </c>
      <c r="C167">
        <v>1000</v>
      </c>
      <c r="D167">
        <v>1000</v>
      </c>
      <c r="I167">
        <v>0</v>
      </c>
      <c r="J167" t="s">
        <v>3574</v>
      </c>
      <c r="K167">
        <v>0</v>
      </c>
      <c r="L167">
        <v>0</v>
      </c>
      <c r="M167">
        <v>1000</v>
      </c>
      <c r="N167">
        <v>1000</v>
      </c>
      <c r="O167">
        <v>935</v>
      </c>
      <c r="P167">
        <v>0</v>
      </c>
    </row>
    <row r="168" spans="1:16" hidden="1" x14ac:dyDescent="0.25">
      <c r="A168" t="s">
        <v>502</v>
      </c>
      <c r="B168">
        <v>1</v>
      </c>
      <c r="C168">
        <v>4000</v>
      </c>
      <c r="D168">
        <v>4000</v>
      </c>
      <c r="I168">
        <v>0</v>
      </c>
      <c r="J168" t="s">
        <v>3574</v>
      </c>
      <c r="K168">
        <v>0</v>
      </c>
      <c r="L168">
        <v>0</v>
      </c>
      <c r="M168">
        <v>4000</v>
      </c>
      <c r="N168">
        <v>4000</v>
      </c>
      <c r="O168">
        <v>3420</v>
      </c>
      <c r="P168">
        <v>0</v>
      </c>
    </row>
    <row r="169" spans="1:16" hidden="1" x14ac:dyDescent="0.25">
      <c r="A169" t="s">
        <v>503</v>
      </c>
      <c r="B169">
        <v>1</v>
      </c>
      <c r="C169">
        <v>2000</v>
      </c>
      <c r="D169">
        <v>2000</v>
      </c>
      <c r="I169">
        <v>0</v>
      </c>
      <c r="J169" t="s">
        <v>3574</v>
      </c>
      <c r="K169">
        <v>0</v>
      </c>
      <c r="L169">
        <v>0</v>
      </c>
      <c r="M169">
        <v>2000</v>
      </c>
      <c r="N169">
        <v>2000</v>
      </c>
      <c r="O169">
        <v>1952</v>
      </c>
      <c r="P169">
        <v>0</v>
      </c>
    </row>
    <row r="170" spans="1:16" hidden="1" x14ac:dyDescent="0.25">
      <c r="A170" t="s">
        <v>504</v>
      </c>
      <c r="B170">
        <v>1</v>
      </c>
      <c r="C170">
        <v>1000</v>
      </c>
      <c r="D170">
        <v>1000</v>
      </c>
      <c r="I170">
        <v>0</v>
      </c>
      <c r="J170" t="s">
        <v>3574</v>
      </c>
      <c r="K170">
        <v>0</v>
      </c>
      <c r="L170">
        <v>0</v>
      </c>
      <c r="M170">
        <v>1000</v>
      </c>
      <c r="N170">
        <v>1000</v>
      </c>
      <c r="O170">
        <v>855</v>
      </c>
      <c r="P170">
        <v>0</v>
      </c>
    </row>
    <row r="171" spans="1:16" hidden="1" x14ac:dyDescent="0.25">
      <c r="A171" t="s">
        <v>505</v>
      </c>
      <c r="B171">
        <v>1</v>
      </c>
      <c r="C171">
        <v>1640</v>
      </c>
      <c r="D171">
        <v>1640</v>
      </c>
      <c r="I171">
        <v>0</v>
      </c>
      <c r="J171" t="s">
        <v>3574</v>
      </c>
      <c r="K171">
        <v>0</v>
      </c>
      <c r="L171">
        <v>0</v>
      </c>
      <c r="M171">
        <v>1640</v>
      </c>
      <c r="N171">
        <v>1640</v>
      </c>
      <c r="O171">
        <v>1194</v>
      </c>
      <c r="P171">
        <v>0</v>
      </c>
    </row>
    <row r="172" spans="1:16" hidden="1" x14ac:dyDescent="0.25">
      <c r="A172" t="s">
        <v>506</v>
      </c>
      <c r="B172">
        <v>0.64</v>
      </c>
      <c r="C172">
        <v>3200</v>
      </c>
      <c r="D172">
        <v>3200</v>
      </c>
      <c r="E172">
        <v>0.36</v>
      </c>
      <c r="H172">
        <v>1800</v>
      </c>
      <c r="I172">
        <v>1800</v>
      </c>
      <c r="J172" t="s">
        <v>3573</v>
      </c>
      <c r="K172">
        <v>1800</v>
      </c>
      <c r="L172">
        <v>1800</v>
      </c>
      <c r="M172">
        <v>3200</v>
      </c>
      <c r="N172">
        <v>3200</v>
      </c>
      <c r="O172">
        <v>0</v>
      </c>
      <c r="P172">
        <v>0</v>
      </c>
    </row>
    <row r="173" spans="1:16" hidden="1" x14ac:dyDescent="0.25">
      <c r="A173" t="s">
        <v>509</v>
      </c>
      <c r="B173">
        <v>0.64</v>
      </c>
      <c r="C173">
        <v>1280</v>
      </c>
      <c r="D173">
        <v>1280</v>
      </c>
      <c r="E173">
        <v>0.36</v>
      </c>
      <c r="H173">
        <v>720</v>
      </c>
      <c r="I173">
        <v>720</v>
      </c>
      <c r="J173" t="s">
        <v>3573</v>
      </c>
      <c r="K173">
        <v>720</v>
      </c>
      <c r="L173">
        <v>720</v>
      </c>
      <c r="M173">
        <v>1280</v>
      </c>
      <c r="N173">
        <v>1280</v>
      </c>
      <c r="O173">
        <v>0</v>
      </c>
      <c r="P173">
        <v>0</v>
      </c>
    </row>
    <row r="174" spans="1:16" hidden="1" x14ac:dyDescent="0.25">
      <c r="A174" t="s">
        <v>512</v>
      </c>
      <c r="B174">
        <v>1</v>
      </c>
      <c r="C174">
        <v>1100</v>
      </c>
      <c r="D174">
        <v>1100</v>
      </c>
      <c r="I174">
        <v>0</v>
      </c>
      <c r="J174" t="s">
        <v>3574</v>
      </c>
      <c r="K174">
        <v>0</v>
      </c>
      <c r="L174">
        <v>0</v>
      </c>
      <c r="M174">
        <v>1100</v>
      </c>
      <c r="N174">
        <v>1100</v>
      </c>
      <c r="O174">
        <v>1089</v>
      </c>
      <c r="P174">
        <v>0</v>
      </c>
    </row>
    <row r="175" spans="1:16" hidden="1" x14ac:dyDescent="0.25">
      <c r="A175" t="s">
        <v>515</v>
      </c>
      <c r="B175">
        <v>0.64</v>
      </c>
      <c r="C175">
        <v>3520</v>
      </c>
      <c r="D175">
        <v>3520</v>
      </c>
      <c r="E175">
        <v>0.36</v>
      </c>
      <c r="H175">
        <v>1980</v>
      </c>
      <c r="I175">
        <v>1980</v>
      </c>
      <c r="J175" t="s">
        <v>3573</v>
      </c>
      <c r="K175">
        <v>1980</v>
      </c>
      <c r="L175">
        <v>1980</v>
      </c>
      <c r="M175">
        <v>3520</v>
      </c>
      <c r="N175">
        <v>3520</v>
      </c>
      <c r="O175">
        <v>0</v>
      </c>
      <c r="P175">
        <v>0</v>
      </c>
    </row>
    <row r="176" spans="1:16" hidden="1" x14ac:dyDescent="0.25">
      <c r="A176" t="s">
        <v>519</v>
      </c>
      <c r="B176">
        <v>1</v>
      </c>
      <c r="C176">
        <v>1100</v>
      </c>
      <c r="D176">
        <v>1100</v>
      </c>
      <c r="I176">
        <v>0</v>
      </c>
      <c r="J176" t="s">
        <v>3574</v>
      </c>
      <c r="K176">
        <v>0</v>
      </c>
      <c r="L176">
        <v>0</v>
      </c>
      <c r="M176">
        <v>1100</v>
      </c>
      <c r="N176">
        <v>1100</v>
      </c>
      <c r="O176">
        <v>1045</v>
      </c>
      <c r="P176">
        <v>0</v>
      </c>
    </row>
    <row r="177" spans="1:16" hidden="1" x14ac:dyDescent="0.25">
      <c r="A177" t="s">
        <v>522</v>
      </c>
      <c r="B177">
        <v>1</v>
      </c>
      <c r="C177">
        <v>7700</v>
      </c>
      <c r="D177">
        <v>7700</v>
      </c>
      <c r="I177">
        <v>0</v>
      </c>
      <c r="J177" t="s">
        <v>3574</v>
      </c>
      <c r="K177">
        <v>0</v>
      </c>
      <c r="L177">
        <v>0</v>
      </c>
      <c r="M177">
        <v>7700</v>
      </c>
      <c r="N177">
        <v>7700</v>
      </c>
      <c r="O177">
        <v>0</v>
      </c>
      <c r="P177">
        <v>0</v>
      </c>
    </row>
    <row r="178" spans="1:16" hidden="1" x14ac:dyDescent="0.25">
      <c r="A178" t="s">
        <v>525</v>
      </c>
      <c r="B178">
        <v>1</v>
      </c>
      <c r="C178">
        <v>14300</v>
      </c>
      <c r="D178">
        <v>14300</v>
      </c>
      <c r="I178">
        <v>0</v>
      </c>
      <c r="J178" t="s">
        <v>3574</v>
      </c>
      <c r="K178">
        <v>0</v>
      </c>
      <c r="L178">
        <v>0</v>
      </c>
      <c r="M178">
        <v>14300</v>
      </c>
      <c r="N178">
        <v>14300</v>
      </c>
      <c r="O178">
        <v>0</v>
      </c>
      <c r="P178">
        <v>0</v>
      </c>
    </row>
    <row r="179" spans="1:16" hidden="1" x14ac:dyDescent="0.25">
      <c r="A179" t="s">
        <v>526</v>
      </c>
      <c r="B179">
        <v>1</v>
      </c>
      <c r="C179">
        <v>5500</v>
      </c>
      <c r="D179">
        <v>5500</v>
      </c>
      <c r="I179">
        <v>0</v>
      </c>
      <c r="J179" t="s">
        <v>3574</v>
      </c>
      <c r="K179">
        <v>0</v>
      </c>
      <c r="L179">
        <v>0</v>
      </c>
      <c r="M179">
        <v>5500</v>
      </c>
      <c r="N179">
        <v>5500</v>
      </c>
      <c r="O179">
        <v>0</v>
      </c>
      <c r="P179">
        <v>0</v>
      </c>
    </row>
    <row r="180" spans="1:16" hidden="1" x14ac:dyDescent="0.25">
      <c r="A180" t="s">
        <v>530</v>
      </c>
      <c r="B180">
        <v>1</v>
      </c>
      <c r="C180">
        <v>2750</v>
      </c>
      <c r="D180">
        <v>2750</v>
      </c>
      <c r="I180">
        <v>0</v>
      </c>
      <c r="J180" t="s">
        <v>3574</v>
      </c>
      <c r="K180">
        <v>0</v>
      </c>
      <c r="L180">
        <v>0</v>
      </c>
      <c r="M180">
        <v>2750</v>
      </c>
      <c r="N180">
        <v>2750</v>
      </c>
      <c r="O180">
        <v>2067</v>
      </c>
      <c r="P180">
        <v>0</v>
      </c>
    </row>
    <row r="181" spans="1:16" hidden="1" x14ac:dyDescent="0.25">
      <c r="A181" t="s">
        <v>533</v>
      </c>
      <c r="B181">
        <v>1</v>
      </c>
      <c r="I181">
        <v>0</v>
      </c>
      <c r="J181" t="s">
        <v>3574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hidden="1" x14ac:dyDescent="0.25">
      <c r="A182" t="s">
        <v>537</v>
      </c>
      <c r="B182">
        <v>1</v>
      </c>
      <c r="C182">
        <v>4400</v>
      </c>
      <c r="D182">
        <v>4400</v>
      </c>
      <c r="I182">
        <v>0</v>
      </c>
      <c r="J182" t="s">
        <v>3574</v>
      </c>
      <c r="K182">
        <v>0</v>
      </c>
      <c r="L182">
        <v>0</v>
      </c>
      <c r="M182">
        <v>4400</v>
      </c>
      <c r="N182">
        <v>4400</v>
      </c>
      <c r="O182">
        <v>0</v>
      </c>
      <c r="P182">
        <v>0</v>
      </c>
    </row>
    <row r="183" spans="1:16" hidden="1" x14ac:dyDescent="0.25">
      <c r="A183" t="s">
        <v>541</v>
      </c>
      <c r="B183">
        <v>1</v>
      </c>
      <c r="C183">
        <v>12000</v>
      </c>
      <c r="D183">
        <v>12000</v>
      </c>
      <c r="I183">
        <v>0</v>
      </c>
      <c r="J183" t="s">
        <v>3574</v>
      </c>
      <c r="K183">
        <v>0</v>
      </c>
      <c r="L183">
        <v>0</v>
      </c>
      <c r="M183">
        <v>12000</v>
      </c>
      <c r="N183">
        <v>12000</v>
      </c>
      <c r="O183">
        <v>4080</v>
      </c>
      <c r="P183">
        <v>0</v>
      </c>
    </row>
    <row r="184" spans="1:16" hidden="1" x14ac:dyDescent="0.25">
      <c r="A184" t="s">
        <v>544</v>
      </c>
      <c r="B184">
        <v>1</v>
      </c>
      <c r="C184">
        <v>2750</v>
      </c>
      <c r="D184">
        <v>2750</v>
      </c>
      <c r="I184">
        <v>0</v>
      </c>
      <c r="J184" t="s">
        <v>3574</v>
      </c>
      <c r="K184">
        <v>0</v>
      </c>
      <c r="L184">
        <v>0</v>
      </c>
      <c r="M184">
        <v>2750</v>
      </c>
      <c r="N184">
        <v>2750</v>
      </c>
      <c r="O184">
        <v>1815</v>
      </c>
      <c r="P184">
        <v>0</v>
      </c>
    </row>
    <row r="185" spans="1:16" hidden="1" x14ac:dyDescent="0.25">
      <c r="A185" t="s">
        <v>547</v>
      </c>
      <c r="B185">
        <v>1</v>
      </c>
      <c r="C185">
        <v>3300</v>
      </c>
      <c r="D185">
        <v>3300</v>
      </c>
      <c r="I185">
        <v>0</v>
      </c>
      <c r="J185" t="s">
        <v>3574</v>
      </c>
      <c r="K185">
        <v>0</v>
      </c>
      <c r="L185">
        <v>0</v>
      </c>
      <c r="M185">
        <v>3300</v>
      </c>
      <c r="N185">
        <v>3300</v>
      </c>
      <c r="O185">
        <v>2112</v>
      </c>
      <c r="P185">
        <v>0</v>
      </c>
    </row>
    <row r="186" spans="1:16" hidden="1" x14ac:dyDescent="0.25">
      <c r="A186" t="s">
        <v>551</v>
      </c>
      <c r="B186">
        <v>1</v>
      </c>
      <c r="C186">
        <v>2750</v>
      </c>
      <c r="D186">
        <v>2750</v>
      </c>
      <c r="I186">
        <v>0</v>
      </c>
      <c r="J186" t="s">
        <v>3574</v>
      </c>
      <c r="K186">
        <v>0</v>
      </c>
      <c r="L186">
        <v>0</v>
      </c>
      <c r="M186">
        <v>2750</v>
      </c>
      <c r="N186">
        <v>2750</v>
      </c>
      <c r="O186">
        <v>0</v>
      </c>
      <c r="P186">
        <v>0</v>
      </c>
    </row>
    <row r="187" spans="1:16" hidden="1" x14ac:dyDescent="0.25">
      <c r="A187" t="s">
        <v>554</v>
      </c>
      <c r="B187">
        <v>0.64</v>
      </c>
      <c r="C187">
        <v>1408</v>
      </c>
      <c r="D187">
        <v>1408</v>
      </c>
      <c r="E187">
        <v>0.36</v>
      </c>
      <c r="H187">
        <v>792</v>
      </c>
      <c r="I187">
        <v>792</v>
      </c>
      <c r="J187" t="s">
        <v>3573</v>
      </c>
      <c r="K187">
        <v>792</v>
      </c>
      <c r="L187">
        <v>792</v>
      </c>
      <c r="M187">
        <v>1408</v>
      </c>
      <c r="N187">
        <v>1408</v>
      </c>
      <c r="O187">
        <v>0</v>
      </c>
      <c r="P187">
        <v>0</v>
      </c>
    </row>
    <row r="188" spans="1:16" hidden="1" x14ac:dyDescent="0.25">
      <c r="A188" t="s">
        <v>557</v>
      </c>
      <c r="B188">
        <v>1</v>
      </c>
      <c r="C188">
        <v>11550</v>
      </c>
      <c r="D188">
        <v>11550</v>
      </c>
      <c r="I188">
        <v>0</v>
      </c>
      <c r="J188" t="s">
        <v>3574</v>
      </c>
      <c r="K188">
        <v>0</v>
      </c>
      <c r="L188">
        <v>0</v>
      </c>
      <c r="M188">
        <v>11550</v>
      </c>
      <c r="N188">
        <v>11550</v>
      </c>
      <c r="O188">
        <v>0</v>
      </c>
      <c r="P188">
        <v>0</v>
      </c>
    </row>
    <row r="189" spans="1:16" hidden="1" x14ac:dyDescent="0.25">
      <c r="A189" t="s">
        <v>560</v>
      </c>
      <c r="B189">
        <v>0.64</v>
      </c>
      <c r="C189">
        <v>640</v>
      </c>
      <c r="D189">
        <v>640</v>
      </c>
      <c r="E189">
        <v>0.36</v>
      </c>
      <c r="H189">
        <v>360</v>
      </c>
      <c r="I189">
        <v>360</v>
      </c>
      <c r="J189" t="s">
        <v>3573</v>
      </c>
      <c r="K189">
        <v>360</v>
      </c>
      <c r="L189">
        <v>360</v>
      </c>
      <c r="M189">
        <v>640</v>
      </c>
      <c r="N189">
        <v>640</v>
      </c>
      <c r="O189">
        <v>218</v>
      </c>
      <c r="P189">
        <v>122</v>
      </c>
    </row>
    <row r="190" spans="1:16" hidden="1" x14ac:dyDescent="0.25">
      <c r="A190" t="s">
        <v>563</v>
      </c>
      <c r="B190">
        <v>0.64</v>
      </c>
      <c r="C190">
        <v>5888</v>
      </c>
      <c r="D190">
        <v>5888</v>
      </c>
      <c r="E190">
        <v>0.36</v>
      </c>
      <c r="H190">
        <v>3312</v>
      </c>
      <c r="I190">
        <v>3312</v>
      </c>
      <c r="J190" t="s">
        <v>3573</v>
      </c>
      <c r="K190">
        <v>3312</v>
      </c>
      <c r="L190">
        <v>3312</v>
      </c>
      <c r="M190">
        <v>5888</v>
      </c>
      <c r="N190">
        <v>5888</v>
      </c>
      <c r="O190">
        <v>5005</v>
      </c>
      <c r="P190">
        <v>2815</v>
      </c>
    </row>
    <row r="191" spans="1:16" hidden="1" x14ac:dyDescent="0.25">
      <c r="A191" t="s">
        <v>566</v>
      </c>
      <c r="B191">
        <v>1</v>
      </c>
      <c r="C191">
        <v>11000</v>
      </c>
      <c r="D191">
        <v>11000</v>
      </c>
      <c r="I191">
        <v>0</v>
      </c>
      <c r="J191" t="s">
        <v>3574</v>
      </c>
      <c r="K191">
        <v>0</v>
      </c>
      <c r="L191">
        <v>0</v>
      </c>
      <c r="M191">
        <v>11000</v>
      </c>
      <c r="N191">
        <v>11000</v>
      </c>
      <c r="O191">
        <v>0</v>
      </c>
      <c r="P191">
        <v>0</v>
      </c>
    </row>
    <row r="192" spans="1:16" hidden="1" x14ac:dyDescent="0.25">
      <c r="A192" t="s">
        <v>569</v>
      </c>
      <c r="B192">
        <v>1</v>
      </c>
      <c r="C192">
        <v>2750</v>
      </c>
      <c r="D192">
        <v>2750</v>
      </c>
      <c r="I192">
        <v>0</v>
      </c>
      <c r="J192" t="s">
        <v>3574</v>
      </c>
      <c r="K192">
        <v>0</v>
      </c>
      <c r="L192">
        <v>0</v>
      </c>
      <c r="M192">
        <v>2750</v>
      </c>
      <c r="N192">
        <v>2750</v>
      </c>
      <c r="O192">
        <v>1371</v>
      </c>
      <c r="P192">
        <v>0</v>
      </c>
    </row>
    <row r="193" spans="1:16" hidden="1" x14ac:dyDescent="0.25">
      <c r="A193" t="s">
        <v>572</v>
      </c>
      <c r="B193">
        <v>1</v>
      </c>
      <c r="C193">
        <v>2750</v>
      </c>
      <c r="D193">
        <v>2750</v>
      </c>
      <c r="I193">
        <v>0</v>
      </c>
      <c r="J193" t="s">
        <v>3574</v>
      </c>
      <c r="K193">
        <v>0</v>
      </c>
      <c r="L193">
        <v>0</v>
      </c>
      <c r="M193">
        <v>2750</v>
      </c>
      <c r="N193">
        <v>2750</v>
      </c>
      <c r="O193">
        <v>149</v>
      </c>
      <c r="P193">
        <v>0</v>
      </c>
    </row>
    <row r="194" spans="1:16" hidden="1" x14ac:dyDescent="0.25">
      <c r="A194" t="s">
        <v>575</v>
      </c>
      <c r="B194">
        <v>1</v>
      </c>
      <c r="C194">
        <v>2200</v>
      </c>
      <c r="D194">
        <v>2200</v>
      </c>
      <c r="I194">
        <v>0</v>
      </c>
      <c r="J194" t="s">
        <v>3574</v>
      </c>
      <c r="K194">
        <v>0</v>
      </c>
      <c r="L194">
        <v>0</v>
      </c>
      <c r="M194">
        <v>2200</v>
      </c>
      <c r="N194">
        <v>2200</v>
      </c>
      <c r="O194">
        <v>1689</v>
      </c>
      <c r="P194">
        <v>0</v>
      </c>
    </row>
    <row r="195" spans="1:16" hidden="1" x14ac:dyDescent="0.25">
      <c r="A195" t="s">
        <v>578</v>
      </c>
      <c r="B195">
        <v>1</v>
      </c>
      <c r="C195">
        <v>1100</v>
      </c>
      <c r="D195">
        <v>1100</v>
      </c>
      <c r="I195">
        <v>0</v>
      </c>
      <c r="J195" t="s">
        <v>3574</v>
      </c>
      <c r="K195">
        <v>0</v>
      </c>
      <c r="L195">
        <v>0</v>
      </c>
      <c r="M195">
        <v>1100</v>
      </c>
      <c r="N195">
        <v>1100</v>
      </c>
      <c r="O195">
        <v>1045</v>
      </c>
      <c r="P195">
        <v>0</v>
      </c>
    </row>
    <row r="196" spans="1:16" hidden="1" x14ac:dyDescent="0.25">
      <c r="A196" t="s">
        <v>582</v>
      </c>
      <c r="B196">
        <v>1</v>
      </c>
      <c r="C196">
        <v>2750</v>
      </c>
      <c r="D196">
        <v>2750</v>
      </c>
      <c r="I196">
        <v>0</v>
      </c>
      <c r="J196" t="s">
        <v>3574</v>
      </c>
      <c r="K196">
        <v>0</v>
      </c>
      <c r="L196">
        <v>0</v>
      </c>
      <c r="M196">
        <v>2750</v>
      </c>
      <c r="N196">
        <v>2750</v>
      </c>
      <c r="O196">
        <v>387</v>
      </c>
      <c r="P196">
        <v>0</v>
      </c>
    </row>
    <row r="197" spans="1:16" hidden="1" x14ac:dyDescent="0.25">
      <c r="A197" t="s">
        <v>586</v>
      </c>
      <c r="B197">
        <v>1</v>
      </c>
      <c r="C197">
        <v>2750</v>
      </c>
      <c r="D197">
        <v>2750</v>
      </c>
      <c r="I197">
        <v>0</v>
      </c>
      <c r="J197" t="s">
        <v>3574</v>
      </c>
      <c r="K197">
        <v>0</v>
      </c>
      <c r="L197">
        <v>0</v>
      </c>
      <c r="M197">
        <v>2750</v>
      </c>
      <c r="N197">
        <v>2750</v>
      </c>
      <c r="O197">
        <v>2593</v>
      </c>
      <c r="P197">
        <v>0</v>
      </c>
    </row>
    <row r="198" spans="1:16" hidden="1" x14ac:dyDescent="0.25">
      <c r="A198" t="s">
        <v>589</v>
      </c>
      <c r="B198">
        <v>1</v>
      </c>
      <c r="C198">
        <v>2750</v>
      </c>
      <c r="D198">
        <v>2750</v>
      </c>
      <c r="I198">
        <v>0</v>
      </c>
      <c r="J198" t="s">
        <v>3574</v>
      </c>
      <c r="K198">
        <v>0</v>
      </c>
      <c r="L198">
        <v>0</v>
      </c>
      <c r="M198">
        <v>2750</v>
      </c>
      <c r="N198">
        <v>2750</v>
      </c>
      <c r="O198">
        <v>2687</v>
      </c>
      <c r="P198">
        <v>0</v>
      </c>
    </row>
    <row r="199" spans="1:16" hidden="1" x14ac:dyDescent="0.25">
      <c r="A199" t="s">
        <v>592</v>
      </c>
      <c r="B199">
        <v>1</v>
      </c>
      <c r="C199">
        <v>2750</v>
      </c>
      <c r="D199">
        <v>2750</v>
      </c>
      <c r="I199">
        <v>0</v>
      </c>
      <c r="J199" t="s">
        <v>3574</v>
      </c>
      <c r="K199">
        <v>0</v>
      </c>
      <c r="L199">
        <v>0</v>
      </c>
      <c r="M199">
        <v>2750</v>
      </c>
      <c r="N199">
        <v>2750</v>
      </c>
      <c r="O199">
        <v>2646</v>
      </c>
      <c r="P199">
        <v>0</v>
      </c>
    </row>
    <row r="200" spans="1:16" hidden="1" x14ac:dyDescent="0.25">
      <c r="A200" t="s">
        <v>595</v>
      </c>
      <c r="B200">
        <v>1</v>
      </c>
      <c r="C200">
        <v>5600</v>
      </c>
      <c r="D200">
        <v>5600</v>
      </c>
      <c r="I200">
        <v>0</v>
      </c>
      <c r="J200" t="s">
        <v>3574</v>
      </c>
      <c r="K200">
        <v>0</v>
      </c>
      <c r="L200">
        <v>0</v>
      </c>
      <c r="M200">
        <v>5600</v>
      </c>
      <c r="N200">
        <v>5600</v>
      </c>
      <c r="O200">
        <v>4525</v>
      </c>
      <c r="P200">
        <v>0</v>
      </c>
    </row>
    <row r="201" spans="1:16" hidden="1" x14ac:dyDescent="0.25">
      <c r="A201" t="s">
        <v>598</v>
      </c>
      <c r="B201">
        <v>1</v>
      </c>
      <c r="C201">
        <v>2200</v>
      </c>
      <c r="D201">
        <v>2200</v>
      </c>
      <c r="I201">
        <v>0</v>
      </c>
      <c r="J201" t="s">
        <v>3574</v>
      </c>
      <c r="K201">
        <v>0</v>
      </c>
      <c r="L201">
        <v>0</v>
      </c>
      <c r="M201">
        <v>2200</v>
      </c>
      <c r="N201">
        <v>2200</v>
      </c>
      <c r="O201">
        <v>541</v>
      </c>
      <c r="P201">
        <v>0</v>
      </c>
    </row>
    <row r="202" spans="1:16" hidden="1" x14ac:dyDescent="0.25">
      <c r="A202" t="s">
        <v>602</v>
      </c>
      <c r="B202">
        <v>1</v>
      </c>
      <c r="C202">
        <v>2750</v>
      </c>
      <c r="D202">
        <v>2750</v>
      </c>
      <c r="I202">
        <v>0</v>
      </c>
      <c r="J202" t="s">
        <v>3574</v>
      </c>
      <c r="K202">
        <v>0</v>
      </c>
      <c r="L202">
        <v>0</v>
      </c>
      <c r="M202">
        <v>2750</v>
      </c>
      <c r="N202">
        <v>2750</v>
      </c>
      <c r="O202">
        <v>2673</v>
      </c>
      <c r="P202">
        <v>0</v>
      </c>
    </row>
    <row r="203" spans="1:16" hidden="1" x14ac:dyDescent="0.25">
      <c r="A203" t="s">
        <v>605</v>
      </c>
      <c r="B203">
        <v>1</v>
      </c>
      <c r="C203">
        <v>2750</v>
      </c>
      <c r="D203">
        <v>2750</v>
      </c>
      <c r="I203">
        <v>0</v>
      </c>
      <c r="J203" t="s">
        <v>3574</v>
      </c>
      <c r="K203">
        <v>0</v>
      </c>
      <c r="L203">
        <v>0</v>
      </c>
      <c r="M203">
        <v>2750</v>
      </c>
      <c r="N203">
        <v>2750</v>
      </c>
      <c r="O203">
        <v>2426</v>
      </c>
      <c r="P203">
        <v>0</v>
      </c>
    </row>
    <row r="204" spans="1:16" hidden="1" x14ac:dyDescent="0.25">
      <c r="A204" t="s">
        <v>608</v>
      </c>
      <c r="B204">
        <v>1</v>
      </c>
      <c r="C204">
        <v>4716</v>
      </c>
      <c r="D204">
        <v>4716</v>
      </c>
      <c r="I204">
        <v>0</v>
      </c>
      <c r="J204" t="s">
        <v>3574</v>
      </c>
      <c r="K204">
        <v>0</v>
      </c>
      <c r="L204">
        <v>0</v>
      </c>
      <c r="M204">
        <v>4716</v>
      </c>
      <c r="N204">
        <v>4716</v>
      </c>
      <c r="O204">
        <v>4428</v>
      </c>
      <c r="P204">
        <v>0</v>
      </c>
    </row>
    <row r="205" spans="1:16" hidden="1" x14ac:dyDescent="0.25">
      <c r="A205" t="s">
        <v>611</v>
      </c>
      <c r="B205">
        <v>1</v>
      </c>
      <c r="C205">
        <v>4400</v>
      </c>
      <c r="D205">
        <v>4400</v>
      </c>
      <c r="I205">
        <v>0</v>
      </c>
      <c r="J205" t="s">
        <v>3574</v>
      </c>
      <c r="K205">
        <v>0</v>
      </c>
      <c r="L205">
        <v>0</v>
      </c>
      <c r="M205">
        <v>4400</v>
      </c>
      <c r="N205">
        <v>4400</v>
      </c>
      <c r="O205">
        <v>0</v>
      </c>
      <c r="P205">
        <v>0</v>
      </c>
    </row>
    <row r="206" spans="1:16" hidden="1" x14ac:dyDescent="0.25">
      <c r="A206" t="s">
        <v>614</v>
      </c>
      <c r="B206">
        <v>1</v>
      </c>
      <c r="C206">
        <v>2200</v>
      </c>
      <c r="D206">
        <v>2200</v>
      </c>
      <c r="I206">
        <v>0</v>
      </c>
      <c r="J206" t="s">
        <v>3574</v>
      </c>
      <c r="K206">
        <v>0</v>
      </c>
      <c r="L206">
        <v>0</v>
      </c>
      <c r="M206">
        <v>2200</v>
      </c>
      <c r="N206">
        <v>2200</v>
      </c>
      <c r="O206">
        <v>2046</v>
      </c>
      <c r="P206">
        <v>0</v>
      </c>
    </row>
    <row r="207" spans="1:16" hidden="1" x14ac:dyDescent="0.25">
      <c r="A207" t="s">
        <v>617</v>
      </c>
      <c r="B207">
        <v>1</v>
      </c>
      <c r="C207">
        <v>2750</v>
      </c>
      <c r="D207">
        <v>2750</v>
      </c>
      <c r="I207">
        <v>0</v>
      </c>
      <c r="J207" t="s">
        <v>3574</v>
      </c>
      <c r="K207">
        <v>0</v>
      </c>
      <c r="L207">
        <v>0</v>
      </c>
      <c r="M207">
        <v>2750</v>
      </c>
      <c r="N207">
        <v>2750</v>
      </c>
      <c r="O207">
        <v>1815</v>
      </c>
      <c r="P207">
        <v>0</v>
      </c>
    </row>
    <row r="208" spans="1:16" hidden="1" x14ac:dyDescent="0.25">
      <c r="A208" t="s">
        <v>620</v>
      </c>
      <c r="B208">
        <v>1</v>
      </c>
      <c r="C208">
        <v>2750</v>
      </c>
      <c r="D208">
        <v>2750</v>
      </c>
      <c r="I208">
        <v>0</v>
      </c>
      <c r="J208" t="s">
        <v>3574</v>
      </c>
      <c r="K208">
        <v>0</v>
      </c>
      <c r="L208">
        <v>0</v>
      </c>
      <c r="M208">
        <v>2750</v>
      </c>
      <c r="N208">
        <v>2750</v>
      </c>
      <c r="O208">
        <v>330</v>
      </c>
      <c r="P208">
        <v>0</v>
      </c>
    </row>
    <row r="209" spans="1:16" hidden="1" x14ac:dyDescent="0.25">
      <c r="A209" t="s">
        <v>623</v>
      </c>
      <c r="B209">
        <v>1</v>
      </c>
      <c r="C209">
        <v>2750</v>
      </c>
      <c r="D209">
        <v>2750</v>
      </c>
      <c r="I209">
        <v>0</v>
      </c>
      <c r="J209" t="s">
        <v>3574</v>
      </c>
      <c r="K209">
        <v>0</v>
      </c>
      <c r="L209">
        <v>0</v>
      </c>
      <c r="M209">
        <v>2750</v>
      </c>
      <c r="N209">
        <v>2750</v>
      </c>
      <c r="O209">
        <v>2292</v>
      </c>
      <c r="P209">
        <v>0</v>
      </c>
    </row>
    <row r="210" spans="1:16" hidden="1" x14ac:dyDescent="0.25">
      <c r="A210" t="s">
        <v>626</v>
      </c>
      <c r="B210">
        <v>1</v>
      </c>
      <c r="C210">
        <v>3542</v>
      </c>
      <c r="D210">
        <v>2800</v>
      </c>
      <c r="I210">
        <v>0</v>
      </c>
      <c r="J210" t="s">
        <v>3574</v>
      </c>
      <c r="K210">
        <v>0</v>
      </c>
      <c r="L210">
        <v>0</v>
      </c>
      <c r="M210">
        <v>3542</v>
      </c>
      <c r="N210">
        <v>2800</v>
      </c>
      <c r="O210">
        <v>871</v>
      </c>
      <c r="P210">
        <v>0</v>
      </c>
    </row>
    <row r="211" spans="1:16" hidden="1" x14ac:dyDescent="0.25">
      <c r="A211" t="s">
        <v>629</v>
      </c>
      <c r="B211">
        <v>1</v>
      </c>
      <c r="C211">
        <v>2750</v>
      </c>
      <c r="D211">
        <v>2750</v>
      </c>
      <c r="I211">
        <v>0</v>
      </c>
      <c r="J211" t="s">
        <v>3574</v>
      </c>
      <c r="K211">
        <v>0</v>
      </c>
      <c r="L211">
        <v>0</v>
      </c>
      <c r="M211">
        <v>2750</v>
      </c>
      <c r="N211">
        <v>2750</v>
      </c>
      <c r="O211">
        <v>1470</v>
      </c>
      <c r="P211">
        <v>0</v>
      </c>
    </row>
    <row r="212" spans="1:16" hidden="1" x14ac:dyDescent="0.25">
      <c r="A212" t="s">
        <v>633</v>
      </c>
      <c r="B212">
        <v>1</v>
      </c>
      <c r="C212">
        <v>2750</v>
      </c>
      <c r="D212">
        <v>420</v>
      </c>
      <c r="I212">
        <v>0</v>
      </c>
      <c r="J212" t="s">
        <v>3574</v>
      </c>
      <c r="K212">
        <v>0</v>
      </c>
      <c r="L212">
        <v>0</v>
      </c>
      <c r="M212">
        <v>2750</v>
      </c>
      <c r="N212">
        <v>420</v>
      </c>
      <c r="O212">
        <v>0</v>
      </c>
      <c r="P212">
        <v>0</v>
      </c>
    </row>
    <row r="213" spans="1:16" hidden="1" x14ac:dyDescent="0.25">
      <c r="A213" t="s">
        <v>636</v>
      </c>
      <c r="B213">
        <v>1</v>
      </c>
      <c r="C213">
        <v>1100</v>
      </c>
      <c r="D213">
        <v>1100</v>
      </c>
      <c r="I213">
        <v>0</v>
      </c>
      <c r="J213" t="s">
        <v>3574</v>
      </c>
      <c r="K213">
        <v>0</v>
      </c>
      <c r="L213">
        <v>0</v>
      </c>
      <c r="M213">
        <v>1100</v>
      </c>
      <c r="N213">
        <v>1100</v>
      </c>
      <c r="O213">
        <v>880</v>
      </c>
      <c r="P213">
        <v>0</v>
      </c>
    </row>
    <row r="214" spans="1:16" hidden="1" x14ac:dyDescent="0.25">
      <c r="A214" t="s">
        <v>637</v>
      </c>
      <c r="B214">
        <v>1</v>
      </c>
      <c r="C214">
        <v>1100</v>
      </c>
      <c r="D214">
        <v>1100</v>
      </c>
      <c r="I214">
        <v>0</v>
      </c>
      <c r="J214" t="s">
        <v>3574</v>
      </c>
      <c r="K214">
        <v>0</v>
      </c>
      <c r="L214">
        <v>0</v>
      </c>
      <c r="M214">
        <v>1100</v>
      </c>
      <c r="N214">
        <v>1100</v>
      </c>
      <c r="O214">
        <v>1042</v>
      </c>
      <c r="P214">
        <v>0</v>
      </c>
    </row>
    <row r="215" spans="1:16" hidden="1" x14ac:dyDescent="0.25">
      <c r="A215" t="s">
        <v>638</v>
      </c>
      <c r="B215">
        <v>1</v>
      </c>
      <c r="C215">
        <v>2750</v>
      </c>
      <c r="D215">
        <v>2750</v>
      </c>
      <c r="I215">
        <v>0</v>
      </c>
      <c r="J215" t="s">
        <v>3574</v>
      </c>
      <c r="K215">
        <v>0</v>
      </c>
      <c r="L215">
        <v>0</v>
      </c>
      <c r="M215">
        <v>2750</v>
      </c>
      <c r="N215">
        <v>2750</v>
      </c>
      <c r="O215">
        <v>2641</v>
      </c>
      <c r="P215">
        <v>0</v>
      </c>
    </row>
    <row r="216" spans="1:16" hidden="1" x14ac:dyDescent="0.25">
      <c r="A216" t="s">
        <v>641</v>
      </c>
      <c r="B216">
        <v>1</v>
      </c>
      <c r="C216">
        <v>550</v>
      </c>
      <c r="D216">
        <v>200</v>
      </c>
      <c r="I216">
        <v>0</v>
      </c>
      <c r="J216" t="s">
        <v>3574</v>
      </c>
      <c r="K216">
        <v>0</v>
      </c>
      <c r="L216">
        <v>0</v>
      </c>
      <c r="M216">
        <v>550</v>
      </c>
      <c r="N216">
        <v>200</v>
      </c>
      <c r="O216">
        <v>0</v>
      </c>
      <c r="P216">
        <v>0</v>
      </c>
    </row>
    <row r="217" spans="1:16" hidden="1" x14ac:dyDescent="0.25">
      <c r="A217" t="s">
        <v>644</v>
      </c>
      <c r="B217">
        <v>1</v>
      </c>
      <c r="C217">
        <v>1100</v>
      </c>
      <c r="D217">
        <v>1100</v>
      </c>
      <c r="I217">
        <v>0</v>
      </c>
      <c r="J217" t="s">
        <v>3574</v>
      </c>
      <c r="K217">
        <v>0</v>
      </c>
      <c r="L217">
        <v>0</v>
      </c>
      <c r="M217">
        <v>1100</v>
      </c>
      <c r="N217">
        <v>1100</v>
      </c>
      <c r="O217">
        <v>949</v>
      </c>
      <c r="P217">
        <v>0</v>
      </c>
    </row>
    <row r="218" spans="1:16" hidden="1" x14ac:dyDescent="0.25">
      <c r="A218" t="s">
        <v>647</v>
      </c>
      <c r="B218">
        <v>1</v>
      </c>
      <c r="C218">
        <v>4400</v>
      </c>
      <c r="D218">
        <v>2650</v>
      </c>
      <c r="I218">
        <v>0</v>
      </c>
      <c r="J218" t="s">
        <v>3574</v>
      </c>
      <c r="K218">
        <v>0</v>
      </c>
      <c r="L218">
        <v>0</v>
      </c>
      <c r="M218">
        <v>4400</v>
      </c>
      <c r="N218">
        <v>2650</v>
      </c>
      <c r="O218">
        <v>3400</v>
      </c>
      <c r="P218">
        <v>0</v>
      </c>
    </row>
    <row r="219" spans="1:16" hidden="1" x14ac:dyDescent="0.25">
      <c r="A219" t="s">
        <v>650</v>
      </c>
      <c r="B219">
        <v>1</v>
      </c>
      <c r="C219">
        <v>1650</v>
      </c>
      <c r="D219">
        <v>1650</v>
      </c>
      <c r="I219">
        <v>0</v>
      </c>
      <c r="J219" t="s">
        <v>3574</v>
      </c>
      <c r="K219">
        <v>0</v>
      </c>
      <c r="L219">
        <v>0</v>
      </c>
      <c r="M219">
        <v>1650</v>
      </c>
      <c r="N219">
        <v>1650</v>
      </c>
      <c r="O219">
        <v>1475</v>
      </c>
      <c r="P219">
        <v>0</v>
      </c>
    </row>
    <row r="220" spans="1:16" hidden="1" x14ac:dyDescent="0.25">
      <c r="A220" t="s">
        <v>651</v>
      </c>
      <c r="B220">
        <v>1</v>
      </c>
      <c r="C220">
        <v>2750</v>
      </c>
      <c r="D220">
        <v>1650</v>
      </c>
      <c r="I220">
        <v>0</v>
      </c>
      <c r="J220" t="s">
        <v>3574</v>
      </c>
      <c r="K220">
        <v>0</v>
      </c>
      <c r="L220">
        <v>0</v>
      </c>
      <c r="M220">
        <v>2750</v>
      </c>
      <c r="N220">
        <v>1650</v>
      </c>
      <c r="O220">
        <v>2438</v>
      </c>
      <c r="P220">
        <v>0</v>
      </c>
    </row>
    <row r="221" spans="1:16" hidden="1" x14ac:dyDescent="0.25">
      <c r="A221" t="s">
        <v>654</v>
      </c>
      <c r="B221">
        <v>1</v>
      </c>
      <c r="C221">
        <v>2750</v>
      </c>
      <c r="D221">
        <v>2750</v>
      </c>
      <c r="I221">
        <v>0</v>
      </c>
      <c r="J221" t="s">
        <v>3574</v>
      </c>
      <c r="K221">
        <v>0</v>
      </c>
      <c r="L221">
        <v>0</v>
      </c>
      <c r="M221">
        <v>2750</v>
      </c>
      <c r="N221">
        <v>2750</v>
      </c>
      <c r="O221">
        <v>2750</v>
      </c>
      <c r="P221">
        <v>0</v>
      </c>
    </row>
    <row r="222" spans="1:16" hidden="1" x14ac:dyDescent="0.25">
      <c r="A222" t="s">
        <v>657</v>
      </c>
      <c r="B222">
        <v>1</v>
      </c>
      <c r="C222">
        <v>11000</v>
      </c>
      <c r="D222">
        <v>11000</v>
      </c>
      <c r="I222">
        <v>0</v>
      </c>
      <c r="J222" t="s">
        <v>3574</v>
      </c>
      <c r="K222">
        <v>0</v>
      </c>
      <c r="L222">
        <v>0</v>
      </c>
      <c r="M222">
        <v>11000</v>
      </c>
      <c r="N222">
        <v>11000</v>
      </c>
      <c r="O222">
        <v>9758</v>
      </c>
      <c r="P222">
        <v>0</v>
      </c>
    </row>
    <row r="223" spans="1:16" hidden="1" x14ac:dyDescent="0.25">
      <c r="A223" t="s">
        <v>658</v>
      </c>
      <c r="B223">
        <v>1</v>
      </c>
      <c r="C223">
        <v>2750</v>
      </c>
      <c r="D223">
        <v>2750</v>
      </c>
      <c r="I223">
        <v>0</v>
      </c>
      <c r="J223" t="s">
        <v>3574</v>
      </c>
      <c r="K223">
        <v>0</v>
      </c>
      <c r="L223">
        <v>0</v>
      </c>
      <c r="M223">
        <v>2750</v>
      </c>
      <c r="N223">
        <v>2750</v>
      </c>
      <c r="O223">
        <v>1954</v>
      </c>
      <c r="P223">
        <v>0</v>
      </c>
    </row>
    <row r="224" spans="1:16" hidden="1" x14ac:dyDescent="0.25">
      <c r="A224" t="s">
        <v>661</v>
      </c>
      <c r="B224">
        <v>1</v>
      </c>
      <c r="C224">
        <v>550</v>
      </c>
      <c r="D224">
        <v>550</v>
      </c>
      <c r="J224" t="s">
        <v>3574</v>
      </c>
      <c r="K224">
        <v>0</v>
      </c>
      <c r="L224">
        <v>0</v>
      </c>
      <c r="M224">
        <v>550</v>
      </c>
      <c r="N224">
        <v>550</v>
      </c>
      <c r="O224">
        <v>550</v>
      </c>
      <c r="P224">
        <v>0</v>
      </c>
    </row>
    <row r="225" spans="1:16" hidden="1" x14ac:dyDescent="0.25">
      <c r="A225" t="s">
        <v>664</v>
      </c>
      <c r="B225">
        <v>1</v>
      </c>
      <c r="C225">
        <v>550</v>
      </c>
      <c r="D225">
        <v>550</v>
      </c>
      <c r="J225" t="s">
        <v>3574</v>
      </c>
      <c r="K225">
        <v>0</v>
      </c>
      <c r="L225">
        <v>0</v>
      </c>
      <c r="M225">
        <v>550</v>
      </c>
      <c r="N225">
        <v>550</v>
      </c>
      <c r="O225">
        <v>550</v>
      </c>
      <c r="P225">
        <v>0</v>
      </c>
    </row>
    <row r="226" spans="1:16" hidden="1" x14ac:dyDescent="0.25">
      <c r="A226" t="s">
        <v>667</v>
      </c>
      <c r="B226">
        <v>1</v>
      </c>
      <c r="C226">
        <v>1100</v>
      </c>
      <c r="D226">
        <v>1100</v>
      </c>
      <c r="J226" t="s">
        <v>3574</v>
      </c>
      <c r="K226">
        <v>0</v>
      </c>
      <c r="L226">
        <v>0</v>
      </c>
      <c r="M226">
        <v>1100</v>
      </c>
      <c r="N226">
        <v>1100</v>
      </c>
      <c r="O226">
        <v>1100</v>
      </c>
      <c r="P226">
        <v>0</v>
      </c>
    </row>
    <row r="227" spans="1:16" hidden="1" x14ac:dyDescent="0.25">
      <c r="A227" t="s">
        <v>671</v>
      </c>
      <c r="B227">
        <v>1</v>
      </c>
      <c r="C227">
        <v>550</v>
      </c>
      <c r="D227">
        <v>550</v>
      </c>
      <c r="J227" t="s">
        <v>3574</v>
      </c>
      <c r="K227">
        <v>0</v>
      </c>
      <c r="L227">
        <v>0</v>
      </c>
      <c r="M227">
        <v>550</v>
      </c>
      <c r="N227">
        <v>550</v>
      </c>
      <c r="O227">
        <v>550</v>
      </c>
      <c r="P227">
        <v>0</v>
      </c>
    </row>
    <row r="228" spans="1:16" hidden="1" x14ac:dyDescent="0.25">
      <c r="A228" t="s">
        <v>674</v>
      </c>
      <c r="B228">
        <v>1</v>
      </c>
      <c r="C228">
        <v>550</v>
      </c>
      <c r="D228">
        <v>550</v>
      </c>
      <c r="J228" t="s">
        <v>3574</v>
      </c>
      <c r="K228">
        <v>0</v>
      </c>
      <c r="L228">
        <v>0</v>
      </c>
      <c r="M228">
        <v>550</v>
      </c>
      <c r="N228">
        <v>550</v>
      </c>
      <c r="O228">
        <v>550</v>
      </c>
      <c r="P228">
        <v>0</v>
      </c>
    </row>
    <row r="229" spans="1:16" hidden="1" x14ac:dyDescent="0.25">
      <c r="A229" t="s">
        <v>677</v>
      </c>
      <c r="B229">
        <v>1</v>
      </c>
      <c r="C229">
        <v>550</v>
      </c>
      <c r="D229">
        <v>550</v>
      </c>
      <c r="J229" t="s">
        <v>3574</v>
      </c>
      <c r="K229">
        <v>0</v>
      </c>
      <c r="L229">
        <v>0</v>
      </c>
      <c r="M229">
        <v>550</v>
      </c>
      <c r="N229">
        <v>550</v>
      </c>
      <c r="O229">
        <v>550</v>
      </c>
      <c r="P229">
        <v>0</v>
      </c>
    </row>
    <row r="230" spans="1:16" hidden="1" x14ac:dyDescent="0.25">
      <c r="A230" t="s">
        <v>680</v>
      </c>
      <c r="B230">
        <v>1</v>
      </c>
      <c r="C230">
        <v>550</v>
      </c>
      <c r="D230">
        <v>550</v>
      </c>
      <c r="J230" t="s">
        <v>3574</v>
      </c>
      <c r="K230">
        <v>0</v>
      </c>
      <c r="L230">
        <v>0</v>
      </c>
      <c r="M230">
        <v>550</v>
      </c>
      <c r="N230">
        <v>550</v>
      </c>
      <c r="O230">
        <v>550</v>
      </c>
      <c r="P230">
        <v>0</v>
      </c>
    </row>
    <row r="231" spans="1:16" hidden="1" x14ac:dyDescent="0.25">
      <c r="A231" t="s">
        <v>683</v>
      </c>
      <c r="B231">
        <v>1</v>
      </c>
      <c r="C231">
        <v>1820</v>
      </c>
      <c r="D231">
        <v>1820</v>
      </c>
      <c r="J231" t="s">
        <v>3574</v>
      </c>
      <c r="K231">
        <v>0</v>
      </c>
      <c r="L231">
        <v>0</v>
      </c>
      <c r="M231">
        <v>1820</v>
      </c>
      <c r="N231">
        <v>1820</v>
      </c>
      <c r="O231">
        <v>1820</v>
      </c>
      <c r="P231">
        <v>0</v>
      </c>
    </row>
    <row r="232" spans="1:16" hidden="1" x14ac:dyDescent="0.25">
      <c r="A232" t="s">
        <v>684</v>
      </c>
      <c r="B232">
        <v>1</v>
      </c>
      <c r="C232">
        <v>1100</v>
      </c>
      <c r="D232">
        <v>1100</v>
      </c>
      <c r="J232" t="s">
        <v>3574</v>
      </c>
      <c r="K232">
        <v>0</v>
      </c>
      <c r="L232">
        <v>0</v>
      </c>
      <c r="M232">
        <v>1100</v>
      </c>
      <c r="N232">
        <v>1100</v>
      </c>
      <c r="O232">
        <v>1100</v>
      </c>
      <c r="P232">
        <v>0</v>
      </c>
    </row>
    <row r="233" spans="1:16" hidden="1" x14ac:dyDescent="0.25">
      <c r="A233" t="s">
        <v>686</v>
      </c>
      <c r="B233">
        <v>1</v>
      </c>
      <c r="C233">
        <v>550</v>
      </c>
      <c r="D233">
        <v>550</v>
      </c>
      <c r="J233" t="s">
        <v>3574</v>
      </c>
      <c r="K233">
        <v>0</v>
      </c>
      <c r="L233">
        <v>0</v>
      </c>
      <c r="M233">
        <v>550</v>
      </c>
      <c r="N233">
        <v>550</v>
      </c>
      <c r="O233">
        <v>550</v>
      </c>
      <c r="P233">
        <v>0</v>
      </c>
    </row>
    <row r="234" spans="1:16" hidden="1" x14ac:dyDescent="0.25">
      <c r="A234" t="s">
        <v>690</v>
      </c>
      <c r="B234">
        <v>1</v>
      </c>
      <c r="C234">
        <v>550</v>
      </c>
      <c r="D234">
        <v>550</v>
      </c>
      <c r="J234" t="s">
        <v>3574</v>
      </c>
      <c r="K234">
        <v>0</v>
      </c>
      <c r="L234">
        <v>0</v>
      </c>
      <c r="M234">
        <v>550</v>
      </c>
      <c r="N234">
        <v>550</v>
      </c>
      <c r="O234">
        <v>550</v>
      </c>
      <c r="P234">
        <v>0</v>
      </c>
    </row>
    <row r="235" spans="1:16" hidden="1" x14ac:dyDescent="0.25">
      <c r="A235" t="s">
        <v>693</v>
      </c>
      <c r="B235">
        <v>1</v>
      </c>
      <c r="C235">
        <v>2750</v>
      </c>
      <c r="D235">
        <v>1100</v>
      </c>
      <c r="J235" t="s">
        <v>3574</v>
      </c>
      <c r="K235">
        <v>0</v>
      </c>
      <c r="L235">
        <v>0</v>
      </c>
      <c r="M235">
        <v>2750</v>
      </c>
      <c r="N235">
        <v>1100</v>
      </c>
      <c r="O235">
        <v>440</v>
      </c>
      <c r="P235">
        <v>0</v>
      </c>
    </row>
    <row r="236" spans="1:16" hidden="1" x14ac:dyDescent="0.25">
      <c r="A236" t="s">
        <v>694</v>
      </c>
      <c r="B236">
        <v>1</v>
      </c>
      <c r="C236">
        <v>550</v>
      </c>
      <c r="D236">
        <v>550</v>
      </c>
      <c r="J236" t="s">
        <v>3574</v>
      </c>
      <c r="K236">
        <v>0</v>
      </c>
      <c r="L236">
        <v>0</v>
      </c>
      <c r="M236">
        <v>550</v>
      </c>
      <c r="N236">
        <v>550</v>
      </c>
      <c r="O236">
        <v>550</v>
      </c>
      <c r="P236">
        <v>0</v>
      </c>
    </row>
    <row r="237" spans="1:16" hidden="1" x14ac:dyDescent="0.25">
      <c r="A237" t="s">
        <v>697</v>
      </c>
      <c r="B237">
        <v>1</v>
      </c>
      <c r="C237">
        <v>550</v>
      </c>
      <c r="D237">
        <v>550</v>
      </c>
      <c r="J237" t="s">
        <v>3574</v>
      </c>
      <c r="K237">
        <v>0</v>
      </c>
      <c r="L237">
        <v>0</v>
      </c>
      <c r="M237">
        <v>550</v>
      </c>
      <c r="N237">
        <v>550</v>
      </c>
      <c r="O237">
        <v>550</v>
      </c>
      <c r="P237">
        <v>0</v>
      </c>
    </row>
    <row r="238" spans="1:16" hidden="1" x14ac:dyDescent="0.25">
      <c r="A238" t="s">
        <v>700</v>
      </c>
      <c r="B238">
        <v>1</v>
      </c>
      <c r="C238">
        <v>1100</v>
      </c>
      <c r="D238">
        <v>1100</v>
      </c>
      <c r="J238" t="s">
        <v>3574</v>
      </c>
      <c r="K238">
        <v>0</v>
      </c>
      <c r="L238">
        <v>0</v>
      </c>
      <c r="M238">
        <v>1100</v>
      </c>
      <c r="N238">
        <v>1100</v>
      </c>
      <c r="O238">
        <v>1100</v>
      </c>
      <c r="P238">
        <v>0</v>
      </c>
    </row>
    <row r="239" spans="1:16" hidden="1" x14ac:dyDescent="0.25">
      <c r="A239" t="s">
        <v>703</v>
      </c>
      <c r="B239">
        <v>1</v>
      </c>
      <c r="C239">
        <v>550</v>
      </c>
      <c r="D239">
        <v>550</v>
      </c>
      <c r="J239" t="s">
        <v>3574</v>
      </c>
      <c r="K239">
        <v>0</v>
      </c>
      <c r="L239">
        <v>0</v>
      </c>
      <c r="M239">
        <v>550</v>
      </c>
      <c r="N239">
        <v>550</v>
      </c>
      <c r="O239">
        <v>550</v>
      </c>
      <c r="P239">
        <v>0</v>
      </c>
    </row>
    <row r="240" spans="1:16" hidden="1" x14ac:dyDescent="0.25">
      <c r="A240" t="s">
        <v>706</v>
      </c>
      <c r="B240">
        <v>1</v>
      </c>
      <c r="C240">
        <v>1100</v>
      </c>
      <c r="D240">
        <v>1100</v>
      </c>
      <c r="J240" t="s">
        <v>3574</v>
      </c>
      <c r="K240">
        <v>0</v>
      </c>
      <c r="L240">
        <v>0</v>
      </c>
      <c r="M240">
        <v>1100</v>
      </c>
      <c r="N240">
        <v>1100</v>
      </c>
      <c r="O240">
        <v>1100</v>
      </c>
      <c r="P240">
        <v>0</v>
      </c>
    </row>
    <row r="241" spans="1:16" hidden="1" x14ac:dyDescent="0.25">
      <c r="A241" t="s">
        <v>707</v>
      </c>
      <c r="B241">
        <v>1</v>
      </c>
      <c r="C241">
        <v>1100</v>
      </c>
      <c r="D241">
        <v>1100</v>
      </c>
      <c r="J241" t="s">
        <v>3574</v>
      </c>
      <c r="K241">
        <v>0</v>
      </c>
      <c r="L241">
        <v>0</v>
      </c>
      <c r="M241">
        <v>1100</v>
      </c>
      <c r="N241">
        <v>1100</v>
      </c>
      <c r="O241">
        <v>1100</v>
      </c>
      <c r="P241">
        <v>0</v>
      </c>
    </row>
    <row r="242" spans="1:16" hidden="1" x14ac:dyDescent="0.25">
      <c r="A242" t="s">
        <v>710</v>
      </c>
      <c r="B242">
        <v>1</v>
      </c>
      <c r="C242">
        <v>825</v>
      </c>
      <c r="D242">
        <v>550</v>
      </c>
      <c r="J242" t="s">
        <v>3574</v>
      </c>
      <c r="K242">
        <v>0</v>
      </c>
      <c r="L242">
        <v>0</v>
      </c>
      <c r="M242">
        <v>825</v>
      </c>
      <c r="N242">
        <v>550</v>
      </c>
      <c r="O242">
        <v>550</v>
      </c>
      <c r="P242">
        <v>0</v>
      </c>
    </row>
    <row r="243" spans="1:16" hidden="1" x14ac:dyDescent="0.25">
      <c r="A243" t="s">
        <v>713</v>
      </c>
      <c r="B243">
        <v>1</v>
      </c>
      <c r="C243">
        <v>1100</v>
      </c>
      <c r="D243">
        <v>1100</v>
      </c>
      <c r="J243" t="s">
        <v>3574</v>
      </c>
      <c r="K243">
        <v>0</v>
      </c>
      <c r="L243">
        <v>0</v>
      </c>
      <c r="M243">
        <v>1100</v>
      </c>
      <c r="N243">
        <v>1100</v>
      </c>
      <c r="O243">
        <v>1100</v>
      </c>
      <c r="P243">
        <v>0</v>
      </c>
    </row>
    <row r="244" spans="1:16" hidden="1" x14ac:dyDescent="0.25">
      <c r="A244" t="s">
        <v>716</v>
      </c>
      <c r="B244">
        <v>1</v>
      </c>
      <c r="C244">
        <v>550</v>
      </c>
      <c r="D244">
        <v>550</v>
      </c>
      <c r="J244" t="s">
        <v>3574</v>
      </c>
      <c r="K244">
        <v>0</v>
      </c>
      <c r="L244">
        <v>0</v>
      </c>
      <c r="M244">
        <v>550</v>
      </c>
      <c r="N244">
        <v>550</v>
      </c>
      <c r="O244">
        <v>550</v>
      </c>
      <c r="P244">
        <v>0</v>
      </c>
    </row>
    <row r="245" spans="1:16" hidden="1" x14ac:dyDescent="0.25">
      <c r="A245" t="s">
        <v>717</v>
      </c>
      <c r="B245">
        <v>1</v>
      </c>
      <c r="C245">
        <v>1100</v>
      </c>
      <c r="D245">
        <v>1100</v>
      </c>
      <c r="J245" t="s">
        <v>3574</v>
      </c>
      <c r="K245">
        <v>0</v>
      </c>
      <c r="L245">
        <v>0</v>
      </c>
      <c r="M245">
        <v>1100</v>
      </c>
      <c r="N245">
        <v>1100</v>
      </c>
      <c r="O245">
        <v>1100</v>
      </c>
      <c r="P245">
        <v>0</v>
      </c>
    </row>
    <row r="246" spans="1:16" hidden="1" x14ac:dyDescent="0.25">
      <c r="A246" t="s">
        <v>720</v>
      </c>
      <c r="B246">
        <v>1</v>
      </c>
      <c r="C246">
        <v>550</v>
      </c>
      <c r="D246">
        <v>550</v>
      </c>
      <c r="J246" t="s">
        <v>3574</v>
      </c>
      <c r="K246">
        <v>0</v>
      </c>
      <c r="L246">
        <v>0</v>
      </c>
      <c r="M246">
        <v>550</v>
      </c>
      <c r="N246">
        <v>550</v>
      </c>
      <c r="O246">
        <v>550</v>
      </c>
      <c r="P246">
        <v>0</v>
      </c>
    </row>
    <row r="247" spans="1:16" hidden="1" x14ac:dyDescent="0.25">
      <c r="A247" t="s">
        <v>723</v>
      </c>
      <c r="B247">
        <v>1</v>
      </c>
      <c r="C247">
        <v>550</v>
      </c>
      <c r="D247">
        <v>550</v>
      </c>
      <c r="J247" t="s">
        <v>3574</v>
      </c>
      <c r="K247">
        <v>0</v>
      </c>
      <c r="L247">
        <v>0</v>
      </c>
      <c r="M247">
        <v>550</v>
      </c>
      <c r="N247">
        <v>550</v>
      </c>
      <c r="O247">
        <v>550</v>
      </c>
      <c r="P247">
        <v>0</v>
      </c>
    </row>
    <row r="248" spans="1:16" hidden="1" x14ac:dyDescent="0.25">
      <c r="A248" t="s">
        <v>726</v>
      </c>
      <c r="B248">
        <v>1</v>
      </c>
      <c r="C248">
        <v>1650</v>
      </c>
      <c r="D248">
        <v>1650</v>
      </c>
      <c r="I248">
        <v>0</v>
      </c>
      <c r="J248" t="s">
        <v>3574</v>
      </c>
      <c r="K248">
        <v>0</v>
      </c>
      <c r="L248">
        <v>0</v>
      </c>
      <c r="M248">
        <v>1650</v>
      </c>
      <c r="N248">
        <v>1650</v>
      </c>
      <c r="O248">
        <v>1650</v>
      </c>
      <c r="P248">
        <v>0</v>
      </c>
    </row>
    <row r="249" spans="1:16" hidden="1" x14ac:dyDescent="0.25">
      <c r="A249" t="s">
        <v>730</v>
      </c>
      <c r="B249">
        <v>1</v>
      </c>
      <c r="C249">
        <v>5500</v>
      </c>
      <c r="D249">
        <v>5500</v>
      </c>
      <c r="J249" t="s">
        <v>3574</v>
      </c>
      <c r="K249">
        <v>0</v>
      </c>
      <c r="L249">
        <v>0</v>
      </c>
      <c r="M249">
        <v>5500</v>
      </c>
      <c r="N249">
        <v>5500</v>
      </c>
      <c r="O249">
        <v>5500</v>
      </c>
      <c r="P249">
        <v>0</v>
      </c>
    </row>
    <row r="250" spans="1:16" hidden="1" x14ac:dyDescent="0.25">
      <c r="A250" t="s">
        <v>733</v>
      </c>
      <c r="B250">
        <v>1</v>
      </c>
      <c r="C250">
        <v>2200</v>
      </c>
      <c r="D250">
        <v>2200</v>
      </c>
      <c r="J250" t="s">
        <v>3574</v>
      </c>
      <c r="K250">
        <v>0</v>
      </c>
      <c r="L250">
        <v>0</v>
      </c>
      <c r="M250">
        <v>2200</v>
      </c>
      <c r="N250">
        <v>2200</v>
      </c>
      <c r="O250">
        <v>2200</v>
      </c>
      <c r="P250">
        <v>0</v>
      </c>
    </row>
    <row r="251" spans="1:16" hidden="1" x14ac:dyDescent="0.25">
      <c r="A251" t="s">
        <v>736</v>
      </c>
      <c r="B251">
        <v>1</v>
      </c>
      <c r="C251">
        <v>2750</v>
      </c>
      <c r="D251">
        <v>2750</v>
      </c>
      <c r="J251" t="s">
        <v>3574</v>
      </c>
      <c r="K251">
        <v>0</v>
      </c>
      <c r="L251">
        <v>0</v>
      </c>
      <c r="M251">
        <v>2750</v>
      </c>
      <c r="N251">
        <v>2750</v>
      </c>
      <c r="O251">
        <v>2750</v>
      </c>
      <c r="P251">
        <v>0</v>
      </c>
    </row>
    <row r="252" spans="1:16" hidden="1" x14ac:dyDescent="0.25">
      <c r="A252" t="s">
        <v>740</v>
      </c>
      <c r="B252">
        <v>1</v>
      </c>
      <c r="C252">
        <v>2200</v>
      </c>
      <c r="D252">
        <v>2200</v>
      </c>
      <c r="I252">
        <v>0</v>
      </c>
      <c r="J252" t="s">
        <v>3574</v>
      </c>
      <c r="K252">
        <v>0</v>
      </c>
      <c r="L252">
        <v>0</v>
      </c>
      <c r="M252">
        <v>2200</v>
      </c>
      <c r="N252">
        <v>2200</v>
      </c>
      <c r="O252">
        <v>2200</v>
      </c>
      <c r="P252">
        <v>0</v>
      </c>
    </row>
    <row r="253" spans="1:16" hidden="1" x14ac:dyDescent="0.25">
      <c r="A253" t="s">
        <v>743</v>
      </c>
      <c r="B253">
        <v>1</v>
      </c>
      <c r="C253">
        <v>1100</v>
      </c>
      <c r="D253">
        <v>1100</v>
      </c>
      <c r="I253">
        <v>0</v>
      </c>
      <c r="J253" t="s">
        <v>3574</v>
      </c>
      <c r="K253">
        <v>0</v>
      </c>
      <c r="L253">
        <v>0</v>
      </c>
      <c r="M253">
        <v>1100</v>
      </c>
      <c r="N253">
        <v>1100</v>
      </c>
      <c r="O253">
        <v>1100</v>
      </c>
      <c r="P253">
        <v>0</v>
      </c>
    </row>
    <row r="254" spans="1:16" hidden="1" x14ac:dyDescent="0.25">
      <c r="A254" t="s">
        <v>746</v>
      </c>
      <c r="B254">
        <v>1</v>
      </c>
      <c r="C254">
        <v>2750</v>
      </c>
      <c r="D254">
        <v>2750</v>
      </c>
      <c r="J254" t="s">
        <v>3574</v>
      </c>
      <c r="K254">
        <v>0</v>
      </c>
      <c r="L254">
        <v>0</v>
      </c>
      <c r="M254">
        <v>2750</v>
      </c>
      <c r="N254">
        <v>2750</v>
      </c>
      <c r="O254">
        <v>2750</v>
      </c>
      <c r="P254">
        <v>0</v>
      </c>
    </row>
    <row r="255" spans="1:16" hidden="1" x14ac:dyDescent="0.25">
      <c r="A255" t="s">
        <v>750</v>
      </c>
      <c r="B255">
        <v>1</v>
      </c>
      <c r="C255">
        <v>550</v>
      </c>
      <c r="D255">
        <v>550</v>
      </c>
      <c r="I255">
        <v>0</v>
      </c>
      <c r="J255" t="s">
        <v>3574</v>
      </c>
      <c r="K255">
        <v>0</v>
      </c>
      <c r="L255">
        <v>0</v>
      </c>
      <c r="M255">
        <v>550</v>
      </c>
      <c r="N255">
        <v>550</v>
      </c>
      <c r="O255">
        <v>550</v>
      </c>
      <c r="P255">
        <v>0</v>
      </c>
    </row>
    <row r="256" spans="1:16" hidden="1" x14ac:dyDescent="0.25">
      <c r="A256" t="s">
        <v>751</v>
      </c>
      <c r="B256">
        <v>1</v>
      </c>
      <c r="C256">
        <v>1100</v>
      </c>
      <c r="D256">
        <v>1100</v>
      </c>
      <c r="J256" t="s">
        <v>3574</v>
      </c>
      <c r="K256">
        <v>0</v>
      </c>
      <c r="L256">
        <v>0</v>
      </c>
      <c r="M256">
        <v>1100</v>
      </c>
      <c r="N256">
        <v>1100</v>
      </c>
      <c r="O256">
        <v>1100</v>
      </c>
      <c r="P256">
        <v>0</v>
      </c>
    </row>
    <row r="257" spans="1:16" hidden="1" x14ac:dyDescent="0.25">
      <c r="A257" t="s">
        <v>755</v>
      </c>
      <c r="B257">
        <v>1</v>
      </c>
      <c r="C257">
        <v>1100</v>
      </c>
      <c r="D257">
        <v>1100</v>
      </c>
      <c r="J257" t="s">
        <v>3574</v>
      </c>
      <c r="K257">
        <v>0</v>
      </c>
      <c r="L257">
        <v>0</v>
      </c>
      <c r="M257">
        <v>1100</v>
      </c>
      <c r="N257">
        <v>1100</v>
      </c>
      <c r="O257">
        <v>1100</v>
      </c>
      <c r="P257">
        <v>0</v>
      </c>
    </row>
    <row r="258" spans="1:16" hidden="1" x14ac:dyDescent="0.25">
      <c r="A258" t="s">
        <v>758</v>
      </c>
      <c r="B258">
        <v>1</v>
      </c>
      <c r="C258">
        <v>2200</v>
      </c>
      <c r="D258">
        <v>1380</v>
      </c>
      <c r="H258">
        <v>0</v>
      </c>
      <c r="J258" t="s">
        <v>3574</v>
      </c>
      <c r="K258">
        <v>0</v>
      </c>
      <c r="L258">
        <v>0</v>
      </c>
      <c r="M258">
        <v>2200</v>
      </c>
      <c r="N258">
        <v>1380</v>
      </c>
      <c r="O258">
        <v>1380</v>
      </c>
      <c r="P258">
        <v>0</v>
      </c>
    </row>
    <row r="259" spans="1:16" hidden="1" x14ac:dyDescent="0.25">
      <c r="A259" t="s">
        <v>761</v>
      </c>
      <c r="B259">
        <v>1</v>
      </c>
      <c r="C259">
        <v>2475</v>
      </c>
      <c r="D259">
        <v>1000</v>
      </c>
      <c r="H259">
        <v>0</v>
      </c>
      <c r="J259" t="s">
        <v>3574</v>
      </c>
      <c r="K259">
        <v>0</v>
      </c>
      <c r="L259">
        <v>0</v>
      </c>
      <c r="M259">
        <v>2475</v>
      </c>
      <c r="N259">
        <v>1000</v>
      </c>
      <c r="O259">
        <v>1000</v>
      </c>
      <c r="P259">
        <v>0</v>
      </c>
    </row>
    <row r="260" spans="1:16" hidden="1" x14ac:dyDescent="0.25">
      <c r="A260" t="s">
        <v>764</v>
      </c>
      <c r="B260">
        <v>1</v>
      </c>
      <c r="C260">
        <v>550</v>
      </c>
      <c r="D260">
        <v>550</v>
      </c>
      <c r="J260" t="s">
        <v>3574</v>
      </c>
      <c r="K260">
        <v>0</v>
      </c>
      <c r="L260">
        <v>0</v>
      </c>
      <c r="M260">
        <v>550</v>
      </c>
      <c r="N260">
        <v>550</v>
      </c>
      <c r="O260">
        <v>550</v>
      </c>
      <c r="P260">
        <v>0</v>
      </c>
    </row>
    <row r="261" spans="1:16" hidden="1" x14ac:dyDescent="0.25">
      <c r="A261" t="s">
        <v>767</v>
      </c>
      <c r="B261">
        <v>1</v>
      </c>
      <c r="C261">
        <v>1100</v>
      </c>
      <c r="D261">
        <v>1100</v>
      </c>
      <c r="H261">
        <v>0</v>
      </c>
      <c r="J261" t="s">
        <v>3574</v>
      </c>
      <c r="K261">
        <v>0</v>
      </c>
      <c r="L261">
        <v>0</v>
      </c>
      <c r="M261">
        <v>1100</v>
      </c>
      <c r="N261">
        <v>1100</v>
      </c>
      <c r="O261">
        <v>1100</v>
      </c>
      <c r="P261">
        <v>0</v>
      </c>
    </row>
    <row r="262" spans="1:16" hidden="1" x14ac:dyDescent="0.25">
      <c r="A262" t="s">
        <v>770</v>
      </c>
      <c r="B262">
        <v>1</v>
      </c>
      <c r="C262">
        <v>1650</v>
      </c>
      <c r="D262">
        <v>1650</v>
      </c>
      <c r="J262" t="s">
        <v>3574</v>
      </c>
      <c r="K262">
        <v>0</v>
      </c>
      <c r="L262">
        <v>0</v>
      </c>
      <c r="M262">
        <v>1650</v>
      </c>
      <c r="N262">
        <v>1650</v>
      </c>
      <c r="O262">
        <v>1650</v>
      </c>
      <c r="P262">
        <v>0</v>
      </c>
    </row>
    <row r="263" spans="1:16" hidden="1" x14ac:dyDescent="0.25">
      <c r="A263" t="s">
        <v>773</v>
      </c>
      <c r="B263">
        <v>1</v>
      </c>
      <c r="C263">
        <v>1000</v>
      </c>
      <c r="D263">
        <v>1000</v>
      </c>
      <c r="H263">
        <v>0</v>
      </c>
      <c r="J263" t="s">
        <v>3574</v>
      </c>
      <c r="K263">
        <v>0</v>
      </c>
      <c r="L263">
        <v>0</v>
      </c>
      <c r="M263">
        <v>1000</v>
      </c>
      <c r="N263">
        <v>1000</v>
      </c>
      <c r="O263">
        <v>1000</v>
      </c>
      <c r="P263">
        <v>0</v>
      </c>
    </row>
    <row r="264" spans="1:16" hidden="1" x14ac:dyDescent="0.25">
      <c r="A264" t="s">
        <v>776</v>
      </c>
      <c r="B264">
        <v>1</v>
      </c>
      <c r="C264">
        <v>1650</v>
      </c>
      <c r="D264">
        <v>1260</v>
      </c>
      <c r="H264">
        <v>0</v>
      </c>
      <c r="J264" t="s">
        <v>3574</v>
      </c>
      <c r="K264">
        <v>0</v>
      </c>
      <c r="L264">
        <v>0</v>
      </c>
      <c r="M264">
        <v>1650</v>
      </c>
      <c r="N264">
        <v>1260</v>
      </c>
      <c r="O264">
        <v>1260</v>
      </c>
      <c r="P264">
        <v>0</v>
      </c>
    </row>
    <row r="265" spans="1:16" hidden="1" x14ac:dyDescent="0.25">
      <c r="A265" t="s">
        <v>779</v>
      </c>
      <c r="B265">
        <v>1</v>
      </c>
      <c r="C265">
        <v>1496</v>
      </c>
      <c r="D265">
        <v>1496</v>
      </c>
      <c r="H265">
        <v>0</v>
      </c>
      <c r="I265">
        <v>0</v>
      </c>
      <c r="J265" t="s">
        <v>3574</v>
      </c>
      <c r="K265">
        <v>0</v>
      </c>
      <c r="L265">
        <v>0</v>
      </c>
      <c r="M265">
        <v>1496</v>
      </c>
      <c r="N265">
        <v>1496</v>
      </c>
      <c r="O265">
        <v>1496</v>
      </c>
      <c r="P265">
        <v>0</v>
      </c>
    </row>
    <row r="266" spans="1:16" hidden="1" x14ac:dyDescent="0.25">
      <c r="A266" t="s">
        <v>782</v>
      </c>
      <c r="B266">
        <v>1</v>
      </c>
      <c r="C266">
        <v>550</v>
      </c>
      <c r="D266">
        <v>550</v>
      </c>
      <c r="H266">
        <v>0</v>
      </c>
      <c r="J266" t="s">
        <v>3574</v>
      </c>
      <c r="K266">
        <v>0</v>
      </c>
      <c r="L266">
        <v>0</v>
      </c>
      <c r="M266">
        <v>550</v>
      </c>
      <c r="N266">
        <v>550</v>
      </c>
      <c r="O266">
        <v>550</v>
      </c>
      <c r="P266">
        <v>0</v>
      </c>
    </row>
    <row r="267" spans="1:16" hidden="1" x14ac:dyDescent="0.25">
      <c r="A267" t="s">
        <v>785</v>
      </c>
      <c r="B267">
        <v>1</v>
      </c>
      <c r="C267">
        <v>2750</v>
      </c>
      <c r="D267">
        <v>2750</v>
      </c>
      <c r="J267" t="s">
        <v>3574</v>
      </c>
      <c r="K267">
        <v>0</v>
      </c>
      <c r="L267">
        <v>0</v>
      </c>
      <c r="M267">
        <v>2750</v>
      </c>
      <c r="N267">
        <v>2750</v>
      </c>
      <c r="O267">
        <v>2750</v>
      </c>
      <c r="P267">
        <v>0</v>
      </c>
    </row>
    <row r="268" spans="1:16" hidden="1" x14ac:dyDescent="0.25">
      <c r="A268" t="s">
        <v>786</v>
      </c>
      <c r="B268">
        <v>1</v>
      </c>
      <c r="C268">
        <v>550</v>
      </c>
      <c r="D268">
        <v>550</v>
      </c>
      <c r="J268" t="s">
        <v>3574</v>
      </c>
      <c r="K268">
        <v>0</v>
      </c>
      <c r="L268">
        <v>0</v>
      </c>
      <c r="M268">
        <v>550</v>
      </c>
      <c r="N268">
        <v>550</v>
      </c>
      <c r="O268">
        <v>550</v>
      </c>
      <c r="P268">
        <v>0</v>
      </c>
    </row>
    <row r="269" spans="1:16" hidden="1" x14ac:dyDescent="0.25">
      <c r="A269" t="s">
        <v>789</v>
      </c>
      <c r="B269">
        <v>1</v>
      </c>
      <c r="C269">
        <v>1650</v>
      </c>
      <c r="D269">
        <v>1650</v>
      </c>
      <c r="J269" t="s">
        <v>3574</v>
      </c>
      <c r="K269">
        <v>0</v>
      </c>
      <c r="L269">
        <v>0</v>
      </c>
      <c r="M269">
        <v>1650</v>
      </c>
      <c r="N269">
        <v>1650</v>
      </c>
      <c r="O269">
        <v>1650</v>
      </c>
      <c r="P269">
        <v>0</v>
      </c>
    </row>
    <row r="270" spans="1:16" hidden="1" x14ac:dyDescent="0.25">
      <c r="A270" t="s">
        <v>792</v>
      </c>
      <c r="B270">
        <v>1</v>
      </c>
      <c r="C270">
        <v>1650</v>
      </c>
      <c r="D270">
        <v>0</v>
      </c>
      <c r="F270">
        <v>0</v>
      </c>
      <c r="H270">
        <v>0</v>
      </c>
      <c r="I270">
        <v>0</v>
      </c>
      <c r="J270" t="s">
        <v>3574</v>
      </c>
      <c r="K270">
        <v>0</v>
      </c>
      <c r="L270">
        <v>0</v>
      </c>
      <c r="M270">
        <v>1650</v>
      </c>
      <c r="N270">
        <v>0</v>
      </c>
      <c r="O270">
        <v>0</v>
      </c>
      <c r="P270">
        <v>0</v>
      </c>
    </row>
    <row r="271" spans="1:16" hidden="1" x14ac:dyDescent="0.25">
      <c r="A271" t="s">
        <v>796</v>
      </c>
      <c r="B271">
        <v>1</v>
      </c>
      <c r="C271">
        <v>550</v>
      </c>
      <c r="D271">
        <v>0</v>
      </c>
      <c r="F271">
        <v>0</v>
      </c>
      <c r="H271">
        <v>0</v>
      </c>
      <c r="I271">
        <v>0</v>
      </c>
      <c r="J271" t="s">
        <v>3574</v>
      </c>
      <c r="K271">
        <v>0</v>
      </c>
      <c r="L271">
        <v>0</v>
      </c>
      <c r="M271">
        <v>550</v>
      </c>
      <c r="N271">
        <v>0</v>
      </c>
      <c r="O271">
        <v>0</v>
      </c>
      <c r="P271">
        <v>0</v>
      </c>
    </row>
    <row r="272" spans="1:16" x14ac:dyDescent="0.25">
      <c r="A272" t="s">
        <v>797</v>
      </c>
      <c r="C272">
        <v>0</v>
      </c>
      <c r="D272">
        <v>0</v>
      </c>
      <c r="H272">
        <v>550</v>
      </c>
      <c r="J272" s="8" t="str">
        <f>IF(
  _xlfn.XLOOKUP(Tabla4[[#This Row],[contract_code]],Tabla1[contract_code],Tabla1[status])="Active",
  "ETP",
  "Not planted contract"
)</f>
        <v>Not planted contract</v>
      </c>
      <c r="K272" s="8" cm="1">
        <f t="array" ref="K272">IF(Tabla4[[#This Row],[etp_type]]="COP",Tabla1[trees_contract],0)</f>
        <v>0</v>
      </c>
      <c r="L272" s="8" cm="1">
        <f t="array" ref="L272">IF(Tabla4[[#This Row],[etp_type]]="COP",Tabla1[planted],0)</f>
        <v>0</v>
      </c>
      <c r="M272" s="8" t="str" cm="1">
        <f t="array" ref="M272">IF(Tabla4[[#This Row],[etp_type]]="ETP",INDEX(MATCH(Tabla4[[#This Row],[contract_code]],Tabla1[contract_code],0),Tabla1[trees_contract]),"Not planted contract")</f>
        <v>Not planted contract</v>
      </c>
      <c r="N272" s="8" t="str" cm="1">
        <f t="array" ref="N272">IF(Tabla4[[#This Row],[etp_type]]="ETP",INDEX(MATCH(Tabla4[[#This Row],[contract_code]],Tabla1[contract_code],0),Tabla1[planted]),"Not planted contract")</f>
        <v>Not planted contract</v>
      </c>
      <c r="O272" s="8" t="str" cm="1">
        <f t="array" ref="O272" xml:space="preserve">
IF(Tabla4[[#This Row],[etp_type]]="ETP",
INDEX(Tabla6[survival]*Tabla4[[#This Row],[planted_etp]],MATCH(Tabla4[[#This Row],[contract_code]],Tabla6[contract_code],0)),"Not planted contract")</f>
        <v>Not planted contract</v>
      </c>
      <c r="P272" s="8" cm="1">
        <f t="array" ref="P272" xml:space="preserve">
IF(Tabla4[[#This Row],[etp_type]]="ETP",
INDEX(Tabla6[survival]*Tabla4[[#This Row],[planted_etp]],MATCH(Tabla4[[#This Row],[contract_code]],Tabla6[contract_code],0)),0)</f>
        <v>0</v>
      </c>
    </row>
    <row r="273" spans="1:16" x14ac:dyDescent="0.25">
      <c r="A273" t="s">
        <v>798</v>
      </c>
      <c r="C273">
        <v>0</v>
      </c>
      <c r="D273">
        <v>0</v>
      </c>
      <c r="H273">
        <v>1100</v>
      </c>
      <c r="J273" s="8" t="str">
        <f>IF(
  _xlfn.XLOOKUP(Tabla4[[#This Row],[contract_code]],Tabla1[contract_code],Tabla1[status])="Active",
  "ETP",
  "Not planted contract"
)</f>
        <v>Not planted contract</v>
      </c>
      <c r="K273" s="8">
        <v>0</v>
      </c>
      <c r="L273" s="8" cm="1">
        <f t="array" ref="L273">IF(Tabla4[[#This Row],[etp_type]]="COP",Tabla1[planted],0)</f>
        <v>0</v>
      </c>
      <c r="M273" s="8" t="str" cm="1">
        <f t="array" ref="M273">IF(Tabla4[[#This Row],[etp_type]]="ETP",INDEX(MATCH(Tabla4[[#This Row],[contract_code]],Tabla1[contract_code],0),Tabla1[trees_contract]),"Not planted contract")</f>
        <v>Not planted contract</v>
      </c>
      <c r="N273" s="8" t="str" cm="1">
        <f t="array" ref="N273">IF(Tabla4[[#This Row],[etp_type]]="ETP",INDEX(MATCH(Tabla4[[#This Row],[contract_code]],Tabla1[contract_code],0),Tabla1[planted]),"Not planted contract")</f>
        <v>Not planted contract</v>
      </c>
      <c r="O273" s="8" t="str" cm="1">
        <f t="array" ref="O273" xml:space="preserve">
IF(Tabla4[[#This Row],[etp_type]]="ETP",
INDEX(Tabla6[survival]*Tabla4[[#This Row],[planted_etp]],MATCH(Tabla4[[#This Row],[contract_code]],Tabla6[contract_code],0)),"Not planted contract")</f>
        <v>Not planted contract</v>
      </c>
      <c r="P273" s="8" cm="1">
        <f t="array" ref="P273" xml:space="preserve">
IF(Tabla4[[#This Row],[etp_type]]="ETP",
INDEX(Tabla6[survival]*Tabla4[[#This Row],[planted_etp]],MATCH(Tabla4[[#This Row],[contract_code]],Tabla6[contract_code],0)),0)</f>
        <v>0</v>
      </c>
    </row>
    <row r="274" spans="1:16" x14ac:dyDescent="0.25">
      <c r="A274" t="s">
        <v>801</v>
      </c>
      <c r="C274">
        <v>0</v>
      </c>
      <c r="D274">
        <v>0</v>
      </c>
      <c r="H274">
        <v>1650</v>
      </c>
      <c r="J274" s="8" t="str">
        <f>IF(
  _xlfn.XLOOKUP(Tabla4[[#This Row],[contract_code]],Tabla1[contract_code],Tabla1[status])="Active",
  "ETP",
  "Not planted contract"
)</f>
        <v>Not planted contract</v>
      </c>
      <c r="K274" s="8">
        <v>0</v>
      </c>
      <c r="L274" s="8" cm="1">
        <f t="array" ref="L274">IF(Tabla4[[#This Row],[etp_type]]="COP",Tabla1[planted],0)</f>
        <v>0</v>
      </c>
      <c r="M274" s="8" t="str" cm="1">
        <f t="array" ref="M274">IF(Tabla4[[#This Row],[etp_type]]="ETP",INDEX(MATCH(Tabla4[[#This Row],[contract_code]],Tabla1[contract_code],0),Tabla1[trees_contract]),"Not planted contract")</f>
        <v>Not planted contract</v>
      </c>
      <c r="N274" s="8" t="str" cm="1">
        <f t="array" ref="N274">IF(Tabla4[[#This Row],[etp_type]]="ETP",INDEX(MATCH(Tabla4[[#This Row],[contract_code]],Tabla1[contract_code],0),Tabla1[planted]),"Not planted contract")</f>
        <v>Not planted contract</v>
      </c>
      <c r="O274" s="8" t="str" cm="1">
        <f t="array" ref="O274" xml:space="preserve">
IF(Tabla4[[#This Row],[etp_type]]="ETP",
INDEX(Tabla6[survival]*Tabla4[[#This Row],[planted_etp]],MATCH(Tabla4[[#This Row],[contract_code]],Tabla6[contract_code],0)),"Not planted contract")</f>
        <v>Not planted contract</v>
      </c>
      <c r="P274" s="8" cm="1">
        <f t="array" ref="P274" xml:space="preserve">
IF(Tabla4[[#This Row],[etp_type]]="ETP",
INDEX(Tabla6[survival]*Tabla4[[#This Row],[planted_etp]],MATCH(Tabla4[[#This Row],[contract_code]],Tabla6[contract_code],0)),0)</f>
        <v>0</v>
      </c>
    </row>
    <row r="275" spans="1:16" x14ac:dyDescent="0.25">
      <c r="A275" t="s">
        <v>802</v>
      </c>
      <c r="C275">
        <v>0</v>
      </c>
      <c r="D275">
        <v>0</v>
      </c>
      <c r="H275">
        <v>2750</v>
      </c>
      <c r="J275" s="8" t="str">
        <f>IF(
  _xlfn.XLOOKUP(Tabla4[[#This Row],[contract_code]],Tabla1[contract_code],Tabla1[status])="Active",
  "ETP",
  "Not planted contract"
)</f>
        <v>Not planted contract</v>
      </c>
      <c r="K275" s="8">
        <v>0</v>
      </c>
      <c r="L275" s="8" cm="1">
        <f t="array" ref="L275">IF(Tabla4[[#This Row],[etp_type]]="COP",Tabla1[planted],0)</f>
        <v>0</v>
      </c>
      <c r="M275" s="8" t="str" cm="1">
        <f t="array" ref="M275">IF(Tabla4[[#This Row],[etp_type]]="ETP",INDEX(MATCH(Tabla4[[#This Row],[contract_code]],Tabla1[contract_code],0),Tabla1[trees_contract]),"Not planted contract")</f>
        <v>Not planted contract</v>
      </c>
      <c r="N275" s="8" t="str" cm="1">
        <f t="array" ref="N275">IF(Tabla4[[#This Row],[etp_type]]="ETP",INDEX(MATCH(Tabla4[[#This Row],[contract_code]],Tabla1[contract_code],0),Tabla1[planted]),"Not planted contract")</f>
        <v>Not planted contract</v>
      </c>
      <c r="O275" s="8" t="str" cm="1">
        <f t="array" ref="O275" xml:space="preserve">
IF(Tabla4[[#This Row],[etp_type]]="ETP",
INDEX(Tabla6[survival]*Tabla4[[#This Row],[planted_etp]],MATCH(Tabla4[[#This Row],[contract_code]],Tabla6[contract_code],0)),"Not planted contract")</f>
        <v>Not planted contract</v>
      </c>
      <c r="P275" s="8" cm="1">
        <f t="array" ref="P275" xml:space="preserve">
IF(Tabla4[[#This Row],[etp_type]]="ETP",
INDEX(Tabla6[survival]*Tabla4[[#This Row],[planted_etp]],MATCH(Tabla4[[#This Row],[contract_code]],Tabla6[contract_code],0)),0)</f>
        <v>0</v>
      </c>
    </row>
    <row r="276" spans="1:16" x14ac:dyDescent="0.25">
      <c r="A276" t="s">
        <v>805</v>
      </c>
      <c r="C276">
        <v>0</v>
      </c>
      <c r="D276">
        <v>0</v>
      </c>
      <c r="H276">
        <v>1100</v>
      </c>
      <c r="J276" s="8" t="str">
        <f>IF(
  _xlfn.XLOOKUP(Tabla4[[#This Row],[contract_code]],Tabla1[contract_code],Tabla1[status])="Active",
  "ETP",
  "Not planted contract"
)</f>
        <v>Not planted contract</v>
      </c>
      <c r="K276" s="8">
        <v>0</v>
      </c>
      <c r="L276" s="8" cm="1">
        <f t="array" ref="L276">IF(Tabla4[[#This Row],[etp_type]]="COP",Tabla1[planted],0)</f>
        <v>0</v>
      </c>
      <c r="M276" s="8" t="str" cm="1">
        <f t="array" ref="M276">IF(Tabla4[[#This Row],[etp_type]]="ETP",INDEX(MATCH(Tabla4[[#This Row],[contract_code]],Tabla1[contract_code],0),Tabla1[trees_contract]),"Not planted contract")</f>
        <v>Not planted contract</v>
      </c>
      <c r="N276" s="8" t="str" cm="1">
        <f t="array" ref="N276">IF(Tabla4[[#This Row],[etp_type]]="ETP",INDEX(MATCH(Tabla4[[#This Row],[contract_code]],Tabla1[contract_code],0),Tabla1[planted]),"Not planted contract")</f>
        <v>Not planted contract</v>
      </c>
      <c r="O276" s="8" t="str" cm="1">
        <f t="array" ref="O276" xml:space="preserve">
IF(Tabla4[[#This Row],[etp_type]]="ETP",
INDEX(Tabla6[survival]*Tabla4[[#This Row],[planted_etp]],MATCH(Tabla4[[#This Row],[contract_code]],Tabla6[contract_code],0)),"Not planted contract")</f>
        <v>Not planted contract</v>
      </c>
      <c r="P276" s="8" cm="1">
        <f t="array" ref="P276" xml:space="preserve">
IF(Tabla4[[#This Row],[etp_type]]="ETP",
INDEX(Tabla6[survival]*Tabla4[[#This Row],[planted_etp]],MATCH(Tabla4[[#This Row],[contract_code]],Tabla6[contract_code],0)),0)</f>
        <v>0</v>
      </c>
    </row>
    <row r="277" spans="1:16" x14ac:dyDescent="0.25">
      <c r="A277" t="s">
        <v>808</v>
      </c>
      <c r="C277">
        <v>0</v>
      </c>
      <c r="D277">
        <v>0</v>
      </c>
      <c r="H277">
        <v>2750</v>
      </c>
      <c r="J277" s="8" t="str">
        <f>IF(
  _xlfn.XLOOKUP(Tabla4[[#This Row],[contract_code]],Tabla1[contract_code],Tabla1[status])="Active",
  "ETP",
  "Not planted contract"
)</f>
        <v>Not planted contract</v>
      </c>
      <c r="K277" s="8">
        <v>0</v>
      </c>
      <c r="L277" s="8" cm="1">
        <f t="array" ref="L277">IF(Tabla4[[#This Row],[etp_type]]="COP",Tabla1[planted],0)</f>
        <v>0</v>
      </c>
      <c r="M277" s="8" t="str" cm="1">
        <f t="array" ref="M277">IF(Tabla4[[#This Row],[etp_type]]="ETP",INDEX(MATCH(Tabla4[[#This Row],[contract_code]],Tabla1[contract_code],0),Tabla1[trees_contract]),"Not planted contract")</f>
        <v>Not planted contract</v>
      </c>
      <c r="N277" s="8" t="str" cm="1">
        <f t="array" ref="N277">IF(Tabla4[[#This Row],[etp_type]]="ETP",INDEX(MATCH(Tabla4[[#This Row],[contract_code]],Tabla1[contract_code],0),Tabla1[planted]),"Not planted contract")</f>
        <v>Not planted contract</v>
      </c>
      <c r="O277" s="8" t="str" cm="1">
        <f t="array" ref="O277" xml:space="preserve">
IF(Tabla4[[#This Row],[etp_type]]="ETP",
INDEX(Tabla6[survival]*Tabla4[[#This Row],[planted_etp]],MATCH(Tabla4[[#This Row],[contract_code]],Tabla6[contract_code],0)),"Not planted contract")</f>
        <v>Not planted contract</v>
      </c>
      <c r="P277" s="8" cm="1">
        <f t="array" ref="P277" xml:space="preserve">
IF(Tabla4[[#This Row],[etp_type]]="ETP",
INDEX(Tabla6[survival]*Tabla4[[#This Row],[planted_etp]],MATCH(Tabla4[[#This Row],[contract_code]],Tabla6[contract_code],0)),0)</f>
        <v>0</v>
      </c>
    </row>
    <row r="278" spans="1:16" x14ac:dyDescent="0.25">
      <c r="A278" t="s">
        <v>813</v>
      </c>
      <c r="C278">
        <v>0</v>
      </c>
      <c r="D278">
        <v>0</v>
      </c>
      <c r="H278">
        <v>5500</v>
      </c>
      <c r="J278" s="8" t="str">
        <f>IF(
  _xlfn.XLOOKUP(Tabla4[[#This Row],[contract_code]],Tabla1[contract_code],Tabla1[status])="Active",
  "ETP",
  "Not planted contract"
)</f>
        <v>Not planted contract</v>
      </c>
      <c r="K278" s="8">
        <v>0</v>
      </c>
      <c r="L278" s="8" cm="1">
        <f t="array" ref="L278">IF(Tabla4[[#This Row],[etp_type]]="COP",Tabla1[planted],0)</f>
        <v>0</v>
      </c>
      <c r="M278" s="8" t="str" cm="1">
        <f t="array" ref="M278">IF(Tabla4[[#This Row],[etp_type]]="ETP",INDEX(MATCH(Tabla4[[#This Row],[contract_code]],Tabla1[contract_code],0),Tabla1[trees_contract]),"Not planted contract")</f>
        <v>Not planted contract</v>
      </c>
      <c r="N278" s="8" t="str" cm="1">
        <f t="array" ref="N278">IF(Tabla4[[#This Row],[etp_type]]="ETP",INDEX(MATCH(Tabla4[[#This Row],[contract_code]],Tabla1[contract_code],0),Tabla1[planted]),"Not planted contract")</f>
        <v>Not planted contract</v>
      </c>
      <c r="O278" s="8" t="str" cm="1">
        <f t="array" ref="O278" xml:space="preserve">
IF(Tabla4[[#This Row],[etp_type]]="ETP",
INDEX(Tabla6[survival]*Tabla4[[#This Row],[planted_etp]],MATCH(Tabla4[[#This Row],[contract_code]],Tabla6[contract_code],0)),"Not planted contract")</f>
        <v>Not planted contract</v>
      </c>
      <c r="P278" s="8" cm="1">
        <f t="array" ref="P278" xml:space="preserve">
IF(Tabla4[[#This Row],[etp_type]]="ETP",
INDEX(Tabla6[survival]*Tabla4[[#This Row],[planted_etp]],MATCH(Tabla4[[#This Row],[contract_code]],Tabla6[contract_code],0)),0)</f>
        <v>0</v>
      </c>
    </row>
    <row r="279" spans="1:16" x14ac:dyDescent="0.25">
      <c r="A279" t="s">
        <v>814</v>
      </c>
      <c r="C279">
        <v>0</v>
      </c>
      <c r="D279">
        <v>0</v>
      </c>
      <c r="H279">
        <v>2750</v>
      </c>
      <c r="J279" s="8" t="str">
        <f>IF(
  _xlfn.XLOOKUP(Tabla4[[#This Row],[contract_code]],Tabla1[contract_code],Tabla1[status])="Active",
  "ETP",
  "Not planted contract"
)</f>
        <v>Not planted contract</v>
      </c>
      <c r="K279" s="8">
        <v>0</v>
      </c>
      <c r="L279" s="8" cm="1">
        <f t="array" ref="L279">IF(Tabla4[[#This Row],[etp_type]]="COP",Tabla1[planted],0)</f>
        <v>0</v>
      </c>
      <c r="M279" s="8" t="str" cm="1">
        <f t="array" ref="M279">IF(Tabla4[[#This Row],[etp_type]]="ETP",INDEX(MATCH(Tabla4[[#This Row],[contract_code]],Tabla1[contract_code],0),Tabla1[trees_contract]),"Not planted contract")</f>
        <v>Not planted contract</v>
      </c>
      <c r="N279" s="8" t="str" cm="1">
        <f t="array" ref="N279">IF(Tabla4[[#This Row],[etp_type]]="ETP",INDEX(MATCH(Tabla4[[#This Row],[contract_code]],Tabla1[contract_code],0),Tabla1[planted]),"Not planted contract")</f>
        <v>Not planted contract</v>
      </c>
      <c r="O279" s="8" t="str" cm="1">
        <f t="array" ref="O279" xml:space="preserve">
IF(Tabla4[[#This Row],[etp_type]]="ETP",
INDEX(Tabla6[survival]*Tabla4[[#This Row],[planted_etp]],MATCH(Tabla4[[#This Row],[contract_code]],Tabla6[contract_code],0)),"Not planted contract")</f>
        <v>Not planted contract</v>
      </c>
      <c r="P279" s="8" cm="1">
        <f t="array" ref="P279" xml:space="preserve">
IF(Tabla4[[#This Row],[etp_type]]="ETP",
INDEX(Tabla6[survival]*Tabla4[[#This Row],[planted_etp]],MATCH(Tabla4[[#This Row],[contract_code]],Tabla6[contract_code],0)),0)</f>
        <v>0</v>
      </c>
    </row>
    <row r="280" spans="1:16" x14ac:dyDescent="0.25">
      <c r="A280" t="s">
        <v>815</v>
      </c>
      <c r="C280">
        <v>0</v>
      </c>
      <c r="D280">
        <v>0</v>
      </c>
      <c r="H280">
        <v>2750</v>
      </c>
      <c r="J280" s="8" t="str">
        <f>IF(
  _xlfn.XLOOKUP(Tabla4[[#This Row],[contract_code]],Tabla1[contract_code],Tabla1[status])="Active",
  "ETP",
  "Not planted contract"
)</f>
        <v>Not planted contract</v>
      </c>
      <c r="K280" s="8">
        <v>0</v>
      </c>
      <c r="L280" s="8" cm="1">
        <f t="array" ref="L280">IF(Tabla4[[#This Row],[etp_type]]="COP",Tabla1[planted],0)</f>
        <v>0</v>
      </c>
      <c r="M280" s="8" t="str" cm="1">
        <f t="array" ref="M280">IF(Tabla4[[#This Row],[etp_type]]="ETP",INDEX(MATCH(Tabla4[[#This Row],[contract_code]],Tabla1[contract_code],0),Tabla1[trees_contract]),"Not planted contract")</f>
        <v>Not planted contract</v>
      </c>
      <c r="N280" s="8" t="str" cm="1">
        <f t="array" ref="N280">IF(Tabla4[[#This Row],[etp_type]]="ETP",INDEX(MATCH(Tabla4[[#This Row],[contract_code]],Tabla1[contract_code],0),Tabla1[planted]),"Not planted contract")</f>
        <v>Not planted contract</v>
      </c>
      <c r="O280" s="8" t="str" cm="1">
        <f t="array" ref="O280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0" s="8" cm="1">
        <f t="array" ref="P280" xml:space="preserve">
IF(Tabla4[[#This Row],[etp_type]]="ETP",
INDEX(Tabla6[survival]*Tabla4[[#This Row],[planted_etp]],MATCH(Tabla4[[#This Row],[contract_code]],Tabla6[contract_code],0)),0)</f>
        <v>0</v>
      </c>
    </row>
    <row r="281" spans="1:16" x14ac:dyDescent="0.25">
      <c r="A281" t="s">
        <v>816</v>
      </c>
      <c r="C281">
        <v>0</v>
      </c>
      <c r="D281">
        <v>0</v>
      </c>
      <c r="H281">
        <v>2750</v>
      </c>
      <c r="J281" s="8" t="str">
        <f>IF(
  _xlfn.XLOOKUP(Tabla4[[#This Row],[contract_code]],Tabla1[contract_code],Tabla1[status])="Active",
  "ETP",
  "Not planted contract"
)</f>
        <v>Not planted contract</v>
      </c>
      <c r="K281" s="8">
        <v>0</v>
      </c>
      <c r="L281" s="8" cm="1">
        <f t="array" ref="L281">IF(Tabla4[[#This Row],[etp_type]]="COP",Tabla1[planted],0)</f>
        <v>0</v>
      </c>
      <c r="M281" s="8" t="str" cm="1">
        <f t="array" ref="M281">IF(Tabla4[[#This Row],[etp_type]]="ETP",INDEX(MATCH(Tabla4[[#This Row],[contract_code]],Tabla1[contract_code],0),Tabla1[trees_contract]),"Not planted contract")</f>
        <v>Not planted contract</v>
      </c>
      <c r="N281" s="8" t="str" cm="1">
        <f t="array" ref="N281">IF(Tabla4[[#This Row],[etp_type]]="ETP",INDEX(MATCH(Tabla4[[#This Row],[contract_code]],Tabla1[contract_code],0),Tabla1[planted]),"Not planted contract")</f>
        <v>Not planted contract</v>
      </c>
      <c r="O281" s="8" t="str" cm="1">
        <f t="array" ref="O281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1" s="8" cm="1">
        <f t="array" ref="P281" xml:space="preserve">
IF(Tabla4[[#This Row],[etp_type]]="ETP",
INDEX(Tabla6[survival]*Tabla4[[#This Row],[planted_etp]],MATCH(Tabla4[[#This Row],[contract_code]],Tabla6[contract_code],0)),0)</f>
        <v>0</v>
      </c>
    </row>
    <row r="282" spans="1:16" x14ac:dyDescent="0.25">
      <c r="A282" t="s">
        <v>817</v>
      </c>
      <c r="C282">
        <v>0</v>
      </c>
      <c r="D282">
        <v>0</v>
      </c>
      <c r="H282">
        <v>2750</v>
      </c>
      <c r="J282" s="8" t="str">
        <f>IF(
  _xlfn.XLOOKUP(Tabla4[[#This Row],[contract_code]],Tabla1[contract_code],Tabla1[status])="Active",
  "ETP",
  "Not planted contract"
)</f>
        <v>Not planted contract</v>
      </c>
      <c r="K282" s="8">
        <v>0</v>
      </c>
      <c r="L282" s="8" cm="1">
        <f t="array" ref="L282">IF(Tabla4[[#This Row],[etp_type]]="COP",Tabla1[planted],0)</f>
        <v>0</v>
      </c>
      <c r="M282" s="8" t="str" cm="1">
        <f t="array" ref="M282">IF(Tabla4[[#This Row],[etp_type]]="ETP",INDEX(MATCH(Tabla4[[#This Row],[contract_code]],Tabla1[contract_code],0),Tabla1[trees_contract]),"Not planted contract")</f>
        <v>Not planted contract</v>
      </c>
      <c r="N282" s="8" t="str" cm="1">
        <f t="array" ref="N282">IF(Tabla4[[#This Row],[etp_type]]="ETP",INDEX(MATCH(Tabla4[[#This Row],[contract_code]],Tabla1[contract_code],0),Tabla1[planted]),"Not planted contract")</f>
        <v>Not planted contract</v>
      </c>
      <c r="O282" s="8" t="str" cm="1">
        <f t="array" ref="O282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2" s="8" cm="1">
        <f t="array" ref="P282" xml:space="preserve">
IF(Tabla4[[#This Row],[etp_type]]="ETP",
INDEX(Tabla6[survival]*Tabla4[[#This Row],[planted_etp]],MATCH(Tabla4[[#This Row],[contract_code]],Tabla6[contract_code],0)),0)</f>
        <v>0</v>
      </c>
    </row>
    <row r="283" spans="1:16" x14ac:dyDescent="0.25">
      <c r="A283" t="s">
        <v>820</v>
      </c>
      <c r="C283">
        <v>0</v>
      </c>
      <c r="D283">
        <v>0</v>
      </c>
      <c r="H283">
        <v>1650</v>
      </c>
      <c r="J283" s="8" t="str">
        <f>IF(
  _xlfn.XLOOKUP(Tabla4[[#This Row],[contract_code]],Tabla1[contract_code],Tabla1[status])="Active",
  "ETP",
  "Not planted contract"
)</f>
        <v>Not planted contract</v>
      </c>
      <c r="K283" s="8">
        <v>0</v>
      </c>
      <c r="L283" s="8" cm="1">
        <f t="array" ref="L283">IF(Tabla4[[#This Row],[etp_type]]="COP",Tabla1[planted],0)</f>
        <v>0</v>
      </c>
      <c r="M283" s="8" t="str" cm="1">
        <f t="array" ref="M283">IF(Tabla4[[#This Row],[etp_type]]="ETP",INDEX(MATCH(Tabla4[[#This Row],[contract_code]],Tabla1[contract_code],0),Tabla1[trees_contract]),"Not planted contract")</f>
        <v>Not planted contract</v>
      </c>
      <c r="N283" s="8" t="str" cm="1">
        <f t="array" ref="N283">IF(Tabla4[[#This Row],[etp_type]]="ETP",INDEX(MATCH(Tabla4[[#This Row],[contract_code]],Tabla1[contract_code],0),Tabla1[planted]),"Not planted contract")</f>
        <v>Not planted contract</v>
      </c>
      <c r="O283" s="8" t="str" cm="1">
        <f t="array" ref="O283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3" s="8" cm="1">
        <f t="array" ref="P283" xml:space="preserve">
IF(Tabla4[[#This Row],[etp_type]]="ETP",
INDEX(Tabla6[survival]*Tabla4[[#This Row],[planted_etp]],MATCH(Tabla4[[#This Row],[contract_code]],Tabla6[contract_code],0)),0)</f>
        <v>0</v>
      </c>
    </row>
    <row r="284" spans="1:16" x14ac:dyDescent="0.25">
      <c r="A284" t="s">
        <v>823</v>
      </c>
      <c r="C284">
        <v>0</v>
      </c>
      <c r="D284">
        <v>0</v>
      </c>
      <c r="H284">
        <v>4400</v>
      </c>
      <c r="J284" s="8" t="str">
        <f>IF(
  _xlfn.XLOOKUP(Tabla4[[#This Row],[contract_code]],Tabla1[contract_code],Tabla1[status])="Active",
  "ETP",
  "Not planted contract"
)</f>
        <v>Not planted contract</v>
      </c>
      <c r="K284" s="8">
        <v>0</v>
      </c>
      <c r="L284" s="8" cm="1">
        <f t="array" ref="L284">IF(Tabla4[[#This Row],[etp_type]]="COP",Tabla1[planted],0)</f>
        <v>0</v>
      </c>
      <c r="M284" s="8" t="str" cm="1">
        <f t="array" ref="M284">IF(Tabla4[[#This Row],[etp_type]]="ETP",INDEX(MATCH(Tabla4[[#This Row],[contract_code]],Tabla1[contract_code],0),Tabla1[trees_contract]),"Not planted contract")</f>
        <v>Not planted contract</v>
      </c>
      <c r="N284" s="8" t="str" cm="1">
        <f t="array" ref="N284">IF(Tabla4[[#This Row],[etp_type]]="ETP",INDEX(MATCH(Tabla4[[#This Row],[contract_code]],Tabla1[contract_code],0),Tabla1[planted]),"Not planted contract")</f>
        <v>Not planted contract</v>
      </c>
      <c r="O284" s="8" t="str" cm="1">
        <f t="array" ref="O284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4" s="8" cm="1">
        <f t="array" ref="P284" xml:space="preserve">
IF(Tabla4[[#This Row],[etp_type]]="ETP",
INDEX(Tabla6[survival]*Tabla4[[#This Row],[planted_etp]],MATCH(Tabla4[[#This Row],[contract_code]],Tabla6[contract_code],0)),0)</f>
        <v>0</v>
      </c>
    </row>
    <row r="285" spans="1:16" x14ac:dyDescent="0.25">
      <c r="A285" t="s">
        <v>826</v>
      </c>
      <c r="C285">
        <v>0</v>
      </c>
      <c r="D285">
        <v>0</v>
      </c>
      <c r="H285">
        <v>2750</v>
      </c>
      <c r="J285" s="8" t="str">
        <f>IF(
  _xlfn.XLOOKUP(Tabla4[[#This Row],[contract_code]],Tabla1[contract_code],Tabla1[status])="Active",
  "ETP",
  "Not planted contract"
)</f>
        <v>Not planted contract</v>
      </c>
      <c r="K285" s="8">
        <v>0</v>
      </c>
      <c r="L285" s="8" cm="1">
        <f t="array" ref="L285">IF(Tabla4[[#This Row],[etp_type]]="COP",Tabla1[planted],0)</f>
        <v>0</v>
      </c>
      <c r="M285" s="8" t="str" cm="1">
        <f t="array" ref="M285">IF(Tabla4[[#This Row],[etp_type]]="ETP",INDEX(MATCH(Tabla4[[#This Row],[contract_code]],Tabla1[contract_code],0),Tabla1[trees_contract]),"Not planted contract")</f>
        <v>Not planted contract</v>
      </c>
      <c r="N285" s="8" t="str" cm="1">
        <f t="array" ref="N285">IF(Tabla4[[#This Row],[etp_type]]="ETP",INDEX(MATCH(Tabla4[[#This Row],[contract_code]],Tabla1[contract_code],0),Tabla1[planted]),"Not planted contract")</f>
        <v>Not planted contract</v>
      </c>
      <c r="O285" s="8" t="str" cm="1">
        <f t="array" ref="O285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5" s="8" cm="1">
        <f t="array" ref="P285" xml:space="preserve">
IF(Tabla4[[#This Row],[etp_type]]="ETP",
INDEX(Tabla6[survival]*Tabla4[[#This Row],[planted_etp]],MATCH(Tabla4[[#This Row],[contract_code]],Tabla6[contract_code],0)),0)</f>
        <v>0</v>
      </c>
    </row>
    <row r="286" spans="1:16" x14ac:dyDescent="0.25">
      <c r="A286" t="s">
        <v>830</v>
      </c>
      <c r="C286">
        <v>0</v>
      </c>
      <c r="D286">
        <v>0</v>
      </c>
      <c r="H286">
        <v>2200</v>
      </c>
      <c r="J286" s="8" t="str">
        <f>IF(
  _xlfn.XLOOKUP(Tabla4[[#This Row],[contract_code]],Tabla1[contract_code],Tabla1[status])="Active",
  "ETP",
  "Not planted contract"
)</f>
        <v>Not planted contract</v>
      </c>
      <c r="K286" s="8">
        <v>0</v>
      </c>
      <c r="L286" s="8" cm="1">
        <f t="array" ref="L286">IF(Tabla4[[#This Row],[etp_type]]="COP",Tabla1[planted],0)</f>
        <v>0</v>
      </c>
      <c r="M286" s="8" t="str" cm="1">
        <f t="array" ref="M286">IF(Tabla4[[#This Row],[etp_type]]="ETP",INDEX(MATCH(Tabla4[[#This Row],[contract_code]],Tabla1[contract_code],0),Tabla1[trees_contract]),"Not planted contract")</f>
        <v>Not planted contract</v>
      </c>
      <c r="N286" s="8" t="str" cm="1">
        <f t="array" ref="N286">IF(Tabla4[[#This Row],[etp_type]]="ETP",INDEX(MATCH(Tabla4[[#This Row],[contract_code]],Tabla1[contract_code],0),Tabla1[planted]),"Not planted contract")</f>
        <v>Not planted contract</v>
      </c>
      <c r="O286" s="8" t="str" cm="1">
        <f t="array" ref="O286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6" s="8" cm="1">
        <f t="array" ref="P286" xml:space="preserve">
IF(Tabla4[[#This Row],[etp_type]]="ETP",
INDEX(Tabla6[survival]*Tabla4[[#This Row],[planted_etp]],MATCH(Tabla4[[#This Row],[contract_code]],Tabla6[contract_code],0)),0)</f>
        <v>0</v>
      </c>
    </row>
    <row r="287" spans="1:16" x14ac:dyDescent="0.25">
      <c r="A287" t="s">
        <v>833</v>
      </c>
      <c r="C287">
        <v>0</v>
      </c>
      <c r="D287">
        <v>0</v>
      </c>
      <c r="H287">
        <v>5500</v>
      </c>
      <c r="J287" s="8" t="str">
        <f>IF(
  _xlfn.XLOOKUP(Tabla4[[#This Row],[contract_code]],Tabla1[contract_code],Tabla1[status])="Active",
  "ETP",
  "Not planted contract"
)</f>
        <v>Not planted contract</v>
      </c>
      <c r="K287" s="8">
        <v>0</v>
      </c>
      <c r="L287" s="8" cm="1">
        <f t="array" ref="L287">IF(Tabla4[[#This Row],[etp_type]]="COP",Tabla1[planted],0)</f>
        <v>0</v>
      </c>
      <c r="M287" s="8" t="str" cm="1">
        <f t="array" ref="M287">IF(Tabla4[[#This Row],[etp_type]]="ETP",INDEX(MATCH(Tabla4[[#This Row],[contract_code]],Tabla1[contract_code],0),Tabla1[trees_contract]),"Not planted contract")</f>
        <v>Not planted contract</v>
      </c>
      <c r="N287" s="8" t="str" cm="1">
        <f t="array" ref="N287">IF(Tabla4[[#This Row],[etp_type]]="ETP",INDEX(MATCH(Tabla4[[#This Row],[contract_code]],Tabla1[contract_code],0),Tabla1[planted]),"Not planted contract")</f>
        <v>Not planted contract</v>
      </c>
      <c r="O287" s="8" t="str" cm="1">
        <f t="array" ref="O287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7" s="8" cm="1">
        <f t="array" ref="P287" xml:space="preserve">
IF(Tabla4[[#This Row],[etp_type]]="ETP",
INDEX(Tabla6[survival]*Tabla4[[#This Row],[planted_etp]],MATCH(Tabla4[[#This Row],[contract_code]],Tabla6[contract_code],0)),0)</f>
        <v>0</v>
      </c>
    </row>
    <row r="288" spans="1:16" x14ac:dyDescent="0.25">
      <c r="A288" t="s">
        <v>837</v>
      </c>
      <c r="C288">
        <v>0</v>
      </c>
      <c r="D288">
        <v>0</v>
      </c>
      <c r="H288">
        <v>1100</v>
      </c>
      <c r="J288" s="8" t="str">
        <f>IF(
  _xlfn.XLOOKUP(Tabla4[[#This Row],[contract_code]],Tabla1[contract_code],Tabla1[status])="Active",
  "ETP",
  "Not planted contract"
)</f>
        <v>Not planted contract</v>
      </c>
      <c r="K288" s="8">
        <v>0</v>
      </c>
      <c r="L288" s="8" cm="1">
        <f t="array" ref="L288">IF(Tabla4[[#This Row],[etp_type]]="COP",Tabla1[planted],0)</f>
        <v>0</v>
      </c>
      <c r="M288" s="8" t="str" cm="1">
        <f t="array" ref="M288">IF(Tabla4[[#This Row],[etp_type]]="ETP",INDEX(MATCH(Tabla4[[#This Row],[contract_code]],Tabla1[contract_code],0),Tabla1[trees_contract]),"Not planted contract")</f>
        <v>Not planted contract</v>
      </c>
      <c r="N288" s="8" t="str" cm="1">
        <f t="array" ref="N288">IF(Tabla4[[#This Row],[etp_type]]="ETP",INDEX(MATCH(Tabla4[[#This Row],[contract_code]],Tabla1[contract_code],0),Tabla1[planted]),"Not planted contract")</f>
        <v>Not planted contract</v>
      </c>
      <c r="O288" s="8" t="str" cm="1">
        <f t="array" ref="O288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8" s="8" cm="1">
        <f t="array" ref="P288" xml:space="preserve">
IF(Tabla4[[#This Row],[etp_type]]="ETP",
INDEX(Tabla6[survival]*Tabla4[[#This Row],[planted_etp]],MATCH(Tabla4[[#This Row],[contract_code]],Tabla6[contract_code],0)),0)</f>
        <v>0</v>
      </c>
    </row>
    <row r="289" spans="1:16" x14ac:dyDescent="0.25">
      <c r="A289" t="s">
        <v>840</v>
      </c>
      <c r="C289">
        <v>0</v>
      </c>
      <c r="D289">
        <v>0</v>
      </c>
      <c r="H289">
        <v>1650</v>
      </c>
      <c r="J289" s="8" t="str">
        <f>IF(
  _xlfn.XLOOKUP(Tabla4[[#This Row],[contract_code]],Tabla1[contract_code],Tabla1[status])="Active",
  "ETP",
  "Not planted contract"
)</f>
        <v>Not planted contract</v>
      </c>
      <c r="K289" s="8">
        <v>0</v>
      </c>
      <c r="L289" s="8" cm="1">
        <f t="array" ref="L289">IF(Tabla4[[#This Row],[etp_type]]="COP",Tabla1[planted],0)</f>
        <v>0</v>
      </c>
      <c r="M289" s="8" t="str" cm="1">
        <f t="array" ref="M289">IF(Tabla4[[#This Row],[etp_type]]="ETP",INDEX(MATCH(Tabla4[[#This Row],[contract_code]],Tabla1[contract_code],0),Tabla1[trees_contract]),"Not planted contract")</f>
        <v>Not planted contract</v>
      </c>
      <c r="N289" s="8" t="str" cm="1">
        <f t="array" ref="N289">IF(Tabla4[[#This Row],[etp_type]]="ETP",INDEX(MATCH(Tabla4[[#This Row],[contract_code]],Tabla1[contract_code],0),Tabla1[planted]),"Not planted contract")</f>
        <v>Not planted contract</v>
      </c>
      <c r="O289" s="8" t="str" cm="1">
        <f t="array" ref="O289" xml:space="preserve">
IF(Tabla4[[#This Row],[etp_type]]="ETP",
INDEX(Tabla6[survival]*Tabla4[[#This Row],[planted_etp]],MATCH(Tabla4[[#This Row],[contract_code]],Tabla6[contract_code],0)),"Not planted contract")</f>
        <v>Not planted contract</v>
      </c>
      <c r="P289" s="8" cm="1">
        <f t="array" ref="P289" xml:space="preserve">
IF(Tabla4[[#This Row],[etp_type]]="ETP",
INDEX(Tabla6[survival]*Tabla4[[#This Row],[planted_etp]],MATCH(Tabla4[[#This Row],[contract_code]],Tabla6[contract_code],0)),0)</f>
        <v>0</v>
      </c>
    </row>
    <row r="290" spans="1:16" x14ac:dyDescent="0.25">
      <c r="A290" t="s">
        <v>843</v>
      </c>
      <c r="C290">
        <v>0</v>
      </c>
      <c r="D290">
        <v>0</v>
      </c>
      <c r="H290">
        <v>550</v>
      </c>
      <c r="J290" s="8" t="str">
        <f>IF(
  _xlfn.XLOOKUP(Tabla4[[#This Row],[contract_code]],Tabla1[contract_code],Tabla1[status])="Active",
  "ETP",
  "Not planted contract"
)</f>
        <v>Not planted contract</v>
      </c>
      <c r="K290" s="8">
        <v>0</v>
      </c>
      <c r="L290" s="8" cm="1">
        <f t="array" ref="L290">IF(Tabla4[[#This Row],[etp_type]]="COP",Tabla1[planted],0)</f>
        <v>0</v>
      </c>
      <c r="M290" s="8" t="str" cm="1">
        <f t="array" ref="M290">IF(Tabla4[[#This Row],[etp_type]]="ETP",INDEX(MATCH(Tabla4[[#This Row],[contract_code]],Tabla1[contract_code],0),Tabla1[trees_contract]),"Not planted contract")</f>
        <v>Not planted contract</v>
      </c>
      <c r="N290" s="8" t="str" cm="1">
        <f t="array" ref="N290">IF(Tabla4[[#This Row],[etp_type]]="ETP",INDEX(MATCH(Tabla4[[#This Row],[contract_code]],Tabla1[contract_code],0),Tabla1[planted]),"Not planted contract")</f>
        <v>Not planted contract</v>
      </c>
      <c r="O290" s="8" t="str" cm="1">
        <f t="array" ref="O290" xml:space="preserve">
IF(Tabla4[[#This Row],[etp_type]]="ETP",
INDEX(Tabla6[survival]*Tabla4[[#This Row],[planted_etp]],MATCH(Tabla4[[#This Row],[contract_code]],Tabla6[contract_code],0)),"Not planted contract")</f>
        <v>Not planted contract</v>
      </c>
      <c r="P290" s="8" cm="1">
        <f t="array" ref="P290" xml:space="preserve">
IF(Tabla4[[#This Row],[etp_type]]="ETP",
INDEX(Tabla6[survival]*Tabla4[[#This Row],[planted_etp]],MATCH(Tabla4[[#This Row],[contract_code]],Tabla6[contract_code],0)),0)</f>
        <v>0</v>
      </c>
    </row>
    <row r="291" spans="1:16" x14ac:dyDescent="0.25">
      <c r="A291" t="s">
        <v>846</v>
      </c>
      <c r="C291">
        <v>0</v>
      </c>
      <c r="D291">
        <v>0</v>
      </c>
      <c r="H291">
        <v>550</v>
      </c>
      <c r="J291" s="8" t="str">
        <f>IF(
  _xlfn.XLOOKUP(Tabla4[[#This Row],[contract_code]],Tabla1[contract_code],Tabla1[status])="Active",
  "ETP",
  "Not planted contract"
)</f>
        <v>Not planted contract</v>
      </c>
      <c r="K291" s="8">
        <v>0</v>
      </c>
      <c r="L291" s="8" cm="1">
        <f t="array" ref="L291">IF(Tabla4[[#This Row],[etp_type]]="COP",Tabla1[planted],0)</f>
        <v>0</v>
      </c>
      <c r="M291" s="8" t="str" cm="1">
        <f t="array" ref="M291">IF(Tabla4[[#This Row],[etp_type]]="ETP",INDEX(MATCH(Tabla4[[#This Row],[contract_code]],Tabla1[contract_code],0),Tabla1[trees_contract]),"Not planted contract")</f>
        <v>Not planted contract</v>
      </c>
      <c r="N291" s="8" t="str" cm="1">
        <f t="array" ref="N291">IF(Tabla4[[#This Row],[etp_type]]="ETP",INDEX(MATCH(Tabla4[[#This Row],[contract_code]],Tabla1[contract_code],0),Tabla1[planted]),"Not planted contract")</f>
        <v>Not planted contract</v>
      </c>
      <c r="O291" s="8" t="str" cm="1">
        <f t="array" ref="O291" xml:space="preserve">
IF(Tabla4[[#This Row],[etp_type]]="ETP",
INDEX(Tabla6[survival]*Tabla4[[#This Row],[planted_etp]],MATCH(Tabla4[[#This Row],[contract_code]],Tabla6[contract_code],0)),"Not planted contract")</f>
        <v>Not planted contract</v>
      </c>
      <c r="P291" s="8" cm="1">
        <f t="array" ref="P291" xml:space="preserve">
IF(Tabla4[[#This Row],[etp_type]]="ETP",
INDEX(Tabla6[survival]*Tabla4[[#This Row],[planted_etp]],MATCH(Tabla4[[#This Row],[contract_code]],Tabla6[contract_code],0)),0)</f>
        <v>0</v>
      </c>
    </row>
    <row r="292" spans="1:16" x14ac:dyDescent="0.25">
      <c r="A292" t="s">
        <v>849</v>
      </c>
      <c r="C292">
        <v>0</v>
      </c>
      <c r="D292">
        <v>0</v>
      </c>
      <c r="H292">
        <v>550</v>
      </c>
      <c r="J292" s="8" t="str">
        <f>IF(
  _xlfn.XLOOKUP(Tabla4[[#This Row],[contract_code]],Tabla1[contract_code],Tabla1[status])="Active",
  "ETP",
  "Not planted contract"
)</f>
        <v>Not planted contract</v>
      </c>
      <c r="K292" s="8">
        <v>0</v>
      </c>
      <c r="L292" s="8" cm="1">
        <f t="array" ref="L292">IF(Tabla4[[#This Row],[etp_type]]="COP",Tabla1[planted],0)</f>
        <v>0</v>
      </c>
      <c r="M292" s="8" t="str" cm="1">
        <f t="array" ref="M292">IF(Tabla4[[#This Row],[etp_type]]="ETP",INDEX(MATCH(Tabla4[[#This Row],[contract_code]],Tabla1[contract_code],0),Tabla1[trees_contract]),"Not planted contract")</f>
        <v>Not planted contract</v>
      </c>
      <c r="N292" s="8" t="str" cm="1">
        <f t="array" ref="N292">IF(Tabla4[[#This Row],[etp_type]]="ETP",INDEX(MATCH(Tabla4[[#This Row],[contract_code]],Tabla1[contract_code],0),Tabla1[planted]),"Not planted contract")</f>
        <v>Not planted contract</v>
      </c>
      <c r="O292" s="8" t="str" cm="1">
        <f t="array" ref="O292" xml:space="preserve">
IF(Tabla4[[#This Row],[etp_type]]="ETP",
INDEX(Tabla6[survival]*Tabla4[[#This Row],[planted_etp]],MATCH(Tabla4[[#This Row],[contract_code]],Tabla6[contract_code],0)),"Not planted contract")</f>
        <v>Not planted contract</v>
      </c>
      <c r="P292" s="8" cm="1">
        <f t="array" ref="P292" xml:space="preserve">
IF(Tabla4[[#This Row],[etp_type]]="ETP",
INDEX(Tabla6[survival]*Tabla4[[#This Row],[planted_etp]],MATCH(Tabla4[[#This Row],[contract_code]],Tabla6[contract_code],0)),0)</f>
        <v>0</v>
      </c>
    </row>
    <row r="293" spans="1:16" x14ac:dyDescent="0.25">
      <c r="A293" t="s">
        <v>852</v>
      </c>
      <c r="C293">
        <v>0</v>
      </c>
      <c r="D293">
        <v>0</v>
      </c>
      <c r="H293">
        <v>1100</v>
      </c>
      <c r="J293" s="8" t="str">
        <f>IF(
  _xlfn.XLOOKUP(Tabla4[[#This Row],[contract_code]],Tabla1[contract_code],Tabla1[status])="Active",
  "ETP",
  "Not planted contract"
)</f>
        <v>Not planted contract</v>
      </c>
      <c r="K293" s="8">
        <v>0</v>
      </c>
      <c r="L293" s="8" cm="1">
        <f t="array" ref="L293">IF(Tabla4[[#This Row],[etp_type]]="COP",Tabla1[planted],0)</f>
        <v>0</v>
      </c>
      <c r="M293" s="8" t="str" cm="1">
        <f t="array" ref="M293">IF(Tabla4[[#This Row],[etp_type]]="ETP",INDEX(MATCH(Tabla4[[#This Row],[contract_code]],Tabla1[contract_code],0),Tabla1[trees_contract]),"Not planted contract")</f>
        <v>Not planted contract</v>
      </c>
      <c r="N293" s="8" t="str" cm="1">
        <f t="array" ref="N293">IF(Tabla4[[#This Row],[etp_type]]="ETP",INDEX(MATCH(Tabla4[[#This Row],[contract_code]],Tabla1[contract_code],0),Tabla1[planted]),"Not planted contract")</f>
        <v>Not planted contract</v>
      </c>
      <c r="O293" s="8" t="str" cm="1">
        <f t="array" ref="O293" xml:space="preserve">
IF(Tabla4[[#This Row],[etp_type]]="ETP",
INDEX(Tabla6[survival]*Tabla4[[#This Row],[planted_etp]],MATCH(Tabla4[[#This Row],[contract_code]],Tabla6[contract_code],0)),"Not planted contract")</f>
        <v>Not planted contract</v>
      </c>
      <c r="P293" s="8" cm="1">
        <f t="array" ref="P293" xml:space="preserve">
IF(Tabla4[[#This Row],[etp_type]]="ETP",
INDEX(Tabla6[survival]*Tabla4[[#This Row],[planted_etp]],MATCH(Tabla4[[#This Row],[contract_code]],Tabla6[contract_code],0)),0)</f>
        <v>0</v>
      </c>
    </row>
    <row r="294" spans="1:16" hidden="1" x14ac:dyDescent="0.25">
      <c r="A294" t="s">
        <v>855</v>
      </c>
      <c r="B294">
        <v>0</v>
      </c>
      <c r="E294">
        <v>1</v>
      </c>
      <c r="H294">
        <v>2200</v>
      </c>
      <c r="I294">
        <v>2200</v>
      </c>
      <c r="J294" t="s">
        <v>3572</v>
      </c>
      <c r="K294">
        <v>2200</v>
      </c>
      <c r="L294">
        <v>2200</v>
      </c>
      <c r="M294">
        <v>0</v>
      </c>
      <c r="N294">
        <v>0</v>
      </c>
      <c r="O294">
        <v>0</v>
      </c>
      <c r="P294">
        <v>0</v>
      </c>
    </row>
    <row r="295" spans="1:16" hidden="1" x14ac:dyDescent="0.25">
      <c r="A295" t="s">
        <v>858</v>
      </c>
      <c r="B295">
        <v>0</v>
      </c>
      <c r="E295">
        <v>1</v>
      </c>
      <c r="H295">
        <v>1200</v>
      </c>
      <c r="I295">
        <v>1200</v>
      </c>
      <c r="J295" t="s">
        <v>3572</v>
      </c>
      <c r="K295">
        <v>1200</v>
      </c>
      <c r="L295">
        <v>1200</v>
      </c>
      <c r="M295">
        <v>0</v>
      </c>
      <c r="N295">
        <v>0</v>
      </c>
      <c r="O295">
        <v>0</v>
      </c>
      <c r="P295">
        <v>0</v>
      </c>
    </row>
    <row r="296" spans="1:16" hidden="1" x14ac:dyDescent="0.25">
      <c r="A296" t="s">
        <v>861</v>
      </c>
      <c r="B296">
        <v>0</v>
      </c>
      <c r="E296">
        <v>1</v>
      </c>
      <c r="H296">
        <v>1100</v>
      </c>
      <c r="I296">
        <v>1100</v>
      </c>
      <c r="J296" t="s">
        <v>3572</v>
      </c>
      <c r="K296">
        <v>1100</v>
      </c>
      <c r="L296">
        <v>1100</v>
      </c>
      <c r="M296">
        <v>0</v>
      </c>
      <c r="N296">
        <v>0</v>
      </c>
      <c r="O296">
        <v>0</v>
      </c>
      <c r="P296">
        <v>0</v>
      </c>
    </row>
    <row r="297" spans="1:16" hidden="1" x14ac:dyDescent="0.25">
      <c r="A297" t="s">
        <v>864</v>
      </c>
      <c r="B297">
        <v>0</v>
      </c>
      <c r="E297">
        <v>1</v>
      </c>
      <c r="H297">
        <v>2200</v>
      </c>
      <c r="I297">
        <v>2200</v>
      </c>
      <c r="J297" t="s">
        <v>3572</v>
      </c>
      <c r="K297">
        <v>2200</v>
      </c>
      <c r="L297">
        <v>2200</v>
      </c>
      <c r="M297">
        <v>0</v>
      </c>
      <c r="N297">
        <v>0</v>
      </c>
      <c r="O297">
        <v>0</v>
      </c>
      <c r="P297">
        <v>1223</v>
      </c>
    </row>
    <row r="298" spans="1:16" hidden="1" x14ac:dyDescent="0.25">
      <c r="A298" t="s">
        <v>865</v>
      </c>
      <c r="B298">
        <v>0</v>
      </c>
      <c r="E298">
        <v>1</v>
      </c>
      <c r="H298">
        <v>2200</v>
      </c>
      <c r="I298">
        <v>2200</v>
      </c>
      <c r="J298" t="s">
        <v>3573</v>
      </c>
      <c r="K298">
        <v>2200</v>
      </c>
      <c r="L298">
        <v>2200</v>
      </c>
      <c r="M298">
        <v>0</v>
      </c>
      <c r="N298">
        <v>0</v>
      </c>
      <c r="O298">
        <v>0</v>
      </c>
      <c r="P298">
        <v>929</v>
      </c>
    </row>
    <row r="299" spans="1:16" hidden="1" x14ac:dyDescent="0.25">
      <c r="A299" t="s">
        <v>866</v>
      </c>
      <c r="B299">
        <v>0</v>
      </c>
      <c r="E299">
        <v>1</v>
      </c>
      <c r="H299">
        <v>2200</v>
      </c>
      <c r="I299">
        <v>2200</v>
      </c>
      <c r="J299" t="s">
        <v>3572</v>
      </c>
      <c r="K299">
        <v>2200</v>
      </c>
      <c r="L299">
        <v>2200</v>
      </c>
      <c r="M299">
        <v>0</v>
      </c>
      <c r="N299">
        <v>0</v>
      </c>
      <c r="O299">
        <v>0</v>
      </c>
      <c r="P299">
        <v>1931</v>
      </c>
    </row>
    <row r="300" spans="1:16" hidden="1" x14ac:dyDescent="0.25">
      <c r="A300" t="s">
        <v>869</v>
      </c>
      <c r="B300">
        <v>0</v>
      </c>
      <c r="E300">
        <v>1</v>
      </c>
      <c r="H300">
        <v>1100</v>
      </c>
      <c r="I300">
        <v>1100</v>
      </c>
      <c r="J300" t="s">
        <v>3572</v>
      </c>
      <c r="K300">
        <v>1100</v>
      </c>
      <c r="L300">
        <v>1100</v>
      </c>
      <c r="M300">
        <v>0</v>
      </c>
      <c r="N300">
        <v>0</v>
      </c>
      <c r="O300">
        <v>0</v>
      </c>
      <c r="P300">
        <v>0</v>
      </c>
    </row>
    <row r="301" spans="1:16" hidden="1" x14ac:dyDescent="0.25">
      <c r="A301" t="s">
        <v>872</v>
      </c>
      <c r="B301">
        <v>0</v>
      </c>
      <c r="E301">
        <v>1</v>
      </c>
      <c r="H301">
        <v>800</v>
      </c>
      <c r="I301">
        <v>800</v>
      </c>
      <c r="J301" t="s">
        <v>3572</v>
      </c>
      <c r="K301">
        <v>800</v>
      </c>
      <c r="L301">
        <v>800</v>
      </c>
      <c r="M301">
        <v>0</v>
      </c>
      <c r="N301">
        <v>0</v>
      </c>
      <c r="O301">
        <v>0</v>
      </c>
      <c r="P301">
        <v>114</v>
      </c>
    </row>
    <row r="302" spans="1:16" hidden="1" x14ac:dyDescent="0.25">
      <c r="A302" t="s">
        <v>875</v>
      </c>
      <c r="B302">
        <v>0</v>
      </c>
      <c r="E302">
        <v>1</v>
      </c>
      <c r="H302">
        <v>1650</v>
      </c>
      <c r="I302">
        <v>1650</v>
      </c>
      <c r="J302" t="s">
        <v>3572</v>
      </c>
      <c r="K302">
        <v>1650</v>
      </c>
      <c r="L302">
        <v>1650</v>
      </c>
      <c r="M302">
        <v>0</v>
      </c>
      <c r="N302">
        <v>0</v>
      </c>
      <c r="O302">
        <v>0</v>
      </c>
      <c r="P302">
        <v>458</v>
      </c>
    </row>
    <row r="303" spans="1:16" hidden="1" x14ac:dyDescent="0.25">
      <c r="A303" t="s">
        <v>878</v>
      </c>
      <c r="B303">
        <v>0</v>
      </c>
      <c r="E303">
        <v>1</v>
      </c>
      <c r="H303">
        <v>550</v>
      </c>
      <c r="I303">
        <v>550</v>
      </c>
      <c r="J303" t="s">
        <v>3572</v>
      </c>
      <c r="K303">
        <v>550</v>
      </c>
      <c r="L303">
        <v>550</v>
      </c>
      <c r="M303">
        <v>0</v>
      </c>
      <c r="N303">
        <v>0</v>
      </c>
      <c r="O303">
        <v>0</v>
      </c>
      <c r="P303">
        <v>0</v>
      </c>
    </row>
    <row r="304" spans="1:16" hidden="1" x14ac:dyDescent="0.25">
      <c r="A304" t="s">
        <v>881</v>
      </c>
      <c r="B304">
        <v>0</v>
      </c>
      <c r="E304">
        <v>1</v>
      </c>
      <c r="H304">
        <v>1295</v>
      </c>
      <c r="I304">
        <v>1295</v>
      </c>
      <c r="J304" t="s">
        <v>3572</v>
      </c>
      <c r="K304">
        <v>1295</v>
      </c>
      <c r="L304">
        <v>1295</v>
      </c>
      <c r="M304">
        <v>0</v>
      </c>
      <c r="N304">
        <v>0</v>
      </c>
      <c r="O304">
        <v>0</v>
      </c>
      <c r="P304">
        <v>158</v>
      </c>
    </row>
    <row r="305" spans="1:16" hidden="1" x14ac:dyDescent="0.25">
      <c r="A305" t="s">
        <v>884</v>
      </c>
      <c r="B305">
        <v>0</v>
      </c>
      <c r="E305">
        <v>1</v>
      </c>
      <c r="H305">
        <v>2200</v>
      </c>
      <c r="I305">
        <v>2200</v>
      </c>
      <c r="J305" t="s">
        <v>3572</v>
      </c>
      <c r="K305">
        <v>2200</v>
      </c>
      <c r="L305">
        <v>2200</v>
      </c>
      <c r="M305">
        <v>0</v>
      </c>
      <c r="N305">
        <v>0</v>
      </c>
      <c r="O305">
        <v>0</v>
      </c>
      <c r="P305">
        <v>0</v>
      </c>
    </row>
    <row r="306" spans="1:16" hidden="1" x14ac:dyDescent="0.25">
      <c r="A306" t="s">
        <v>887</v>
      </c>
      <c r="B306">
        <v>0</v>
      </c>
      <c r="E306">
        <v>1</v>
      </c>
      <c r="H306">
        <v>550</v>
      </c>
      <c r="I306">
        <v>550</v>
      </c>
      <c r="J306" t="s">
        <v>3572</v>
      </c>
      <c r="K306">
        <v>550</v>
      </c>
      <c r="L306">
        <v>550</v>
      </c>
      <c r="M306">
        <v>0</v>
      </c>
      <c r="N306">
        <v>0</v>
      </c>
      <c r="O306">
        <v>0</v>
      </c>
      <c r="P306">
        <v>0</v>
      </c>
    </row>
    <row r="307" spans="1:16" hidden="1" x14ac:dyDescent="0.25">
      <c r="A307" t="s">
        <v>890</v>
      </c>
      <c r="B307">
        <v>0</v>
      </c>
      <c r="E307">
        <v>1</v>
      </c>
      <c r="H307">
        <v>660</v>
      </c>
      <c r="I307">
        <v>660</v>
      </c>
      <c r="J307" t="s">
        <v>3572</v>
      </c>
      <c r="K307">
        <v>660</v>
      </c>
      <c r="L307">
        <v>660</v>
      </c>
      <c r="M307">
        <v>0</v>
      </c>
      <c r="N307">
        <v>0</v>
      </c>
      <c r="O307">
        <v>0</v>
      </c>
      <c r="P307">
        <v>646</v>
      </c>
    </row>
    <row r="308" spans="1:16" hidden="1" x14ac:dyDescent="0.25">
      <c r="A308" t="s">
        <v>894</v>
      </c>
      <c r="B308">
        <v>0.24</v>
      </c>
      <c r="C308">
        <v>528</v>
      </c>
      <c r="D308">
        <v>528</v>
      </c>
      <c r="E308">
        <v>0.76</v>
      </c>
      <c r="H308">
        <v>1672</v>
      </c>
      <c r="I308">
        <v>1672</v>
      </c>
      <c r="J308" t="s">
        <v>3573</v>
      </c>
      <c r="K308">
        <v>1672</v>
      </c>
      <c r="L308">
        <v>1672</v>
      </c>
      <c r="M308">
        <v>528</v>
      </c>
      <c r="N308">
        <v>528</v>
      </c>
      <c r="O308">
        <v>0</v>
      </c>
      <c r="P308">
        <v>0</v>
      </c>
    </row>
    <row r="309" spans="1:16" hidden="1" x14ac:dyDescent="0.25">
      <c r="A309" t="s">
        <v>898</v>
      </c>
      <c r="B309">
        <v>0.24</v>
      </c>
      <c r="C309">
        <v>528</v>
      </c>
      <c r="D309">
        <v>528</v>
      </c>
      <c r="E309">
        <v>0.76</v>
      </c>
      <c r="H309">
        <v>1672</v>
      </c>
      <c r="I309">
        <v>1672</v>
      </c>
      <c r="J309" t="s">
        <v>3573</v>
      </c>
      <c r="K309">
        <v>1672</v>
      </c>
      <c r="L309">
        <v>1672</v>
      </c>
      <c r="M309">
        <v>528</v>
      </c>
      <c r="N309">
        <v>528</v>
      </c>
      <c r="O309">
        <v>0</v>
      </c>
      <c r="P309">
        <v>0</v>
      </c>
    </row>
    <row r="310" spans="1:16" hidden="1" x14ac:dyDescent="0.25">
      <c r="A310" t="s">
        <v>901</v>
      </c>
      <c r="B310">
        <v>0.24</v>
      </c>
      <c r="C310">
        <v>132</v>
      </c>
      <c r="D310">
        <v>132</v>
      </c>
      <c r="E310">
        <v>0.76</v>
      </c>
      <c r="H310">
        <v>418</v>
      </c>
      <c r="I310">
        <v>418</v>
      </c>
      <c r="J310" t="s">
        <v>3573</v>
      </c>
      <c r="K310">
        <v>418</v>
      </c>
      <c r="L310">
        <v>418</v>
      </c>
      <c r="M310">
        <v>132</v>
      </c>
      <c r="N310">
        <v>132</v>
      </c>
      <c r="O310">
        <v>0</v>
      </c>
      <c r="P310">
        <v>0</v>
      </c>
    </row>
    <row r="311" spans="1:16" hidden="1" x14ac:dyDescent="0.25">
      <c r="A311" t="s">
        <v>904</v>
      </c>
      <c r="B311">
        <v>0.23974763406940061</v>
      </c>
      <c r="C311">
        <v>228</v>
      </c>
      <c r="D311">
        <v>228</v>
      </c>
      <c r="E311">
        <v>0.76025236593059897</v>
      </c>
      <c r="H311">
        <v>723</v>
      </c>
      <c r="I311">
        <v>723</v>
      </c>
      <c r="J311" t="s">
        <v>3573</v>
      </c>
      <c r="K311">
        <v>723</v>
      </c>
      <c r="L311">
        <v>722.76</v>
      </c>
      <c r="M311">
        <v>228</v>
      </c>
      <c r="N311">
        <v>228</v>
      </c>
      <c r="O311">
        <v>0</v>
      </c>
      <c r="P311">
        <v>0</v>
      </c>
    </row>
    <row r="312" spans="1:16" hidden="1" x14ac:dyDescent="0.25">
      <c r="A312" t="s">
        <v>908</v>
      </c>
      <c r="B312">
        <v>0.24</v>
      </c>
      <c r="C312">
        <v>528</v>
      </c>
      <c r="D312">
        <v>528</v>
      </c>
      <c r="E312">
        <v>0.76</v>
      </c>
      <c r="H312">
        <v>1672</v>
      </c>
      <c r="I312">
        <v>1672</v>
      </c>
      <c r="J312" t="s">
        <v>3573</v>
      </c>
      <c r="K312">
        <v>1672</v>
      </c>
      <c r="L312">
        <v>1672</v>
      </c>
      <c r="M312">
        <v>528</v>
      </c>
      <c r="N312">
        <v>528</v>
      </c>
      <c r="O312">
        <v>0</v>
      </c>
      <c r="P312">
        <v>0</v>
      </c>
    </row>
    <row r="313" spans="1:16" hidden="1" x14ac:dyDescent="0.25">
      <c r="A313" t="s">
        <v>911</v>
      </c>
      <c r="B313">
        <v>0.24</v>
      </c>
      <c r="C313">
        <v>48</v>
      </c>
      <c r="D313">
        <v>48</v>
      </c>
      <c r="E313">
        <v>0.76</v>
      </c>
      <c r="H313">
        <v>152</v>
      </c>
      <c r="I313">
        <v>152</v>
      </c>
      <c r="J313" t="s">
        <v>3573</v>
      </c>
      <c r="K313">
        <v>152</v>
      </c>
      <c r="L313">
        <v>152</v>
      </c>
      <c r="M313">
        <v>48</v>
      </c>
      <c r="N313">
        <v>48</v>
      </c>
      <c r="O313">
        <v>0</v>
      </c>
      <c r="P313">
        <v>0</v>
      </c>
    </row>
    <row r="314" spans="1:16" hidden="1" x14ac:dyDescent="0.25">
      <c r="A314" t="s">
        <v>914</v>
      </c>
      <c r="B314">
        <v>0.1131818181818182</v>
      </c>
      <c r="C314">
        <v>249</v>
      </c>
      <c r="D314">
        <v>249</v>
      </c>
      <c r="E314">
        <v>0.33181818181818179</v>
      </c>
      <c r="F314">
        <v>1232</v>
      </c>
      <c r="G314">
        <v>0.55500000000000005</v>
      </c>
      <c r="H314">
        <v>726</v>
      </c>
      <c r="I314">
        <v>1958</v>
      </c>
      <c r="J314" t="s">
        <v>3573</v>
      </c>
      <c r="K314">
        <v>1232</v>
      </c>
      <c r="L314">
        <v>1955</v>
      </c>
      <c r="M314">
        <v>245</v>
      </c>
      <c r="N314">
        <v>245</v>
      </c>
      <c r="O314">
        <v>0</v>
      </c>
      <c r="P314">
        <v>0</v>
      </c>
    </row>
    <row r="315" spans="1:16" hidden="1" x14ac:dyDescent="0.25">
      <c r="A315" t="s">
        <v>917</v>
      </c>
      <c r="B315">
        <v>0.11304347826086961</v>
      </c>
      <c r="C315">
        <v>286</v>
      </c>
      <c r="D315">
        <v>286</v>
      </c>
      <c r="E315">
        <v>0.33201581027667992</v>
      </c>
      <c r="F315">
        <v>1392</v>
      </c>
      <c r="G315">
        <v>0.55494071146245061</v>
      </c>
      <c r="H315">
        <v>835</v>
      </c>
      <c r="I315">
        <v>2226</v>
      </c>
      <c r="J315" t="s">
        <v>3573</v>
      </c>
      <c r="K315">
        <v>1392</v>
      </c>
      <c r="L315">
        <v>2240</v>
      </c>
      <c r="M315">
        <v>290</v>
      </c>
      <c r="N315">
        <v>290</v>
      </c>
      <c r="O315">
        <v>76</v>
      </c>
      <c r="P315">
        <v>588</v>
      </c>
    </row>
    <row r="316" spans="1:16" hidden="1" x14ac:dyDescent="0.25">
      <c r="A316" t="s">
        <v>921</v>
      </c>
      <c r="B316">
        <v>0.1136363636363636</v>
      </c>
      <c r="C316">
        <v>75</v>
      </c>
      <c r="D316">
        <v>75</v>
      </c>
      <c r="E316">
        <v>0.33181818181818179</v>
      </c>
      <c r="F316">
        <v>363</v>
      </c>
      <c r="G316">
        <v>0.55454545454545456</v>
      </c>
      <c r="H316">
        <v>218</v>
      </c>
      <c r="I316">
        <v>581</v>
      </c>
      <c r="J316" t="s">
        <v>3573</v>
      </c>
      <c r="K316">
        <v>363</v>
      </c>
      <c r="L316">
        <v>580</v>
      </c>
      <c r="M316">
        <v>80</v>
      </c>
      <c r="N316">
        <v>80</v>
      </c>
      <c r="O316">
        <v>75</v>
      </c>
      <c r="P316">
        <v>585</v>
      </c>
    </row>
    <row r="317" spans="1:16" hidden="1" x14ac:dyDescent="0.25">
      <c r="A317" t="s">
        <v>922</v>
      </c>
      <c r="B317">
        <v>0.1131818181818182</v>
      </c>
      <c r="C317">
        <v>249</v>
      </c>
      <c r="D317">
        <v>249</v>
      </c>
      <c r="E317">
        <v>0.33181818181818179</v>
      </c>
      <c r="F317">
        <v>1232</v>
      </c>
      <c r="G317">
        <v>0.55500000000000005</v>
      </c>
      <c r="H317">
        <v>726</v>
      </c>
      <c r="I317">
        <v>1958</v>
      </c>
      <c r="J317" t="s">
        <v>3573</v>
      </c>
      <c r="K317">
        <v>1232</v>
      </c>
      <c r="L317">
        <v>1955</v>
      </c>
      <c r="M317">
        <v>245</v>
      </c>
      <c r="N317">
        <v>245</v>
      </c>
      <c r="O317">
        <v>126</v>
      </c>
      <c r="P317">
        <v>980</v>
      </c>
    </row>
    <row r="318" spans="1:16" hidden="1" x14ac:dyDescent="0.25">
      <c r="A318" t="s">
        <v>926</v>
      </c>
      <c r="B318">
        <v>0.1127272727272727</v>
      </c>
      <c r="C318">
        <v>124</v>
      </c>
      <c r="D318">
        <v>124</v>
      </c>
      <c r="E318">
        <v>0.33181818181818179</v>
      </c>
      <c r="F318">
        <v>616</v>
      </c>
      <c r="G318">
        <v>0.55545454545454542</v>
      </c>
      <c r="H318">
        <v>363</v>
      </c>
      <c r="I318">
        <v>979</v>
      </c>
      <c r="J318" t="s">
        <v>3573</v>
      </c>
      <c r="K318">
        <v>616</v>
      </c>
      <c r="L318">
        <v>978</v>
      </c>
      <c r="M318">
        <v>122</v>
      </c>
      <c r="N318">
        <v>122</v>
      </c>
      <c r="O318">
        <v>90</v>
      </c>
      <c r="P318">
        <v>707</v>
      </c>
    </row>
    <row r="319" spans="1:16" hidden="1" x14ac:dyDescent="0.25">
      <c r="A319" t="s">
        <v>929</v>
      </c>
      <c r="B319">
        <v>0.64</v>
      </c>
      <c r="C319">
        <v>352</v>
      </c>
      <c r="D319">
        <v>352</v>
      </c>
      <c r="E319">
        <v>0.36</v>
      </c>
      <c r="H319">
        <v>198</v>
      </c>
      <c r="I319">
        <v>198</v>
      </c>
      <c r="J319" t="s">
        <v>3573</v>
      </c>
      <c r="K319">
        <v>198</v>
      </c>
      <c r="L319">
        <v>198</v>
      </c>
      <c r="M319">
        <v>352</v>
      </c>
      <c r="N319">
        <v>352</v>
      </c>
      <c r="O319">
        <v>0</v>
      </c>
      <c r="P319">
        <v>0</v>
      </c>
    </row>
    <row r="320" spans="1:16" hidden="1" x14ac:dyDescent="0.25">
      <c r="A320" t="s">
        <v>932</v>
      </c>
      <c r="B320">
        <v>0.1129411764705882</v>
      </c>
      <c r="C320">
        <v>48</v>
      </c>
      <c r="D320">
        <v>48</v>
      </c>
      <c r="E320">
        <v>0.33176470588235302</v>
      </c>
      <c r="F320">
        <v>238</v>
      </c>
      <c r="G320">
        <v>0.55529411764705883</v>
      </c>
      <c r="H320">
        <v>140</v>
      </c>
      <c r="I320">
        <v>378</v>
      </c>
      <c r="J320" t="s">
        <v>3573</v>
      </c>
      <c r="K320">
        <v>238</v>
      </c>
      <c r="L320">
        <v>377</v>
      </c>
      <c r="M320">
        <v>48</v>
      </c>
      <c r="N320">
        <v>48</v>
      </c>
      <c r="O320">
        <v>0</v>
      </c>
      <c r="P320">
        <v>0</v>
      </c>
    </row>
    <row r="321" spans="1:16" hidden="1" x14ac:dyDescent="0.25">
      <c r="A321" t="s">
        <v>933</v>
      </c>
      <c r="B321">
        <v>0.1127272727272727</v>
      </c>
      <c r="C321">
        <v>62</v>
      </c>
      <c r="D321">
        <v>62</v>
      </c>
      <c r="E321">
        <v>0.3327272727272727</v>
      </c>
      <c r="F321">
        <v>303</v>
      </c>
      <c r="G321">
        <v>0.55454545454545456</v>
      </c>
      <c r="H321">
        <v>182</v>
      </c>
      <c r="I321">
        <v>484</v>
      </c>
      <c r="J321" t="s">
        <v>3573</v>
      </c>
      <c r="K321">
        <v>303</v>
      </c>
      <c r="L321">
        <v>485</v>
      </c>
      <c r="M321">
        <v>65</v>
      </c>
      <c r="N321">
        <v>65</v>
      </c>
      <c r="O321">
        <v>63</v>
      </c>
      <c r="P321">
        <v>487</v>
      </c>
    </row>
    <row r="322" spans="1:16" hidden="1" x14ac:dyDescent="0.25">
      <c r="A322" t="s">
        <v>936</v>
      </c>
      <c r="B322">
        <v>0.1127272727272727</v>
      </c>
      <c r="C322">
        <v>124</v>
      </c>
      <c r="D322">
        <v>124</v>
      </c>
      <c r="E322">
        <v>0.33181818181818179</v>
      </c>
      <c r="F322">
        <v>616</v>
      </c>
      <c r="G322">
        <v>0.55545454545454542</v>
      </c>
      <c r="H322">
        <v>363</v>
      </c>
      <c r="I322">
        <v>979</v>
      </c>
      <c r="J322" t="s">
        <v>3573</v>
      </c>
      <c r="K322">
        <v>616</v>
      </c>
      <c r="L322">
        <v>980</v>
      </c>
      <c r="M322">
        <v>120</v>
      </c>
      <c r="N322">
        <v>120</v>
      </c>
      <c r="O322">
        <v>59</v>
      </c>
      <c r="P322">
        <v>464</v>
      </c>
    </row>
    <row r="323" spans="1:16" hidden="1" x14ac:dyDescent="0.25">
      <c r="A323" t="s">
        <v>939</v>
      </c>
      <c r="B323">
        <v>0.11304347826086961</v>
      </c>
      <c r="C323">
        <v>286</v>
      </c>
      <c r="D323">
        <v>286</v>
      </c>
      <c r="E323">
        <v>0.33201581027667992</v>
      </c>
      <c r="F323">
        <v>1392</v>
      </c>
      <c r="G323">
        <v>0.55494071146245061</v>
      </c>
      <c r="H323">
        <v>835</v>
      </c>
      <c r="I323">
        <v>2226</v>
      </c>
      <c r="J323" t="s">
        <v>3573</v>
      </c>
      <c r="K323">
        <v>1392</v>
      </c>
      <c r="L323">
        <v>2240</v>
      </c>
      <c r="M323">
        <v>290</v>
      </c>
      <c r="N323">
        <v>290</v>
      </c>
      <c r="O323">
        <v>252</v>
      </c>
      <c r="P323">
        <v>1974</v>
      </c>
    </row>
    <row r="324" spans="1:16" hidden="1" x14ac:dyDescent="0.25">
      <c r="A324" t="s">
        <v>942</v>
      </c>
      <c r="B324">
        <v>0.1127272727272727</v>
      </c>
      <c r="C324">
        <v>62</v>
      </c>
      <c r="D324">
        <v>62</v>
      </c>
      <c r="E324">
        <v>0.3327272727272727</v>
      </c>
      <c r="F324">
        <v>303</v>
      </c>
      <c r="G324">
        <v>0.55454545454545456</v>
      </c>
      <c r="H324">
        <v>182</v>
      </c>
      <c r="I324">
        <v>484</v>
      </c>
      <c r="J324" t="s">
        <v>3573</v>
      </c>
      <c r="K324">
        <v>303</v>
      </c>
      <c r="L324">
        <v>488</v>
      </c>
      <c r="M324">
        <v>62</v>
      </c>
      <c r="N324">
        <v>62</v>
      </c>
      <c r="O324">
        <v>50</v>
      </c>
      <c r="P324">
        <v>393</v>
      </c>
    </row>
    <row r="325" spans="1:16" hidden="1" x14ac:dyDescent="0.25">
      <c r="A325" t="s">
        <v>945</v>
      </c>
      <c r="B325">
        <v>0.11318</v>
      </c>
      <c r="C325">
        <v>132</v>
      </c>
      <c r="D325">
        <v>132</v>
      </c>
      <c r="E325">
        <v>0.33179999999999998</v>
      </c>
      <c r="F325">
        <v>653</v>
      </c>
      <c r="G325">
        <v>0.55500000000000005</v>
      </c>
      <c r="H325">
        <v>385</v>
      </c>
      <c r="I325">
        <v>1038</v>
      </c>
      <c r="J325" t="s">
        <v>3573</v>
      </c>
      <c r="K325">
        <v>653</v>
      </c>
      <c r="L325">
        <v>1035</v>
      </c>
      <c r="M325">
        <v>131</v>
      </c>
      <c r="N325">
        <v>131</v>
      </c>
      <c r="O325">
        <v>117</v>
      </c>
      <c r="P325">
        <v>915</v>
      </c>
    </row>
    <row r="326" spans="1:16" hidden="1" x14ac:dyDescent="0.25">
      <c r="A326" t="s">
        <v>949</v>
      </c>
      <c r="B326">
        <v>0.64</v>
      </c>
      <c r="C326">
        <v>2816</v>
      </c>
      <c r="D326">
        <v>2816</v>
      </c>
      <c r="E326">
        <v>0.36</v>
      </c>
      <c r="H326">
        <v>1584</v>
      </c>
      <c r="I326">
        <v>1584</v>
      </c>
      <c r="J326" t="s">
        <v>3573</v>
      </c>
      <c r="K326">
        <v>1584</v>
      </c>
      <c r="L326">
        <v>1584</v>
      </c>
      <c r="M326">
        <v>2816</v>
      </c>
      <c r="N326">
        <v>2816</v>
      </c>
      <c r="O326">
        <v>0</v>
      </c>
      <c r="P326">
        <v>0</v>
      </c>
    </row>
    <row r="327" spans="1:16" hidden="1" x14ac:dyDescent="0.25">
      <c r="A327" t="s">
        <v>952</v>
      </c>
      <c r="B327">
        <v>0.64</v>
      </c>
      <c r="C327">
        <v>704</v>
      </c>
      <c r="D327">
        <v>704</v>
      </c>
      <c r="E327">
        <v>0.36</v>
      </c>
      <c r="H327">
        <v>396</v>
      </c>
      <c r="I327">
        <v>396</v>
      </c>
      <c r="J327" t="s">
        <v>3573</v>
      </c>
      <c r="K327">
        <v>396</v>
      </c>
      <c r="L327">
        <v>396</v>
      </c>
      <c r="M327">
        <v>704</v>
      </c>
      <c r="N327">
        <v>704</v>
      </c>
      <c r="O327">
        <v>673</v>
      </c>
      <c r="P327">
        <v>378</v>
      </c>
    </row>
    <row r="328" spans="1:16" hidden="1" x14ac:dyDescent="0.25">
      <c r="A328" t="s">
        <v>956</v>
      </c>
      <c r="B328">
        <v>0.63913043478260867</v>
      </c>
      <c r="C328">
        <v>294</v>
      </c>
      <c r="D328">
        <v>294</v>
      </c>
      <c r="E328">
        <v>0.36</v>
      </c>
      <c r="H328">
        <v>166</v>
      </c>
      <c r="I328">
        <v>166</v>
      </c>
      <c r="J328" t="s">
        <v>3573</v>
      </c>
      <c r="K328">
        <v>166</v>
      </c>
      <c r="L328">
        <v>165.6</v>
      </c>
      <c r="M328">
        <v>294</v>
      </c>
      <c r="N328">
        <v>294</v>
      </c>
      <c r="O328">
        <v>45</v>
      </c>
      <c r="P328">
        <v>25</v>
      </c>
    </row>
    <row r="329" spans="1:16" hidden="1" x14ac:dyDescent="0.25">
      <c r="A329" t="s">
        <v>957</v>
      </c>
      <c r="B329">
        <v>0.64</v>
      </c>
      <c r="C329">
        <v>832</v>
      </c>
      <c r="D329">
        <v>832</v>
      </c>
      <c r="E329">
        <v>0.36</v>
      </c>
      <c r="H329">
        <v>468</v>
      </c>
      <c r="I329">
        <v>468</v>
      </c>
      <c r="J329" t="s">
        <v>3573</v>
      </c>
      <c r="K329">
        <v>468</v>
      </c>
      <c r="L329">
        <v>468</v>
      </c>
      <c r="M329">
        <v>832</v>
      </c>
      <c r="N329">
        <v>832</v>
      </c>
      <c r="O329">
        <v>0</v>
      </c>
      <c r="P329">
        <v>0</v>
      </c>
    </row>
    <row r="330" spans="1:16" hidden="1" x14ac:dyDescent="0.25">
      <c r="A330" t="s">
        <v>958</v>
      </c>
      <c r="B330">
        <v>0.64</v>
      </c>
      <c r="C330">
        <v>352</v>
      </c>
      <c r="D330">
        <v>352</v>
      </c>
      <c r="E330">
        <v>0.36</v>
      </c>
      <c r="H330">
        <v>198</v>
      </c>
      <c r="I330">
        <v>198</v>
      </c>
      <c r="J330" t="s">
        <v>3573</v>
      </c>
      <c r="K330">
        <v>198</v>
      </c>
      <c r="L330">
        <v>198</v>
      </c>
      <c r="M330">
        <v>352</v>
      </c>
      <c r="N330">
        <v>352</v>
      </c>
      <c r="O330">
        <v>347</v>
      </c>
      <c r="P330">
        <v>194</v>
      </c>
    </row>
    <row r="331" spans="1:16" hidden="1" x14ac:dyDescent="0.25">
      <c r="A331" t="s">
        <v>961</v>
      </c>
      <c r="B331">
        <v>0.64</v>
      </c>
      <c r="C331">
        <v>2176</v>
      </c>
      <c r="D331">
        <v>2176</v>
      </c>
      <c r="E331">
        <v>0.36</v>
      </c>
      <c r="H331">
        <v>1224</v>
      </c>
      <c r="I331">
        <v>1224</v>
      </c>
      <c r="J331" t="s">
        <v>3573</v>
      </c>
      <c r="K331">
        <v>1224</v>
      </c>
      <c r="L331">
        <v>1224</v>
      </c>
      <c r="M331">
        <v>2176</v>
      </c>
      <c r="N331">
        <v>2176</v>
      </c>
      <c r="O331">
        <v>1360</v>
      </c>
      <c r="P331">
        <v>765</v>
      </c>
    </row>
    <row r="332" spans="1:16" hidden="1" x14ac:dyDescent="0.25">
      <c r="A332" t="s">
        <v>965</v>
      </c>
      <c r="B332">
        <v>0.64</v>
      </c>
      <c r="C332">
        <v>704</v>
      </c>
      <c r="D332">
        <v>704</v>
      </c>
      <c r="E332">
        <v>0.36</v>
      </c>
      <c r="H332">
        <v>396</v>
      </c>
      <c r="I332">
        <v>396</v>
      </c>
      <c r="J332" t="s">
        <v>3573</v>
      </c>
      <c r="K332">
        <v>396</v>
      </c>
      <c r="L332">
        <v>396</v>
      </c>
      <c r="M332">
        <v>704</v>
      </c>
      <c r="N332">
        <v>704</v>
      </c>
      <c r="O332">
        <v>686</v>
      </c>
      <c r="P332">
        <v>385</v>
      </c>
    </row>
    <row r="333" spans="1:16" hidden="1" x14ac:dyDescent="0.25">
      <c r="A333" t="s">
        <v>968</v>
      </c>
      <c r="B333">
        <v>0.64015151515151514</v>
      </c>
      <c r="C333">
        <v>845</v>
      </c>
      <c r="D333">
        <v>845</v>
      </c>
      <c r="E333">
        <v>0.35984848484848492</v>
      </c>
      <c r="H333">
        <v>475</v>
      </c>
      <c r="I333">
        <v>475</v>
      </c>
      <c r="J333" t="s">
        <v>3573</v>
      </c>
      <c r="K333">
        <v>475</v>
      </c>
      <c r="L333">
        <v>475</v>
      </c>
      <c r="M333">
        <v>845</v>
      </c>
      <c r="N333">
        <v>845</v>
      </c>
      <c r="O333">
        <v>790</v>
      </c>
      <c r="P333">
        <v>444</v>
      </c>
    </row>
    <row r="334" spans="1:16" hidden="1" x14ac:dyDescent="0.25">
      <c r="A334" t="s">
        <v>971</v>
      </c>
      <c r="B334">
        <v>0.64</v>
      </c>
      <c r="C334">
        <v>704</v>
      </c>
      <c r="D334">
        <v>704</v>
      </c>
      <c r="E334">
        <v>0.36</v>
      </c>
      <c r="H334">
        <v>396</v>
      </c>
      <c r="I334">
        <v>396</v>
      </c>
      <c r="J334" t="s">
        <v>3573</v>
      </c>
      <c r="K334">
        <v>396</v>
      </c>
      <c r="L334">
        <v>396</v>
      </c>
      <c r="M334">
        <v>704</v>
      </c>
      <c r="N334">
        <v>704</v>
      </c>
      <c r="O334">
        <v>557</v>
      </c>
      <c r="P334">
        <v>313</v>
      </c>
    </row>
    <row r="335" spans="1:16" hidden="1" x14ac:dyDescent="0.25">
      <c r="A335" t="s">
        <v>974</v>
      </c>
      <c r="F335">
        <v>15620</v>
      </c>
      <c r="G335">
        <v>1</v>
      </c>
      <c r="I335">
        <v>15620</v>
      </c>
      <c r="J335" t="s">
        <v>3572</v>
      </c>
      <c r="K335">
        <v>15620</v>
      </c>
      <c r="L335">
        <v>15620</v>
      </c>
      <c r="M335">
        <v>0</v>
      </c>
      <c r="N335">
        <v>0</v>
      </c>
      <c r="O335">
        <v>0</v>
      </c>
      <c r="P335">
        <v>6486</v>
      </c>
    </row>
    <row r="336" spans="1:16" hidden="1" x14ac:dyDescent="0.25">
      <c r="A336" t="s">
        <v>975</v>
      </c>
      <c r="B336">
        <v>0.64006309148264984</v>
      </c>
      <c r="C336">
        <v>2029</v>
      </c>
      <c r="D336">
        <v>2029</v>
      </c>
      <c r="E336">
        <v>0.35993690851735022</v>
      </c>
      <c r="H336">
        <v>1141</v>
      </c>
      <c r="I336">
        <v>1141</v>
      </c>
      <c r="J336" t="s">
        <v>3573</v>
      </c>
      <c r="K336">
        <v>1141</v>
      </c>
      <c r="L336">
        <v>1141</v>
      </c>
      <c r="M336">
        <v>2029</v>
      </c>
      <c r="N336">
        <v>2029</v>
      </c>
      <c r="O336">
        <v>1987</v>
      </c>
      <c r="P336">
        <v>1117</v>
      </c>
    </row>
    <row r="337" spans="1:16" hidden="1" x14ac:dyDescent="0.25">
      <c r="A337" t="s">
        <v>978</v>
      </c>
      <c r="B337">
        <v>0.64</v>
      </c>
      <c r="C337">
        <v>704</v>
      </c>
      <c r="D337">
        <v>704</v>
      </c>
      <c r="E337">
        <v>0.36</v>
      </c>
      <c r="H337">
        <v>396</v>
      </c>
      <c r="I337">
        <v>396</v>
      </c>
      <c r="J337" t="s">
        <v>3573</v>
      </c>
      <c r="K337">
        <v>396</v>
      </c>
      <c r="L337">
        <v>396</v>
      </c>
      <c r="M337">
        <v>704</v>
      </c>
      <c r="N337">
        <v>704</v>
      </c>
      <c r="O337">
        <v>0</v>
      </c>
      <c r="P337">
        <v>0</v>
      </c>
    </row>
    <row r="338" spans="1:16" hidden="1" x14ac:dyDescent="0.25">
      <c r="A338" t="s">
        <v>981</v>
      </c>
      <c r="B338">
        <v>0.64</v>
      </c>
      <c r="C338">
        <v>704</v>
      </c>
      <c r="D338">
        <v>704</v>
      </c>
      <c r="E338">
        <v>0.36</v>
      </c>
      <c r="H338">
        <v>396</v>
      </c>
      <c r="I338">
        <v>396</v>
      </c>
      <c r="J338" t="s">
        <v>3573</v>
      </c>
      <c r="K338">
        <v>396</v>
      </c>
      <c r="L338">
        <v>396</v>
      </c>
      <c r="M338">
        <v>704</v>
      </c>
      <c r="N338">
        <v>704</v>
      </c>
      <c r="O338">
        <v>597</v>
      </c>
      <c r="P338">
        <v>335</v>
      </c>
    </row>
    <row r="339" spans="1:16" hidden="1" x14ac:dyDescent="0.25">
      <c r="A339" t="s">
        <v>984</v>
      </c>
      <c r="B339">
        <v>0.64</v>
      </c>
      <c r="C339">
        <v>704</v>
      </c>
      <c r="D339">
        <v>704</v>
      </c>
      <c r="E339">
        <v>0.36</v>
      </c>
      <c r="H339">
        <v>396</v>
      </c>
      <c r="I339">
        <v>396</v>
      </c>
      <c r="J339" t="s">
        <v>3573</v>
      </c>
      <c r="K339">
        <v>396</v>
      </c>
      <c r="L339">
        <v>396</v>
      </c>
      <c r="M339">
        <v>704</v>
      </c>
      <c r="N339">
        <v>704</v>
      </c>
      <c r="O339">
        <v>0</v>
      </c>
      <c r="P339">
        <v>0</v>
      </c>
    </row>
    <row r="340" spans="1:16" hidden="1" x14ac:dyDescent="0.25">
      <c r="A340" t="s">
        <v>988</v>
      </c>
      <c r="B340">
        <v>0.64</v>
      </c>
      <c r="C340">
        <v>704</v>
      </c>
      <c r="D340">
        <v>704</v>
      </c>
      <c r="E340">
        <v>0.36</v>
      </c>
      <c r="H340">
        <v>396</v>
      </c>
      <c r="I340">
        <v>396</v>
      </c>
      <c r="J340" t="s">
        <v>3573</v>
      </c>
      <c r="K340">
        <v>396</v>
      </c>
      <c r="L340">
        <v>396</v>
      </c>
      <c r="M340">
        <v>704</v>
      </c>
      <c r="N340">
        <v>704</v>
      </c>
      <c r="O340">
        <v>687</v>
      </c>
      <c r="P340">
        <v>385</v>
      </c>
    </row>
    <row r="341" spans="1:16" hidden="1" x14ac:dyDescent="0.25">
      <c r="A341" t="s">
        <v>991</v>
      </c>
      <c r="B341">
        <v>0.64</v>
      </c>
      <c r="C341">
        <v>704</v>
      </c>
      <c r="D341">
        <v>704</v>
      </c>
      <c r="E341">
        <v>0.36</v>
      </c>
      <c r="H341">
        <v>396</v>
      </c>
      <c r="I341">
        <v>396</v>
      </c>
      <c r="J341" t="s">
        <v>3573</v>
      </c>
      <c r="K341">
        <v>396</v>
      </c>
      <c r="L341">
        <v>396</v>
      </c>
      <c r="M341">
        <v>704</v>
      </c>
      <c r="N341">
        <v>704</v>
      </c>
      <c r="O341">
        <v>0</v>
      </c>
      <c r="P341">
        <v>0</v>
      </c>
    </row>
    <row r="342" spans="1:16" hidden="1" x14ac:dyDescent="0.25">
      <c r="A342" t="s">
        <v>994</v>
      </c>
      <c r="B342">
        <v>0.64</v>
      </c>
      <c r="C342">
        <v>563</v>
      </c>
      <c r="D342">
        <v>563</v>
      </c>
      <c r="E342">
        <v>0.36</v>
      </c>
      <c r="H342">
        <v>317</v>
      </c>
      <c r="I342">
        <v>317</v>
      </c>
      <c r="J342" t="s">
        <v>3573</v>
      </c>
      <c r="K342">
        <v>317</v>
      </c>
      <c r="L342">
        <v>316.8</v>
      </c>
      <c r="M342">
        <v>563</v>
      </c>
      <c r="N342">
        <v>563</v>
      </c>
      <c r="O342">
        <v>564</v>
      </c>
      <c r="P342">
        <v>316</v>
      </c>
    </row>
    <row r="343" spans="1:16" hidden="1" x14ac:dyDescent="0.25">
      <c r="A343" t="s">
        <v>997</v>
      </c>
      <c r="B343">
        <v>0.64</v>
      </c>
      <c r="C343">
        <v>704</v>
      </c>
      <c r="D343">
        <v>704</v>
      </c>
      <c r="E343">
        <v>0.36</v>
      </c>
      <c r="H343">
        <v>396</v>
      </c>
      <c r="I343">
        <v>396</v>
      </c>
      <c r="J343" t="s">
        <v>3573</v>
      </c>
      <c r="K343">
        <v>396</v>
      </c>
      <c r="L343">
        <v>396</v>
      </c>
      <c r="M343">
        <v>704</v>
      </c>
      <c r="N343">
        <v>704</v>
      </c>
      <c r="O343">
        <v>0</v>
      </c>
      <c r="P343">
        <v>0</v>
      </c>
    </row>
    <row r="344" spans="1:16" hidden="1" x14ac:dyDescent="0.25">
      <c r="A344" t="s">
        <v>1000</v>
      </c>
      <c r="B344">
        <v>0.64</v>
      </c>
      <c r="C344">
        <v>704</v>
      </c>
      <c r="D344">
        <v>704</v>
      </c>
      <c r="E344">
        <v>0.36</v>
      </c>
      <c r="H344">
        <v>396</v>
      </c>
      <c r="I344">
        <v>396</v>
      </c>
      <c r="J344" t="s">
        <v>3573</v>
      </c>
      <c r="K344">
        <v>396</v>
      </c>
      <c r="L344">
        <v>396</v>
      </c>
      <c r="M344">
        <v>704</v>
      </c>
      <c r="N344">
        <v>704</v>
      </c>
      <c r="O344">
        <v>248</v>
      </c>
      <c r="P344">
        <v>139</v>
      </c>
    </row>
    <row r="345" spans="1:16" hidden="1" x14ac:dyDescent="0.25">
      <c r="A345" t="s">
        <v>1003</v>
      </c>
      <c r="B345">
        <v>1</v>
      </c>
      <c r="C345">
        <v>1100</v>
      </c>
      <c r="D345">
        <v>1100</v>
      </c>
      <c r="I345">
        <v>0</v>
      </c>
      <c r="J345" t="s">
        <v>3574</v>
      </c>
      <c r="K345">
        <v>0</v>
      </c>
      <c r="L345">
        <v>0</v>
      </c>
      <c r="M345">
        <v>1100</v>
      </c>
      <c r="N345">
        <v>1100</v>
      </c>
      <c r="O345">
        <v>908</v>
      </c>
      <c r="P345">
        <v>0</v>
      </c>
    </row>
    <row r="346" spans="1:16" hidden="1" x14ac:dyDescent="0.25">
      <c r="A346" t="s">
        <v>1006</v>
      </c>
      <c r="B346">
        <v>1</v>
      </c>
      <c r="C346">
        <v>3300</v>
      </c>
      <c r="D346">
        <v>3300</v>
      </c>
      <c r="I346">
        <v>0</v>
      </c>
      <c r="J346" t="s">
        <v>3574</v>
      </c>
      <c r="K346">
        <v>0</v>
      </c>
      <c r="L346">
        <v>0</v>
      </c>
      <c r="M346">
        <v>3300</v>
      </c>
      <c r="N346">
        <v>3300</v>
      </c>
      <c r="O346">
        <v>0</v>
      </c>
      <c r="P346">
        <v>0</v>
      </c>
    </row>
    <row r="347" spans="1:16" hidden="1" x14ac:dyDescent="0.25">
      <c r="A347" t="s">
        <v>1010</v>
      </c>
      <c r="B347">
        <v>1</v>
      </c>
      <c r="C347">
        <v>1100</v>
      </c>
      <c r="D347">
        <v>1100</v>
      </c>
      <c r="I347">
        <v>0</v>
      </c>
      <c r="J347" t="s">
        <v>3574</v>
      </c>
      <c r="K347">
        <v>0</v>
      </c>
      <c r="L347">
        <v>0</v>
      </c>
      <c r="M347">
        <v>1100</v>
      </c>
      <c r="N347">
        <v>1100</v>
      </c>
      <c r="O347">
        <v>1100</v>
      </c>
      <c r="P347">
        <v>0</v>
      </c>
    </row>
    <row r="348" spans="1:16" hidden="1" x14ac:dyDescent="0.25">
      <c r="A348" t="s">
        <v>1013</v>
      </c>
      <c r="B348">
        <v>1</v>
      </c>
      <c r="C348">
        <v>500</v>
      </c>
      <c r="D348">
        <v>500</v>
      </c>
      <c r="I348">
        <v>0</v>
      </c>
      <c r="J348" t="s">
        <v>3574</v>
      </c>
      <c r="K348">
        <v>0</v>
      </c>
      <c r="L348">
        <v>0</v>
      </c>
      <c r="M348">
        <v>500</v>
      </c>
      <c r="N348">
        <v>500</v>
      </c>
      <c r="O348">
        <v>500</v>
      </c>
      <c r="P348">
        <v>0</v>
      </c>
    </row>
    <row r="349" spans="1:16" hidden="1" x14ac:dyDescent="0.25">
      <c r="A349" t="s">
        <v>1016</v>
      </c>
      <c r="B349">
        <v>1</v>
      </c>
      <c r="C349">
        <v>1320</v>
      </c>
      <c r="D349">
        <v>1320</v>
      </c>
      <c r="E349">
        <v>0</v>
      </c>
      <c r="H349">
        <v>0</v>
      </c>
      <c r="I349">
        <v>0</v>
      </c>
      <c r="J349" t="s">
        <v>3573</v>
      </c>
      <c r="K349">
        <v>0</v>
      </c>
      <c r="L349">
        <v>0</v>
      </c>
      <c r="M349">
        <v>1320</v>
      </c>
      <c r="N349">
        <v>1320</v>
      </c>
      <c r="O349">
        <v>1269</v>
      </c>
      <c r="P349">
        <v>0</v>
      </c>
    </row>
    <row r="350" spans="1:16" hidden="1" x14ac:dyDescent="0.25">
      <c r="A350" t="s">
        <v>1017</v>
      </c>
      <c r="B350">
        <v>1</v>
      </c>
      <c r="C350">
        <v>1650</v>
      </c>
      <c r="D350">
        <v>1650</v>
      </c>
      <c r="I350">
        <v>0</v>
      </c>
      <c r="J350" t="s">
        <v>3574</v>
      </c>
      <c r="K350">
        <v>0</v>
      </c>
      <c r="L350">
        <v>0</v>
      </c>
      <c r="M350">
        <v>1650</v>
      </c>
      <c r="N350">
        <v>1650</v>
      </c>
      <c r="O350">
        <v>1591</v>
      </c>
      <c r="P350">
        <v>0</v>
      </c>
    </row>
    <row r="351" spans="1:16" hidden="1" x14ac:dyDescent="0.25">
      <c r="A351" t="s">
        <v>1020</v>
      </c>
      <c r="B351">
        <v>1</v>
      </c>
      <c r="C351">
        <v>1100</v>
      </c>
      <c r="D351">
        <v>1100</v>
      </c>
      <c r="I351">
        <v>0</v>
      </c>
      <c r="J351" t="s">
        <v>3574</v>
      </c>
      <c r="K351">
        <v>0</v>
      </c>
      <c r="L351">
        <v>0</v>
      </c>
      <c r="M351">
        <v>1100</v>
      </c>
      <c r="N351">
        <v>1100</v>
      </c>
      <c r="O351">
        <v>1087</v>
      </c>
      <c r="P351">
        <v>0</v>
      </c>
    </row>
    <row r="352" spans="1:16" hidden="1" x14ac:dyDescent="0.25">
      <c r="A352" t="s">
        <v>1024</v>
      </c>
      <c r="B352">
        <v>1</v>
      </c>
      <c r="C352">
        <v>1360</v>
      </c>
      <c r="D352">
        <v>1360</v>
      </c>
      <c r="I352">
        <v>0</v>
      </c>
      <c r="J352" t="s">
        <v>3574</v>
      </c>
      <c r="K352">
        <v>0</v>
      </c>
      <c r="L352">
        <v>0</v>
      </c>
      <c r="M352">
        <v>1360</v>
      </c>
      <c r="N352">
        <v>1360</v>
      </c>
      <c r="O352">
        <v>1350</v>
      </c>
      <c r="P352">
        <v>0</v>
      </c>
    </row>
    <row r="353" spans="1:16" hidden="1" x14ac:dyDescent="0.25">
      <c r="A353" t="s">
        <v>1028</v>
      </c>
      <c r="B353">
        <v>1</v>
      </c>
      <c r="C353">
        <v>1100</v>
      </c>
      <c r="D353">
        <v>1100</v>
      </c>
      <c r="I353">
        <v>0</v>
      </c>
      <c r="J353" t="s">
        <v>3574</v>
      </c>
      <c r="K353">
        <v>0</v>
      </c>
      <c r="L353">
        <v>0</v>
      </c>
      <c r="M353">
        <v>1100</v>
      </c>
      <c r="N353">
        <v>1100</v>
      </c>
      <c r="O353">
        <v>688</v>
      </c>
      <c r="P353">
        <v>0</v>
      </c>
    </row>
    <row r="354" spans="1:16" hidden="1" x14ac:dyDescent="0.25">
      <c r="A354" t="s">
        <v>1031</v>
      </c>
      <c r="B354">
        <v>1</v>
      </c>
      <c r="C354">
        <v>2200</v>
      </c>
      <c r="D354">
        <v>2200</v>
      </c>
      <c r="I354">
        <v>0</v>
      </c>
      <c r="J354" t="s">
        <v>3574</v>
      </c>
      <c r="K354">
        <v>0</v>
      </c>
      <c r="L354">
        <v>0</v>
      </c>
      <c r="M354">
        <v>2200</v>
      </c>
      <c r="N354">
        <v>2200</v>
      </c>
      <c r="O354">
        <v>2200</v>
      </c>
      <c r="P354">
        <v>0</v>
      </c>
    </row>
    <row r="355" spans="1:16" hidden="1" x14ac:dyDescent="0.25">
      <c r="A355" t="s">
        <v>1034</v>
      </c>
      <c r="B355">
        <v>1</v>
      </c>
      <c r="C355">
        <v>550</v>
      </c>
      <c r="D355">
        <v>550</v>
      </c>
      <c r="I355">
        <v>0</v>
      </c>
      <c r="J355" t="s">
        <v>3574</v>
      </c>
      <c r="K355">
        <v>0</v>
      </c>
      <c r="L355">
        <v>0</v>
      </c>
      <c r="M355">
        <v>550</v>
      </c>
      <c r="N355">
        <v>550</v>
      </c>
      <c r="O355">
        <v>422</v>
      </c>
      <c r="P355">
        <v>0</v>
      </c>
    </row>
    <row r="356" spans="1:16" hidden="1" x14ac:dyDescent="0.25">
      <c r="A356" t="s">
        <v>1035</v>
      </c>
      <c r="B356">
        <v>1</v>
      </c>
      <c r="C356">
        <v>440</v>
      </c>
      <c r="D356">
        <v>440</v>
      </c>
      <c r="I356">
        <v>0</v>
      </c>
      <c r="J356" t="s">
        <v>3574</v>
      </c>
      <c r="K356">
        <v>0</v>
      </c>
      <c r="L356">
        <v>0</v>
      </c>
      <c r="M356">
        <v>440</v>
      </c>
      <c r="N356">
        <v>440</v>
      </c>
      <c r="O356">
        <v>180</v>
      </c>
      <c r="P356">
        <v>0</v>
      </c>
    </row>
    <row r="357" spans="1:16" hidden="1" x14ac:dyDescent="0.25">
      <c r="A357" t="s">
        <v>1036</v>
      </c>
      <c r="B357">
        <v>1</v>
      </c>
      <c r="C357">
        <v>1100</v>
      </c>
      <c r="D357">
        <v>1100</v>
      </c>
      <c r="I357">
        <v>0</v>
      </c>
      <c r="J357" t="s">
        <v>3574</v>
      </c>
      <c r="K357">
        <v>0</v>
      </c>
      <c r="L357">
        <v>0</v>
      </c>
      <c r="M357">
        <v>1100</v>
      </c>
      <c r="N357">
        <v>1100</v>
      </c>
      <c r="O357">
        <v>1100</v>
      </c>
      <c r="P357">
        <v>0</v>
      </c>
    </row>
    <row r="358" spans="1:16" hidden="1" x14ac:dyDescent="0.25">
      <c r="A358" t="s">
        <v>1039</v>
      </c>
      <c r="B358">
        <v>1</v>
      </c>
      <c r="C358">
        <v>1100</v>
      </c>
      <c r="D358">
        <v>1100</v>
      </c>
      <c r="I358">
        <v>0</v>
      </c>
      <c r="J358" t="s">
        <v>3574</v>
      </c>
      <c r="K358">
        <v>0</v>
      </c>
      <c r="L358">
        <v>0</v>
      </c>
      <c r="M358">
        <v>1100</v>
      </c>
      <c r="N358">
        <v>1100</v>
      </c>
      <c r="O358">
        <v>1089</v>
      </c>
      <c r="P358">
        <v>0</v>
      </c>
    </row>
    <row r="359" spans="1:16" hidden="1" x14ac:dyDescent="0.25">
      <c r="A359" t="s">
        <v>1043</v>
      </c>
      <c r="B359">
        <v>1</v>
      </c>
      <c r="C359">
        <v>5500</v>
      </c>
      <c r="D359">
        <v>5500</v>
      </c>
      <c r="I359">
        <v>0</v>
      </c>
      <c r="J359" t="s">
        <v>3574</v>
      </c>
      <c r="K359">
        <v>0</v>
      </c>
      <c r="L359">
        <v>0</v>
      </c>
      <c r="M359">
        <v>5500</v>
      </c>
      <c r="N359">
        <v>5500</v>
      </c>
      <c r="O359">
        <v>0</v>
      </c>
      <c r="P359">
        <v>0</v>
      </c>
    </row>
    <row r="360" spans="1:16" hidden="1" x14ac:dyDescent="0.25">
      <c r="A360" t="s">
        <v>1046</v>
      </c>
      <c r="B360">
        <v>1</v>
      </c>
      <c r="C360">
        <v>2200</v>
      </c>
      <c r="D360">
        <v>2200</v>
      </c>
      <c r="I360">
        <v>0</v>
      </c>
      <c r="J360" t="s">
        <v>3574</v>
      </c>
      <c r="K360">
        <v>0</v>
      </c>
      <c r="L360">
        <v>0</v>
      </c>
      <c r="M360">
        <v>2200</v>
      </c>
      <c r="N360">
        <v>2200</v>
      </c>
      <c r="O360">
        <v>1439</v>
      </c>
      <c r="P360">
        <v>0</v>
      </c>
    </row>
    <row r="361" spans="1:16" hidden="1" x14ac:dyDescent="0.25">
      <c r="A361" t="s">
        <v>1049</v>
      </c>
      <c r="B361">
        <v>1</v>
      </c>
      <c r="C361">
        <v>1100</v>
      </c>
      <c r="D361">
        <v>1100</v>
      </c>
      <c r="I361">
        <v>0</v>
      </c>
      <c r="J361" t="s">
        <v>3574</v>
      </c>
      <c r="K361">
        <v>0</v>
      </c>
      <c r="L361">
        <v>0</v>
      </c>
      <c r="M361">
        <v>1100</v>
      </c>
      <c r="N361">
        <v>1100</v>
      </c>
      <c r="O361">
        <v>679</v>
      </c>
      <c r="P361">
        <v>0</v>
      </c>
    </row>
    <row r="362" spans="1:16" hidden="1" x14ac:dyDescent="0.25">
      <c r="A362" t="s">
        <v>1053</v>
      </c>
      <c r="B362">
        <v>1</v>
      </c>
      <c r="C362">
        <v>1100</v>
      </c>
      <c r="D362">
        <v>1100</v>
      </c>
      <c r="I362">
        <v>0</v>
      </c>
      <c r="J362" t="s">
        <v>3574</v>
      </c>
      <c r="K362">
        <v>0</v>
      </c>
      <c r="L362">
        <v>0</v>
      </c>
      <c r="M362">
        <v>1100</v>
      </c>
      <c r="N362">
        <v>1100</v>
      </c>
      <c r="O362">
        <v>1100</v>
      </c>
      <c r="P362">
        <v>0</v>
      </c>
    </row>
    <row r="363" spans="1:16" hidden="1" x14ac:dyDescent="0.25">
      <c r="A363" t="s">
        <v>1056</v>
      </c>
      <c r="B363">
        <v>1</v>
      </c>
      <c r="C363">
        <v>1100</v>
      </c>
      <c r="D363">
        <v>1100</v>
      </c>
      <c r="I363">
        <v>0</v>
      </c>
      <c r="J363" t="s">
        <v>3574</v>
      </c>
      <c r="K363">
        <v>0</v>
      </c>
      <c r="L363">
        <v>0</v>
      </c>
      <c r="M363">
        <v>1100</v>
      </c>
      <c r="N363">
        <v>1100</v>
      </c>
      <c r="O363">
        <v>853</v>
      </c>
      <c r="P363">
        <v>0</v>
      </c>
    </row>
    <row r="364" spans="1:16" hidden="1" x14ac:dyDescent="0.25">
      <c r="A364" t="s">
        <v>1060</v>
      </c>
      <c r="B364">
        <v>1</v>
      </c>
      <c r="C364">
        <v>1100</v>
      </c>
      <c r="D364">
        <v>1100</v>
      </c>
      <c r="I364">
        <v>0</v>
      </c>
      <c r="J364" t="s">
        <v>3574</v>
      </c>
      <c r="K364">
        <v>0</v>
      </c>
      <c r="L364">
        <v>0</v>
      </c>
      <c r="M364">
        <v>1100</v>
      </c>
      <c r="N364">
        <v>1100</v>
      </c>
      <c r="O364">
        <v>1100</v>
      </c>
      <c r="P364">
        <v>0</v>
      </c>
    </row>
    <row r="365" spans="1:16" hidden="1" x14ac:dyDescent="0.25">
      <c r="A365" t="s">
        <v>1063</v>
      </c>
      <c r="B365">
        <v>1</v>
      </c>
      <c r="C365">
        <v>1100</v>
      </c>
      <c r="D365">
        <v>1100</v>
      </c>
      <c r="I365">
        <v>0</v>
      </c>
      <c r="J365" t="s">
        <v>3574</v>
      </c>
      <c r="K365">
        <v>0</v>
      </c>
      <c r="L365">
        <v>0</v>
      </c>
      <c r="M365">
        <v>1100</v>
      </c>
      <c r="N365">
        <v>1100</v>
      </c>
      <c r="O365">
        <v>0</v>
      </c>
      <c r="P365">
        <v>0</v>
      </c>
    </row>
    <row r="366" spans="1:16" hidden="1" x14ac:dyDescent="0.25">
      <c r="A366" t="s">
        <v>1067</v>
      </c>
      <c r="B366">
        <v>1</v>
      </c>
      <c r="C366">
        <v>1100</v>
      </c>
      <c r="D366">
        <v>1100</v>
      </c>
      <c r="I366">
        <v>0</v>
      </c>
      <c r="J366" t="s">
        <v>3574</v>
      </c>
      <c r="K366">
        <v>0</v>
      </c>
      <c r="L366">
        <v>0</v>
      </c>
      <c r="M366">
        <v>1100</v>
      </c>
      <c r="N366">
        <v>1100</v>
      </c>
      <c r="O366">
        <v>1090</v>
      </c>
      <c r="P366">
        <v>0</v>
      </c>
    </row>
    <row r="367" spans="1:16" hidden="1" x14ac:dyDescent="0.25">
      <c r="A367" t="s">
        <v>1070</v>
      </c>
      <c r="B367">
        <v>1</v>
      </c>
      <c r="C367">
        <v>1100</v>
      </c>
      <c r="D367">
        <v>1100</v>
      </c>
      <c r="I367">
        <v>0</v>
      </c>
      <c r="J367" t="s">
        <v>3574</v>
      </c>
      <c r="K367">
        <v>0</v>
      </c>
      <c r="L367">
        <v>0</v>
      </c>
      <c r="M367">
        <v>1100</v>
      </c>
      <c r="N367">
        <v>1100</v>
      </c>
      <c r="O367">
        <v>1045</v>
      </c>
      <c r="P367">
        <v>0</v>
      </c>
    </row>
    <row r="368" spans="1:16" hidden="1" x14ac:dyDescent="0.25">
      <c r="A368" t="s">
        <v>1073</v>
      </c>
      <c r="B368">
        <v>1</v>
      </c>
      <c r="C368">
        <v>1090</v>
      </c>
      <c r="D368">
        <v>1090</v>
      </c>
      <c r="I368">
        <v>0</v>
      </c>
      <c r="J368" t="s">
        <v>3574</v>
      </c>
      <c r="K368">
        <v>0</v>
      </c>
      <c r="L368">
        <v>0</v>
      </c>
      <c r="M368">
        <v>1090</v>
      </c>
      <c r="N368">
        <v>1090</v>
      </c>
      <c r="O368">
        <v>1043</v>
      </c>
      <c r="P368">
        <v>0</v>
      </c>
    </row>
    <row r="369" spans="1:16" hidden="1" x14ac:dyDescent="0.25">
      <c r="A369" t="s">
        <v>1076</v>
      </c>
      <c r="B369">
        <v>1</v>
      </c>
      <c r="C369">
        <v>750</v>
      </c>
      <c r="D369">
        <v>750</v>
      </c>
      <c r="I369">
        <v>0</v>
      </c>
      <c r="J369" t="s">
        <v>3574</v>
      </c>
      <c r="K369">
        <v>0</v>
      </c>
      <c r="L369">
        <v>0</v>
      </c>
      <c r="M369">
        <v>750</v>
      </c>
      <c r="N369">
        <v>750</v>
      </c>
      <c r="O369">
        <v>724</v>
      </c>
      <c r="P369">
        <v>0</v>
      </c>
    </row>
    <row r="370" spans="1:16" hidden="1" x14ac:dyDescent="0.25">
      <c r="A370" t="s">
        <v>1079</v>
      </c>
      <c r="B370">
        <v>1</v>
      </c>
      <c r="C370">
        <v>2200</v>
      </c>
      <c r="D370">
        <v>2200</v>
      </c>
      <c r="I370">
        <v>0</v>
      </c>
      <c r="J370" t="s">
        <v>3574</v>
      </c>
      <c r="K370">
        <v>0</v>
      </c>
      <c r="L370">
        <v>0</v>
      </c>
      <c r="M370">
        <v>2200</v>
      </c>
      <c r="N370">
        <v>2200</v>
      </c>
      <c r="O370">
        <v>1914</v>
      </c>
      <c r="P370">
        <v>0</v>
      </c>
    </row>
    <row r="371" spans="1:16" hidden="1" x14ac:dyDescent="0.25">
      <c r="A371" t="s">
        <v>1083</v>
      </c>
      <c r="B371">
        <v>1</v>
      </c>
      <c r="C371">
        <v>1100</v>
      </c>
      <c r="D371">
        <v>1100</v>
      </c>
      <c r="I371">
        <v>0</v>
      </c>
      <c r="J371" t="s">
        <v>3574</v>
      </c>
      <c r="K371">
        <v>0</v>
      </c>
      <c r="L371">
        <v>0</v>
      </c>
      <c r="M371">
        <v>1100</v>
      </c>
      <c r="N371">
        <v>1100</v>
      </c>
      <c r="O371">
        <v>792</v>
      </c>
      <c r="P371">
        <v>0</v>
      </c>
    </row>
    <row r="372" spans="1:16" hidden="1" x14ac:dyDescent="0.25">
      <c r="A372" t="s">
        <v>1086</v>
      </c>
      <c r="B372">
        <v>1</v>
      </c>
      <c r="C372">
        <v>2130</v>
      </c>
      <c r="D372">
        <v>2130</v>
      </c>
      <c r="I372">
        <v>0</v>
      </c>
      <c r="J372" t="s">
        <v>3574</v>
      </c>
      <c r="K372">
        <v>0</v>
      </c>
      <c r="L372">
        <v>0</v>
      </c>
      <c r="M372">
        <v>2130</v>
      </c>
      <c r="N372">
        <v>2130</v>
      </c>
      <c r="O372">
        <v>2130</v>
      </c>
      <c r="P372">
        <v>0</v>
      </c>
    </row>
    <row r="373" spans="1:16" hidden="1" x14ac:dyDescent="0.25">
      <c r="A373" t="s">
        <v>1089</v>
      </c>
      <c r="B373">
        <v>1</v>
      </c>
      <c r="C373">
        <v>5300</v>
      </c>
      <c r="D373">
        <v>5300</v>
      </c>
      <c r="I373">
        <v>0</v>
      </c>
      <c r="J373" t="s">
        <v>3574</v>
      </c>
      <c r="K373">
        <v>0</v>
      </c>
      <c r="L373">
        <v>0</v>
      </c>
      <c r="M373">
        <v>5300</v>
      </c>
      <c r="N373">
        <v>5300</v>
      </c>
      <c r="O373">
        <v>5300</v>
      </c>
      <c r="P373">
        <v>0</v>
      </c>
    </row>
    <row r="374" spans="1:16" hidden="1" x14ac:dyDescent="0.25">
      <c r="A374" t="s">
        <v>1092</v>
      </c>
      <c r="B374">
        <v>1</v>
      </c>
      <c r="C374">
        <v>1100</v>
      </c>
      <c r="D374">
        <v>1100</v>
      </c>
      <c r="I374">
        <v>0</v>
      </c>
      <c r="J374" t="s">
        <v>3574</v>
      </c>
      <c r="K374">
        <v>0</v>
      </c>
      <c r="L374">
        <v>0</v>
      </c>
      <c r="M374">
        <v>1100</v>
      </c>
      <c r="N374">
        <v>1100</v>
      </c>
      <c r="O374">
        <v>220</v>
      </c>
      <c r="P374">
        <v>0</v>
      </c>
    </row>
    <row r="375" spans="1:16" hidden="1" x14ac:dyDescent="0.25">
      <c r="A375" t="s">
        <v>1095</v>
      </c>
      <c r="B375">
        <v>1</v>
      </c>
      <c r="C375">
        <v>3850</v>
      </c>
      <c r="D375">
        <v>3850</v>
      </c>
      <c r="I375">
        <v>0</v>
      </c>
      <c r="J375" t="s">
        <v>3574</v>
      </c>
      <c r="K375">
        <v>0</v>
      </c>
      <c r="L375">
        <v>0</v>
      </c>
      <c r="M375">
        <v>3850</v>
      </c>
      <c r="N375">
        <v>3850</v>
      </c>
      <c r="O375">
        <v>3769</v>
      </c>
      <c r="P375">
        <v>0</v>
      </c>
    </row>
    <row r="376" spans="1:16" hidden="1" x14ac:dyDescent="0.25">
      <c r="A376" t="s">
        <v>1098</v>
      </c>
      <c r="B376">
        <v>1</v>
      </c>
      <c r="C376">
        <v>1619</v>
      </c>
      <c r="D376">
        <v>1619</v>
      </c>
      <c r="I376">
        <v>0</v>
      </c>
      <c r="J376" t="s">
        <v>3574</v>
      </c>
      <c r="K376">
        <v>0</v>
      </c>
      <c r="L376">
        <v>0</v>
      </c>
      <c r="M376">
        <v>1619</v>
      </c>
      <c r="N376">
        <v>1619</v>
      </c>
      <c r="O376">
        <v>1579</v>
      </c>
      <c r="P376">
        <v>0</v>
      </c>
    </row>
    <row r="377" spans="1:16" hidden="1" x14ac:dyDescent="0.25">
      <c r="A377" t="s">
        <v>1101</v>
      </c>
      <c r="B377">
        <v>1</v>
      </c>
      <c r="C377">
        <v>1100</v>
      </c>
      <c r="D377">
        <v>1100</v>
      </c>
      <c r="I377">
        <v>0</v>
      </c>
      <c r="J377" t="s">
        <v>3574</v>
      </c>
      <c r="K377">
        <v>0</v>
      </c>
      <c r="L377">
        <v>0</v>
      </c>
      <c r="M377">
        <v>1100</v>
      </c>
      <c r="N377">
        <v>1100</v>
      </c>
      <c r="O377">
        <v>908</v>
      </c>
      <c r="P377">
        <v>0</v>
      </c>
    </row>
    <row r="378" spans="1:16" hidden="1" x14ac:dyDescent="0.25">
      <c r="A378" t="s">
        <v>1104</v>
      </c>
      <c r="B378">
        <v>1</v>
      </c>
      <c r="C378">
        <v>1320</v>
      </c>
      <c r="D378">
        <v>1320</v>
      </c>
      <c r="I378">
        <v>0</v>
      </c>
      <c r="J378" t="s">
        <v>3574</v>
      </c>
      <c r="K378">
        <v>0</v>
      </c>
      <c r="L378">
        <v>0</v>
      </c>
      <c r="M378">
        <v>1320</v>
      </c>
      <c r="N378">
        <v>1320</v>
      </c>
      <c r="O378">
        <v>1089</v>
      </c>
      <c r="P378">
        <v>0</v>
      </c>
    </row>
    <row r="379" spans="1:16" hidden="1" x14ac:dyDescent="0.25">
      <c r="A379" t="s">
        <v>1108</v>
      </c>
      <c r="B379">
        <v>1</v>
      </c>
      <c r="C379">
        <v>380</v>
      </c>
      <c r="D379">
        <v>380</v>
      </c>
      <c r="I379">
        <v>0</v>
      </c>
      <c r="J379" t="s">
        <v>3574</v>
      </c>
      <c r="K379">
        <v>0</v>
      </c>
      <c r="L379">
        <v>0</v>
      </c>
      <c r="M379">
        <v>380</v>
      </c>
      <c r="N379">
        <v>380</v>
      </c>
      <c r="O379">
        <v>355</v>
      </c>
      <c r="P379">
        <v>0</v>
      </c>
    </row>
    <row r="380" spans="1:16" hidden="1" x14ac:dyDescent="0.25">
      <c r="A380" t="s">
        <v>1109</v>
      </c>
      <c r="B380">
        <v>1</v>
      </c>
      <c r="C380">
        <v>1100</v>
      </c>
      <c r="D380">
        <v>1100</v>
      </c>
      <c r="I380">
        <v>0</v>
      </c>
      <c r="J380" t="s">
        <v>3574</v>
      </c>
      <c r="K380">
        <v>0</v>
      </c>
      <c r="L380">
        <v>0</v>
      </c>
      <c r="M380">
        <v>1100</v>
      </c>
      <c r="N380">
        <v>1100</v>
      </c>
      <c r="O380">
        <v>1004</v>
      </c>
      <c r="P380">
        <v>0</v>
      </c>
    </row>
    <row r="381" spans="1:16" hidden="1" x14ac:dyDescent="0.25">
      <c r="A381" t="s">
        <v>1110</v>
      </c>
      <c r="B381">
        <v>1</v>
      </c>
      <c r="C381">
        <v>1100</v>
      </c>
      <c r="D381">
        <v>1100</v>
      </c>
      <c r="I381">
        <v>0</v>
      </c>
      <c r="J381" t="s">
        <v>3574</v>
      </c>
      <c r="K381">
        <v>0</v>
      </c>
      <c r="L381">
        <v>0</v>
      </c>
      <c r="M381">
        <v>1100</v>
      </c>
      <c r="N381">
        <v>1100</v>
      </c>
      <c r="O381">
        <v>0</v>
      </c>
      <c r="P381">
        <v>0</v>
      </c>
    </row>
    <row r="382" spans="1:16" hidden="1" x14ac:dyDescent="0.25">
      <c r="A382" t="s">
        <v>1113</v>
      </c>
      <c r="B382">
        <v>1</v>
      </c>
      <c r="C382">
        <v>1100</v>
      </c>
      <c r="D382">
        <v>1100</v>
      </c>
      <c r="I382">
        <v>0</v>
      </c>
      <c r="J382" t="s">
        <v>3574</v>
      </c>
      <c r="K382">
        <v>0</v>
      </c>
      <c r="L382">
        <v>0</v>
      </c>
      <c r="M382">
        <v>1100</v>
      </c>
      <c r="N382">
        <v>1100</v>
      </c>
      <c r="O382">
        <v>0</v>
      </c>
      <c r="P382">
        <v>0</v>
      </c>
    </row>
    <row r="383" spans="1:16" hidden="1" x14ac:dyDescent="0.25">
      <c r="A383" t="s">
        <v>1117</v>
      </c>
      <c r="B383">
        <v>1</v>
      </c>
      <c r="C383">
        <v>1805</v>
      </c>
      <c r="D383">
        <v>1805</v>
      </c>
      <c r="I383">
        <v>0</v>
      </c>
      <c r="J383" t="s">
        <v>3574</v>
      </c>
      <c r="K383">
        <v>0</v>
      </c>
      <c r="L383">
        <v>0</v>
      </c>
      <c r="M383">
        <v>1805</v>
      </c>
      <c r="N383">
        <v>1805</v>
      </c>
      <c r="O383">
        <v>20</v>
      </c>
      <c r="P383">
        <v>0</v>
      </c>
    </row>
    <row r="384" spans="1:16" hidden="1" x14ac:dyDescent="0.25">
      <c r="A384" t="s">
        <v>1121</v>
      </c>
      <c r="B384">
        <v>1</v>
      </c>
      <c r="C384">
        <v>1100</v>
      </c>
      <c r="D384">
        <v>1100</v>
      </c>
      <c r="I384">
        <v>0</v>
      </c>
      <c r="J384" t="s">
        <v>3574</v>
      </c>
      <c r="K384">
        <v>0</v>
      </c>
      <c r="L384">
        <v>0</v>
      </c>
      <c r="M384">
        <v>1100</v>
      </c>
      <c r="N384">
        <v>1100</v>
      </c>
      <c r="O384">
        <v>1071</v>
      </c>
      <c r="P384">
        <v>0</v>
      </c>
    </row>
    <row r="385" spans="1:16" hidden="1" x14ac:dyDescent="0.25">
      <c r="A385" t="s">
        <v>1124</v>
      </c>
      <c r="B385">
        <v>1</v>
      </c>
      <c r="C385">
        <v>900</v>
      </c>
      <c r="D385">
        <v>900</v>
      </c>
      <c r="I385">
        <v>0</v>
      </c>
      <c r="J385" t="s">
        <v>3574</v>
      </c>
      <c r="K385">
        <v>0</v>
      </c>
      <c r="L385">
        <v>0</v>
      </c>
      <c r="M385">
        <v>900</v>
      </c>
      <c r="N385">
        <v>900</v>
      </c>
      <c r="O385">
        <v>622</v>
      </c>
      <c r="P385">
        <v>0</v>
      </c>
    </row>
    <row r="386" spans="1:16" hidden="1" x14ac:dyDescent="0.25">
      <c r="A386" t="s">
        <v>1125</v>
      </c>
      <c r="B386">
        <v>1</v>
      </c>
      <c r="C386">
        <v>280</v>
      </c>
      <c r="D386">
        <v>280</v>
      </c>
      <c r="I386">
        <v>0</v>
      </c>
      <c r="J386" t="s">
        <v>3574</v>
      </c>
      <c r="K386">
        <v>0</v>
      </c>
      <c r="L386">
        <v>0</v>
      </c>
      <c r="M386">
        <v>280</v>
      </c>
      <c r="N386">
        <v>280</v>
      </c>
      <c r="O386">
        <v>0</v>
      </c>
      <c r="P386">
        <v>0</v>
      </c>
    </row>
    <row r="387" spans="1:16" hidden="1" x14ac:dyDescent="0.25">
      <c r="A387" t="s">
        <v>1126</v>
      </c>
      <c r="B387">
        <v>1</v>
      </c>
      <c r="C387">
        <v>1540</v>
      </c>
      <c r="D387">
        <v>1540</v>
      </c>
      <c r="I387">
        <v>0</v>
      </c>
      <c r="J387" t="s">
        <v>3574</v>
      </c>
      <c r="K387">
        <v>0</v>
      </c>
      <c r="L387">
        <v>0</v>
      </c>
      <c r="M387">
        <v>1540</v>
      </c>
      <c r="N387">
        <v>1540</v>
      </c>
      <c r="O387">
        <v>0</v>
      </c>
      <c r="P387">
        <v>0</v>
      </c>
    </row>
    <row r="388" spans="1:16" hidden="1" x14ac:dyDescent="0.25">
      <c r="A388" t="s">
        <v>1129</v>
      </c>
      <c r="B388">
        <v>1</v>
      </c>
      <c r="C388">
        <v>1100</v>
      </c>
      <c r="D388">
        <v>1100</v>
      </c>
      <c r="I388">
        <v>0</v>
      </c>
      <c r="J388" t="s">
        <v>3574</v>
      </c>
      <c r="K388">
        <v>0</v>
      </c>
      <c r="L388">
        <v>0</v>
      </c>
      <c r="M388">
        <v>1100</v>
      </c>
      <c r="N388">
        <v>1100</v>
      </c>
      <c r="O388">
        <v>272</v>
      </c>
      <c r="P388">
        <v>0</v>
      </c>
    </row>
    <row r="389" spans="1:16" hidden="1" x14ac:dyDescent="0.25">
      <c r="A389" t="s">
        <v>1133</v>
      </c>
      <c r="B389">
        <v>1</v>
      </c>
      <c r="C389">
        <v>1100</v>
      </c>
      <c r="D389">
        <v>1100</v>
      </c>
      <c r="I389">
        <v>0</v>
      </c>
      <c r="J389" t="s">
        <v>3574</v>
      </c>
      <c r="K389">
        <v>0</v>
      </c>
      <c r="L389">
        <v>0</v>
      </c>
      <c r="M389">
        <v>1100</v>
      </c>
      <c r="N389">
        <v>1100</v>
      </c>
      <c r="O389">
        <v>1088</v>
      </c>
      <c r="P389">
        <v>0</v>
      </c>
    </row>
    <row r="390" spans="1:16" hidden="1" x14ac:dyDescent="0.25">
      <c r="A390" t="s">
        <v>1136</v>
      </c>
      <c r="B390">
        <v>1</v>
      </c>
      <c r="C390">
        <v>2800</v>
      </c>
      <c r="D390">
        <v>2800</v>
      </c>
      <c r="I390">
        <v>0</v>
      </c>
      <c r="J390" t="s">
        <v>3574</v>
      </c>
      <c r="K390">
        <v>0</v>
      </c>
      <c r="L390">
        <v>0</v>
      </c>
      <c r="M390">
        <v>2800</v>
      </c>
      <c r="N390">
        <v>2800</v>
      </c>
      <c r="O390">
        <v>1455</v>
      </c>
      <c r="P390">
        <v>0</v>
      </c>
    </row>
    <row r="391" spans="1:16" hidden="1" x14ac:dyDescent="0.25">
      <c r="A391" t="s">
        <v>1140</v>
      </c>
      <c r="B391">
        <v>1</v>
      </c>
      <c r="C391">
        <v>1650</v>
      </c>
      <c r="D391">
        <v>1650</v>
      </c>
      <c r="I391">
        <v>0</v>
      </c>
      <c r="J391" t="s">
        <v>3574</v>
      </c>
      <c r="K391">
        <v>0</v>
      </c>
      <c r="L391">
        <v>0</v>
      </c>
      <c r="M391">
        <v>1650</v>
      </c>
      <c r="N391">
        <v>1650</v>
      </c>
      <c r="O391">
        <v>413</v>
      </c>
      <c r="P391">
        <v>0</v>
      </c>
    </row>
    <row r="392" spans="1:16" hidden="1" x14ac:dyDescent="0.25">
      <c r="A392" t="s">
        <v>1144</v>
      </c>
      <c r="B392">
        <v>1</v>
      </c>
      <c r="C392">
        <v>1210</v>
      </c>
      <c r="D392">
        <v>1210</v>
      </c>
      <c r="I392">
        <v>0</v>
      </c>
      <c r="J392" t="s">
        <v>3574</v>
      </c>
      <c r="K392">
        <v>0</v>
      </c>
      <c r="L392">
        <v>0</v>
      </c>
      <c r="M392">
        <v>1210</v>
      </c>
      <c r="N392">
        <v>1210</v>
      </c>
      <c r="O392">
        <v>359</v>
      </c>
      <c r="P392">
        <v>0</v>
      </c>
    </row>
    <row r="393" spans="1:16" hidden="1" x14ac:dyDescent="0.25">
      <c r="A393" t="s">
        <v>1148</v>
      </c>
      <c r="B393">
        <v>1</v>
      </c>
      <c r="C393">
        <v>1100</v>
      </c>
      <c r="D393">
        <v>1100</v>
      </c>
      <c r="I393">
        <v>0</v>
      </c>
      <c r="J393" t="s">
        <v>3574</v>
      </c>
      <c r="K393">
        <v>0</v>
      </c>
      <c r="L393">
        <v>0</v>
      </c>
      <c r="M393">
        <v>1100</v>
      </c>
      <c r="N393">
        <v>1100</v>
      </c>
      <c r="O393">
        <v>1039</v>
      </c>
      <c r="P393">
        <v>0</v>
      </c>
    </row>
    <row r="394" spans="1:16" hidden="1" x14ac:dyDescent="0.25">
      <c r="A394" t="s">
        <v>1152</v>
      </c>
      <c r="B394">
        <v>1</v>
      </c>
      <c r="C394">
        <v>1100</v>
      </c>
      <c r="D394">
        <v>1100</v>
      </c>
      <c r="I394">
        <v>0</v>
      </c>
      <c r="J394" t="s">
        <v>3574</v>
      </c>
      <c r="K394">
        <v>0</v>
      </c>
      <c r="L394">
        <v>0</v>
      </c>
      <c r="M394">
        <v>1100</v>
      </c>
      <c r="N394">
        <v>1100</v>
      </c>
      <c r="O394">
        <v>607</v>
      </c>
      <c r="P394">
        <v>0</v>
      </c>
    </row>
    <row r="395" spans="1:16" hidden="1" x14ac:dyDescent="0.25">
      <c r="A395" t="s">
        <v>1156</v>
      </c>
      <c r="B395">
        <v>1</v>
      </c>
      <c r="C395">
        <v>880</v>
      </c>
      <c r="D395">
        <v>880</v>
      </c>
      <c r="I395">
        <v>0</v>
      </c>
      <c r="J395" t="s">
        <v>3574</v>
      </c>
      <c r="K395">
        <v>0</v>
      </c>
      <c r="L395">
        <v>0</v>
      </c>
      <c r="M395">
        <v>880</v>
      </c>
      <c r="N395">
        <v>880</v>
      </c>
      <c r="O395">
        <v>704</v>
      </c>
      <c r="P395">
        <v>0</v>
      </c>
    </row>
    <row r="396" spans="1:16" hidden="1" x14ac:dyDescent="0.25">
      <c r="A396" t="s">
        <v>1160</v>
      </c>
      <c r="B396">
        <v>1</v>
      </c>
      <c r="C396">
        <v>1100</v>
      </c>
      <c r="D396">
        <v>1100</v>
      </c>
      <c r="I396">
        <v>0</v>
      </c>
      <c r="J396" t="s">
        <v>3574</v>
      </c>
      <c r="K396">
        <v>0</v>
      </c>
      <c r="L396">
        <v>0</v>
      </c>
      <c r="M396">
        <v>1100</v>
      </c>
      <c r="N396">
        <v>1100</v>
      </c>
      <c r="O396">
        <v>968</v>
      </c>
      <c r="P396">
        <v>0</v>
      </c>
    </row>
    <row r="397" spans="1:16" hidden="1" x14ac:dyDescent="0.25">
      <c r="A397" t="s">
        <v>1164</v>
      </c>
      <c r="B397">
        <v>1</v>
      </c>
      <c r="C397">
        <v>1210</v>
      </c>
      <c r="D397">
        <v>1210</v>
      </c>
      <c r="I397">
        <v>0</v>
      </c>
      <c r="J397" t="s">
        <v>3574</v>
      </c>
      <c r="K397">
        <v>0</v>
      </c>
      <c r="L397">
        <v>0</v>
      </c>
      <c r="M397">
        <v>1210</v>
      </c>
      <c r="N397">
        <v>1210</v>
      </c>
      <c r="O397">
        <v>1161</v>
      </c>
      <c r="P397">
        <v>0</v>
      </c>
    </row>
    <row r="398" spans="1:16" hidden="1" x14ac:dyDescent="0.25">
      <c r="A398" t="s">
        <v>1167</v>
      </c>
      <c r="B398">
        <v>1</v>
      </c>
      <c r="C398">
        <v>330</v>
      </c>
      <c r="D398">
        <v>330</v>
      </c>
      <c r="I398">
        <v>0</v>
      </c>
      <c r="J398" t="s">
        <v>3574</v>
      </c>
      <c r="K398">
        <v>0</v>
      </c>
      <c r="L398">
        <v>0</v>
      </c>
      <c r="M398">
        <v>330</v>
      </c>
      <c r="N398">
        <v>330</v>
      </c>
      <c r="O398">
        <v>0</v>
      </c>
      <c r="P398">
        <v>0</v>
      </c>
    </row>
    <row r="399" spans="1:16" hidden="1" x14ac:dyDescent="0.25">
      <c r="A399" t="s">
        <v>1168</v>
      </c>
      <c r="B399">
        <v>1</v>
      </c>
      <c r="C399">
        <v>1100</v>
      </c>
      <c r="D399">
        <v>1100</v>
      </c>
      <c r="I399">
        <v>0</v>
      </c>
      <c r="J399" t="s">
        <v>3574</v>
      </c>
      <c r="K399">
        <v>0</v>
      </c>
      <c r="L399">
        <v>0</v>
      </c>
      <c r="M399">
        <v>1100</v>
      </c>
      <c r="N399">
        <v>1100</v>
      </c>
      <c r="O399">
        <v>1058</v>
      </c>
      <c r="P399">
        <v>0</v>
      </c>
    </row>
    <row r="400" spans="1:16" hidden="1" x14ac:dyDescent="0.25">
      <c r="A400" t="s">
        <v>1171</v>
      </c>
      <c r="B400">
        <v>1</v>
      </c>
      <c r="C400">
        <v>550</v>
      </c>
      <c r="D400">
        <v>550</v>
      </c>
      <c r="I400">
        <v>0</v>
      </c>
      <c r="J400" t="s">
        <v>3574</v>
      </c>
      <c r="K400">
        <v>0</v>
      </c>
      <c r="L400">
        <v>0</v>
      </c>
      <c r="M400">
        <v>550</v>
      </c>
      <c r="N400">
        <v>550</v>
      </c>
      <c r="O400">
        <v>0</v>
      </c>
      <c r="P400">
        <v>0</v>
      </c>
    </row>
    <row r="401" spans="1:16" hidden="1" x14ac:dyDescent="0.25">
      <c r="A401" t="s">
        <v>1174</v>
      </c>
      <c r="B401">
        <v>1</v>
      </c>
      <c r="C401">
        <v>1100</v>
      </c>
      <c r="D401">
        <v>1100</v>
      </c>
      <c r="I401">
        <v>0</v>
      </c>
      <c r="J401" t="s">
        <v>3574</v>
      </c>
      <c r="K401">
        <v>0</v>
      </c>
      <c r="L401">
        <v>0</v>
      </c>
      <c r="M401">
        <v>1100</v>
      </c>
      <c r="N401">
        <v>1100</v>
      </c>
      <c r="O401">
        <v>0</v>
      </c>
      <c r="P401">
        <v>0</v>
      </c>
    </row>
    <row r="402" spans="1:16" hidden="1" x14ac:dyDescent="0.25">
      <c r="A402" t="s">
        <v>1175</v>
      </c>
      <c r="B402">
        <v>1</v>
      </c>
      <c r="C402">
        <v>1100</v>
      </c>
      <c r="D402">
        <v>1100</v>
      </c>
      <c r="I402">
        <v>0</v>
      </c>
      <c r="J402" t="s">
        <v>3574</v>
      </c>
      <c r="K402">
        <v>0</v>
      </c>
      <c r="L402">
        <v>0</v>
      </c>
      <c r="M402">
        <v>1100</v>
      </c>
      <c r="N402">
        <v>1100</v>
      </c>
      <c r="O402">
        <v>957</v>
      </c>
      <c r="P402">
        <v>0</v>
      </c>
    </row>
    <row r="403" spans="1:16" hidden="1" x14ac:dyDescent="0.25">
      <c r="A403" t="s">
        <v>1179</v>
      </c>
      <c r="B403">
        <v>1</v>
      </c>
      <c r="C403">
        <v>1100</v>
      </c>
      <c r="D403">
        <v>1100</v>
      </c>
      <c r="I403">
        <v>0</v>
      </c>
      <c r="J403" t="s">
        <v>3574</v>
      </c>
      <c r="K403">
        <v>0</v>
      </c>
      <c r="L403">
        <v>0</v>
      </c>
      <c r="M403">
        <v>1100</v>
      </c>
      <c r="N403">
        <v>1100</v>
      </c>
      <c r="O403">
        <v>0</v>
      </c>
      <c r="P403">
        <v>0</v>
      </c>
    </row>
    <row r="404" spans="1:16" hidden="1" x14ac:dyDescent="0.25">
      <c r="A404" t="s">
        <v>1182</v>
      </c>
      <c r="B404">
        <v>1</v>
      </c>
      <c r="C404">
        <v>1100</v>
      </c>
      <c r="D404">
        <v>1100</v>
      </c>
      <c r="I404">
        <v>0</v>
      </c>
      <c r="J404" t="s">
        <v>3574</v>
      </c>
      <c r="K404">
        <v>0</v>
      </c>
      <c r="L404">
        <v>0</v>
      </c>
      <c r="M404">
        <v>1100</v>
      </c>
      <c r="N404">
        <v>1100</v>
      </c>
      <c r="O404">
        <v>0</v>
      </c>
      <c r="P404">
        <v>0</v>
      </c>
    </row>
    <row r="405" spans="1:16" hidden="1" x14ac:dyDescent="0.25">
      <c r="A405" t="s">
        <v>1186</v>
      </c>
      <c r="B405">
        <v>1</v>
      </c>
      <c r="C405">
        <v>1100</v>
      </c>
      <c r="D405">
        <v>1100</v>
      </c>
      <c r="I405">
        <v>0</v>
      </c>
      <c r="J405" t="s">
        <v>3574</v>
      </c>
      <c r="K405">
        <v>0</v>
      </c>
      <c r="L405">
        <v>0</v>
      </c>
      <c r="M405">
        <v>1100</v>
      </c>
      <c r="N405">
        <v>1100</v>
      </c>
      <c r="O405">
        <v>1100</v>
      </c>
      <c r="P405">
        <v>0</v>
      </c>
    </row>
    <row r="406" spans="1:16" hidden="1" x14ac:dyDescent="0.25">
      <c r="A406" t="s">
        <v>1190</v>
      </c>
      <c r="B406">
        <v>1</v>
      </c>
      <c r="C406">
        <v>1100</v>
      </c>
      <c r="D406">
        <v>1100</v>
      </c>
      <c r="I406">
        <v>0</v>
      </c>
      <c r="J406" t="s">
        <v>3574</v>
      </c>
      <c r="K406">
        <v>0</v>
      </c>
      <c r="L406">
        <v>0</v>
      </c>
      <c r="M406">
        <v>1100</v>
      </c>
      <c r="N406">
        <v>1100</v>
      </c>
      <c r="O406">
        <v>998</v>
      </c>
      <c r="P406">
        <v>0</v>
      </c>
    </row>
    <row r="407" spans="1:16" hidden="1" x14ac:dyDescent="0.25">
      <c r="A407" t="s">
        <v>1194</v>
      </c>
      <c r="B407">
        <v>1</v>
      </c>
      <c r="C407">
        <v>1145</v>
      </c>
      <c r="D407">
        <v>1145</v>
      </c>
      <c r="I407">
        <v>0</v>
      </c>
      <c r="J407" t="s">
        <v>3574</v>
      </c>
      <c r="K407">
        <v>0</v>
      </c>
      <c r="L407">
        <v>0</v>
      </c>
      <c r="M407">
        <v>1145</v>
      </c>
      <c r="N407">
        <v>1145</v>
      </c>
      <c r="O407">
        <v>1145</v>
      </c>
      <c r="P407">
        <v>0</v>
      </c>
    </row>
    <row r="408" spans="1:16" hidden="1" x14ac:dyDescent="0.25">
      <c r="A408" t="s">
        <v>1198</v>
      </c>
      <c r="B408">
        <v>1</v>
      </c>
      <c r="C408">
        <v>1100</v>
      </c>
      <c r="D408">
        <v>1100</v>
      </c>
      <c r="I408">
        <v>0</v>
      </c>
      <c r="J408" t="s">
        <v>3574</v>
      </c>
      <c r="K408">
        <v>0</v>
      </c>
      <c r="L408">
        <v>0</v>
      </c>
      <c r="M408">
        <v>1100</v>
      </c>
      <c r="N408">
        <v>1100</v>
      </c>
      <c r="O408">
        <v>595</v>
      </c>
      <c r="P408">
        <v>0</v>
      </c>
    </row>
    <row r="409" spans="1:16" hidden="1" x14ac:dyDescent="0.25">
      <c r="A409" t="s">
        <v>1202</v>
      </c>
      <c r="B409">
        <v>1</v>
      </c>
      <c r="C409">
        <v>1100</v>
      </c>
      <c r="D409">
        <v>1100</v>
      </c>
      <c r="I409">
        <v>0</v>
      </c>
      <c r="J409" t="s">
        <v>3574</v>
      </c>
      <c r="K409">
        <v>0</v>
      </c>
      <c r="L409">
        <v>0</v>
      </c>
      <c r="M409">
        <v>1100</v>
      </c>
      <c r="N409">
        <v>1100</v>
      </c>
      <c r="O409">
        <v>0</v>
      </c>
      <c r="P409">
        <v>0</v>
      </c>
    </row>
    <row r="410" spans="1:16" hidden="1" x14ac:dyDescent="0.25">
      <c r="A410" t="s">
        <v>1203</v>
      </c>
      <c r="B410">
        <v>1</v>
      </c>
      <c r="C410">
        <v>330</v>
      </c>
      <c r="D410">
        <v>330</v>
      </c>
      <c r="I410">
        <v>0</v>
      </c>
      <c r="J410" t="s">
        <v>3574</v>
      </c>
      <c r="K410">
        <v>0</v>
      </c>
      <c r="L410">
        <v>0</v>
      </c>
      <c r="M410">
        <v>330</v>
      </c>
      <c r="N410">
        <v>330</v>
      </c>
      <c r="O410">
        <v>281</v>
      </c>
      <c r="P410">
        <v>0</v>
      </c>
    </row>
    <row r="411" spans="1:16" hidden="1" x14ac:dyDescent="0.25">
      <c r="A411" t="s">
        <v>1204</v>
      </c>
      <c r="B411">
        <v>1</v>
      </c>
      <c r="C411">
        <v>1980</v>
      </c>
      <c r="D411">
        <v>1980</v>
      </c>
      <c r="I411">
        <v>0</v>
      </c>
      <c r="J411" t="s">
        <v>3574</v>
      </c>
      <c r="K411">
        <v>0</v>
      </c>
      <c r="L411">
        <v>0</v>
      </c>
      <c r="M411">
        <v>1980</v>
      </c>
      <c r="N411">
        <v>1980</v>
      </c>
      <c r="O411">
        <v>1775</v>
      </c>
      <c r="P411">
        <v>0</v>
      </c>
    </row>
    <row r="412" spans="1:16" hidden="1" x14ac:dyDescent="0.25">
      <c r="A412" t="s">
        <v>1208</v>
      </c>
      <c r="B412">
        <v>1</v>
      </c>
      <c r="C412">
        <v>880</v>
      </c>
      <c r="D412">
        <v>880</v>
      </c>
      <c r="I412">
        <v>0</v>
      </c>
      <c r="J412" t="s">
        <v>3574</v>
      </c>
      <c r="K412">
        <v>0</v>
      </c>
      <c r="L412">
        <v>0</v>
      </c>
      <c r="M412">
        <v>880</v>
      </c>
      <c r="N412">
        <v>880</v>
      </c>
      <c r="O412">
        <v>219</v>
      </c>
      <c r="P412">
        <v>0</v>
      </c>
    </row>
    <row r="413" spans="1:16" hidden="1" x14ac:dyDescent="0.25">
      <c r="A413" t="s">
        <v>1209</v>
      </c>
      <c r="B413">
        <v>1</v>
      </c>
      <c r="C413">
        <v>1320</v>
      </c>
      <c r="D413">
        <v>1320</v>
      </c>
      <c r="I413">
        <v>0</v>
      </c>
      <c r="J413" t="s">
        <v>3574</v>
      </c>
      <c r="K413">
        <v>0</v>
      </c>
      <c r="L413">
        <v>0</v>
      </c>
      <c r="M413">
        <v>1320</v>
      </c>
      <c r="N413">
        <v>1320</v>
      </c>
      <c r="O413">
        <v>624</v>
      </c>
      <c r="P413">
        <v>0</v>
      </c>
    </row>
    <row r="414" spans="1:16" hidden="1" x14ac:dyDescent="0.25">
      <c r="A414" t="s">
        <v>1213</v>
      </c>
      <c r="B414">
        <v>1</v>
      </c>
      <c r="C414">
        <v>1100</v>
      </c>
      <c r="D414">
        <v>1100</v>
      </c>
      <c r="I414">
        <v>0</v>
      </c>
      <c r="J414" t="s">
        <v>3574</v>
      </c>
      <c r="K414">
        <v>0</v>
      </c>
      <c r="L414">
        <v>0</v>
      </c>
      <c r="M414">
        <v>1100</v>
      </c>
      <c r="N414">
        <v>1100</v>
      </c>
      <c r="O414">
        <v>1069</v>
      </c>
      <c r="P414">
        <v>0</v>
      </c>
    </row>
    <row r="415" spans="1:16" hidden="1" x14ac:dyDescent="0.25">
      <c r="A415" t="s">
        <v>1216</v>
      </c>
      <c r="B415">
        <v>1</v>
      </c>
      <c r="C415">
        <v>1100</v>
      </c>
      <c r="D415">
        <v>1100</v>
      </c>
      <c r="I415">
        <v>0</v>
      </c>
      <c r="J415" t="s">
        <v>3574</v>
      </c>
      <c r="K415">
        <v>0</v>
      </c>
      <c r="L415">
        <v>0</v>
      </c>
      <c r="M415">
        <v>1100</v>
      </c>
      <c r="N415">
        <v>1100</v>
      </c>
      <c r="O415">
        <v>0</v>
      </c>
      <c r="P415">
        <v>0</v>
      </c>
    </row>
    <row r="416" spans="1:16" hidden="1" x14ac:dyDescent="0.25">
      <c r="A416" t="s">
        <v>1220</v>
      </c>
      <c r="B416">
        <v>1</v>
      </c>
      <c r="C416">
        <v>3620</v>
      </c>
      <c r="D416">
        <v>3620</v>
      </c>
      <c r="I416">
        <v>0</v>
      </c>
      <c r="J416" t="s">
        <v>3574</v>
      </c>
      <c r="K416">
        <v>0</v>
      </c>
      <c r="L416">
        <v>0</v>
      </c>
      <c r="M416">
        <v>3620</v>
      </c>
      <c r="N416">
        <v>3620</v>
      </c>
      <c r="O416">
        <v>2572</v>
      </c>
      <c r="P416">
        <v>0</v>
      </c>
    </row>
    <row r="417" spans="1:16" hidden="1" x14ac:dyDescent="0.25">
      <c r="A417" t="s">
        <v>1224</v>
      </c>
      <c r="B417">
        <v>1</v>
      </c>
      <c r="C417">
        <v>1100</v>
      </c>
      <c r="D417">
        <v>1100</v>
      </c>
      <c r="I417">
        <v>0</v>
      </c>
      <c r="J417" t="s">
        <v>3574</v>
      </c>
      <c r="K417">
        <v>0</v>
      </c>
      <c r="L417">
        <v>0</v>
      </c>
      <c r="M417">
        <v>1100</v>
      </c>
      <c r="N417">
        <v>1100</v>
      </c>
      <c r="O417">
        <v>729</v>
      </c>
      <c r="P417">
        <v>0</v>
      </c>
    </row>
    <row r="418" spans="1:16" hidden="1" x14ac:dyDescent="0.25">
      <c r="A418" t="s">
        <v>1228</v>
      </c>
      <c r="B418">
        <v>1</v>
      </c>
      <c r="C418">
        <v>1650</v>
      </c>
      <c r="D418">
        <v>1650</v>
      </c>
      <c r="I418">
        <v>0</v>
      </c>
      <c r="J418" t="s">
        <v>3574</v>
      </c>
      <c r="K418">
        <v>0</v>
      </c>
      <c r="L418">
        <v>0</v>
      </c>
      <c r="M418">
        <v>1650</v>
      </c>
      <c r="N418">
        <v>1650</v>
      </c>
      <c r="O418">
        <v>0</v>
      </c>
      <c r="P418">
        <v>0</v>
      </c>
    </row>
    <row r="419" spans="1:16" hidden="1" x14ac:dyDescent="0.25">
      <c r="A419" t="s">
        <v>1232</v>
      </c>
      <c r="B419">
        <v>1</v>
      </c>
      <c r="C419">
        <v>1100</v>
      </c>
      <c r="D419">
        <v>1100</v>
      </c>
      <c r="I419">
        <v>0</v>
      </c>
      <c r="J419" t="s">
        <v>3574</v>
      </c>
      <c r="K419">
        <v>0</v>
      </c>
      <c r="L419">
        <v>0</v>
      </c>
      <c r="M419">
        <v>1100</v>
      </c>
      <c r="N419">
        <v>1100</v>
      </c>
      <c r="O419">
        <v>1034</v>
      </c>
      <c r="P419">
        <v>0</v>
      </c>
    </row>
    <row r="420" spans="1:16" hidden="1" x14ac:dyDescent="0.25">
      <c r="A420" t="s">
        <v>1235</v>
      </c>
      <c r="B420">
        <v>1</v>
      </c>
      <c r="C420">
        <v>660</v>
      </c>
      <c r="D420">
        <v>660</v>
      </c>
      <c r="I420">
        <v>0</v>
      </c>
      <c r="J420" t="s">
        <v>3574</v>
      </c>
      <c r="K420">
        <v>0</v>
      </c>
      <c r="L420">
        <v>0</v>
      </c>
      <c r="M420">
        <v>660</v>
      </c>
      <c r="N420">
        <v>660</v>
      </c>
      <c r="O420">
        <v>617</v>
      </c>
      <c r="P420">
        <v>0</v>
      </c>
    </row>
    <row r="421" spans="1:16" hidden="1" x14ac:dyDescent="0.25">
      <c r="A421" t="s">
        <v>1238</v>
      </c>
      <c r="B421">
        <v>1</v>
      </c>
      <c r="C421">
        <v>1320</v>
      </c>
      <c r="D421">
        <v>1320</v>
      </c>
      <c r="I421">
        <v>0</v>
      </c>
      <c r="J421" t="s">
        <v>3574</v>
      </c>
      <c r="K421">
        <v>0</v>
      </c>
      <c r="L421">
        <v>0</v>
      </c>
      <c r="M421">
        <v>1320</v>
      </c>
      <c r="N421">
        <v>1320</v>
      </c>
      <c r="O421">
        <v>1245</v>
      </c>
      <c r="P421">
        <v>0</v>
      </c>
    </row>
    <row r="422" spans="1:16" hidden="1" x14ac:dyDescent="0.25">
      <c r="A422" t="s">
        <v>1241</v>
      </c>
      <c r="B422">
        <v>1</v>
      </c>
      <c r="C422">
        <v>550</v>
      </c>
      <c r="D422">
        <v>550</v>
      </c>
      <c r="I422">
        <v>0</v>
      </c>
      <c r="J422" t="s">
        <v>3574</v>
      </c>
      <c r="K422">
        <v>0</v>
      </c>
      <c r="L422">
        <v>0</v>
      </c>
      <c r="M422">
        <v>550</v>
      </c>
      <c r="N422">
        <v>550</v>
      </c>
      <c r="O422">
        <v>0</v>
      </c>
      <c r="P422">
        <v>0</v>
      </c>
    </row>
    <row r="423" spans="1:16" hidden="1" x14ac:dyDescent="0.25">
      <c r="A423" t="s">
        <v>1242</v>
      </c>
      <c r="B423">
        <v>1</v>
      </c>
      <c r="C423">
        <v>1100</v>
      </c>
      <c r="D423">
        <v>1100</v>
      </c>
      <c r="I423">
        <v>0</v>
      </c>
      <c r="J423" t="s">
        <v>3574</v>
      </c>
      <c r="K423">
        <v>0</v>
      </c>
      <c r="L423">
        <v>0</v>
      </c>
      <c r="M423">
        <v>1100</v>
      </c>
      <c r="N423">
        <v>1100</v>
      </c>
      <c r="O423">
        <v>1100</v>
      </c>
      <c r="P423">
        <v>0</v>
      </c>
    </row>
    <row r="424" spans="1:16" hidden="1" x14ac:dyDescent="0.25">
      <c r="A424" t="s">
        <v>1243</v>
      </c>
      <c r="B424">
        <v>1</v>
      </c>
      <c r="C424">
        <v>3829</v>
      </c>
      <c r="D424">
        <v>3829</v>
      </c>
      <c r="I424">
        <v>0</v>
      </c>
      <c r="J424" t="s">
        <v>3574</v>
      </c>
      <c r="K424">
        <v>0</v>
      </c>
      <c r="L424">
        <v>0</v>
      </c>
      <c r="M424">
        <v>3829</v>
      </c>
      <c r="N424">
        <v>3829</v>
      </c>
      <c r="O424">
        <v>3737</v>
      </c>
      <c r="P424">
        <v>0</v>
      </c>
    </row>
    <row r="425" spans="1:16" hidden="1" x14ac:dyDescent="0.25">
      <c r="A425" t="s">
        <v>1246</v>
      </c>
      <c r="B425">
        <v>1</v>
      </c>
      <c r="C425">
        <v>1100</v>
      </c>
      <c r="D425">
        <v>1100</v>
      </c>
      <c r="I425">
        <v>0</v>
      </c>
      <c r="J425" t="s">
        <v>3574</v>
      </c>
      <c r="K425">
        <v>0</v>
      </c>
      <c r="L425">
        <v>0</v>
      </c>
      <c r="M425">
        <v>1100</v>
      </c>
      <c r="N425">
        <v>1100</v>
      </c>
      <c r="O425">
        <v>1073</v>
      </c>
      <c r="P425">
        <v>0</v>
      </c>
    </row>
    <row r="426" spans="1:16" hidden="1" x14ac:dyDescent="0.25">
      <c r="A426" t="s">
        <v>1249</v>
      </c>
      <c r="B426">
        <v>1</v>
      </c>
      <c r="C426">
        <v>1373</v>
      </c>
      <c r="D426">
        <v>1373</v>
      </c>
      <c r="I426">
        <v>0</v>
      </c>
      <c r="J426" t="s">
        <v>3574</v>
      </c>
      <c r="K426">
        <v>0</v>
      </c>
      <c r="L426">
        <v>0</v>
      </c>
      <c r="M426">
        <v>1373</v>
      </c>
      <c r="N426">
        <v>1373</v>
      </c>
      <c r="O426">
        <v>0</v>
      </c>
      <c r="P426">
        <v>0</v>
      </c>
    </row>
    <row r="427" spans="1:16" hidden="1" x14ac:dyDescent="0.25">
      <c r="A427" t="s">
        <v>1252</v>
      </c>
      <c r="B427">
        <v>1</v>
      </c>
      <c r="C427">
        <v>1100</v>
      </c>
      <c r="D427">
        <v>1100</v>
      </c>
      <c r="I427">
        <v>0</v>
      </c>
      <c r="J427" t="s">
        <v>3574</v>
      </c>
      <c r="K427">
        <v>0</v>
      </c>
      <c r="L427">
        <v>0</v>
      </c>
      <c r="M427">
        <v>1100</v>
      </c>
      <c r="N427">
        <v>1100</v>
      </c>
      <c r="O427">
        <v>739</v>
      </c>
      <c r="P427">
        <v>0</v>
      </c>
    </row>
    <row r="428" spans="1:16" hidden="1" x14ac:dyDescent="0.25">
      <c r="A428" t="s">
        <v>1255</v>
      </c>
      <c r="B428">
        <v>1</v>
      </c>
      <c r="C428">
        <v>4400</v>
      </c>
      <c r="D428">
        <v>4400</v>
      </c>
      <c r="I428">
        <v>0</v>
      </c>
      <c r="J428" t="s">
        <v>3574</v>
      </c>
      <c r="K428">
        <v>0</v>
      </c>
      <c r="L428">
        <v>0</v>
      </c>
      <c r="M428">
        <v>4400</v>
      </c>
      <c r="N428">
        <v>4400</v>
      </c>
      <c r="O428">
        <v>2200</v>
      </c>
      <c r="P428">
        <v>0</v>
      </c>
    </row>
    <row r="429" spans="1:16" hidden="1" x14ac:dyDescent="0.25">
      <c r="A429" t="s">
        <v>1256</v>
      </c>
      <c r="B429">
        <v>1</v>
      </c>
      <c r="C429">
        <v>1112</v>
      </c>
      <c r="D429">
        <v>1112</v>
      </c>
      <c r="I429">
        <v>0</v>
      </c>
      <c r="J429" t="s">
        <v>3574</v>
      </c>
      <c r="K429">
        <v>0</v>
      </c>
      <c r="L429">
        <v>0</v>
      </c>
      <c r="M429">
        <v>1112</v>
      </c>
      <c r="N429">
        <v>1112</v>
      </c>
      <c r="O429">
        <v>1112</v>
      </c>
      <c r="P429">
        <v>0</v>
      </c>
    </row>
    <row r="430" spans="1:16" hidden="1" x14ac:dyDescent="0.25">
      <c r="A430" t="s">
        <v>1259</v>
      </c>
      <c r="B430">
        <v>1</v>
      </c>
      <c r="C430">
        <v>1100</v>
      </c>
      <c r="D430">
        <v>1100</v>
      </c>
      <c r="I430">
        <v>0</v>
      </c>
      <c r="J430" t="s">
        <v>3574</v>
      </c>
      <c r="K430">
        <v>0</v>
      </c>
      <c r="L430">
        <v>0</v>
      </c>
      <c r="M430">
        <v>1100</v>
      </c>
      <c r="N430">
        <v>1100</v>
      </c>
      <c r="O430">
        <v>1100</v>
      </c>
      <c r="P430">
        <v>0</v>
      </c>
    </row>
    <row r="431" spans="1:16" hidden="1" x14ac:dyDescent="0.25">
      <c r="A431" t="s">
        <v>1260</v>
      </c>
      <c r="B431">
        <v>1</v>
      </c>
      <c r="C431">
        <v>1100</v>
      </c>
      <c r="D431">
        <v>1100</v>
      </c>
      <c r="I431">
        <v>0</v>
      </c>
      <c r="J431" t="s">
        <v>3574</v>
      </c>
      <c r="K431">
        <v>0</v>
      </c>
      <c r="L431">
        <v>0</v>
      </c>
      <c r="M431">
        <v>1100</v>
      </c>
      <c r="N431">
        <v>1100</v>
      </c>
      <c r="O431">
        <v>1100</v>
      </c>
      <c r="P431">
        <v>0</v>
      </c>
    </row>
    <row r="432" spans="1:16" hidden="1" x14ac:dyDescent="0.25">
      <c r="A432" t="s">
        <v>1264</v>
      </c>
      <c r="B432">
        <v>1</v>
      </c>
      <c r="C432">
        <v>2200</v>
      </c>
      <c r="D432">
        <v>2200</v>
      </c>
      <c r="I432">
        <v>0</v>
      </c>
      <c r="J432" t="s">
        <v>3574</v>
      </c>
      <c r="K432">
        <v>0</v>
      </c>
      <c r="L432">
        <v>0</v>
      </c>
      <c r="M432">
        <v>2200</v>
      </c>
      <c r="N432">
        <v>2200</v>
      </c>
      <c r="O432">
        <v>909</v>
      </c>
      <c r="P432">
        <v>0</v>
      </c>
    </row>
    <row r="433" spans="1:16" hidden="1" x14ac:dyDescent="0.25">
      <c r="A433" t="s">
        <v>1267</v>
      </c>
      <c r="B433">
        <v>1</v>
      </c>
      <c r="C433">
        <v>1980</v>
      </c>
      <c r="D433">
        <v>1980</v>
      </c>
      <c r="I433">
        <v>0</v>
      </c>
      <c r="J433" t="s">
        <v>3574</v>
      </c>
      <c r="K433">
        <v>0</v>
      </c>
      <c r="L433">
        <v>0</v>
      </c>
      <c r="M433">
        <v>1980</v>
      </c>
      <c r="N433">
        <v>1980</v>
      </c>
      <c r="O433">
        <v>1980</v>
      </c>
      <c r="P433">
        <v>0</v>
      </c>
    </row>
    <row r="434" spans="1:16" hidden="1" x14ac:dyDescent="0.25">
      <c r="A434" t="s">
        <v>1270</v>
      </c>
      <c r="B434">
        <v>1</v>
      </c>
      <c r="C434">
        <v>550</v>
      </c>
      <c r="D434">
        <v>550</v>
      </c>
      <c r="I434">
        <v>0</v>
      </c>
      <c r="J434" t="s">
        <v>3574</v>
      </c>
      <c r="K434">
        <v>0</v>
      </c>
      <c r="L434">
        <v>0</v>
      </c>
      <c r="M434">
        <v>550</v>
      </c>
      <c r="N434">
        <v>550</v>
      </c>
      <c r="O434">
        <v>399</v>
      </c>
      <c r="P434">
        <v>0</v>
      </c>
    </row>
    <row r="435" spans="1:16" hidden="1" x14ac:dyDescent="0.25">
      <c r="A435" t="s">
        <v>1271</v>
      </c>
      <c r="B435">
        <v>1</v>
      </c>
      <c r="C435">
        <v>1100</v>
      </c>
      <c r="D435">
        <v>1100</v>
      </c>
      <c r="I435">
        <v>0</v>
      </c>
      <c r="J435" t="s">
        <v>3574</v>
      </c>
      <c r="K435">
        <v>0</v>
      </c>
      <c r="L435">
        <v>0</v>
      </c>
      <c r="M435">
        <v>1100</v>
      </c>
      <c r="N435">
        <v>1100</v>
      </c>
      <c r="O435">
        <v>66</v>
      </c>
      <c r="P435">
        <v>0</v>
      </c>
    </row>
    <row r="436" spans="1:16" hidden="1" x14ac:dyDescent="0.25">
      <c r="A436" t="s">
        <v>1272</v>
      </c>
      <c r="B436">
        <v>1</v>
      </c>
      <c r="C436">
        <v>1100</v>
      </c>
      <c r="D436">
        <v>1100</v>
      </c>
      <c r="I436">
        <v>0</v>
      </c>
      <c r="J436" t="s">
        <v>3574</v>
      </c>
      <c r="K436">
        <v>0</v>
      </c>
      <c r="L436">
        <v>0</v>
      </c>
      <c r="M436">
        <v>1100</v>
      </c>
      <c r="N436">
        <v>1100</v>
      </c>
      <c r="O436">
        <v>726</v>
      </c>
      <c r="P436">
        <v>0</v>
      </c>
    </row>
    <row r="437" spans="1:16" hidden="1" x14ac:dyDescent="0.25">
      <c r="A437" t="s">
        <v>1275</v>
      </c>
      <c r="B437">
        <v>1</v>
      </c>
      <c r="C437">
        <v>1100</v>
      </c>
      <c r="D437">
        <v>1100</v>
      </c>
      <c r="I437">
        <v>0</v>
      </c>
      <c r="J437" t="s">
        <v>3574</v>
      </c>
      <c r="K437">
        <v>0</v>
      </c>
      <c r="L437">
        <v>0</v>
      </c>
      <c r="M437">
        <v>1100</v>
      </c>
      <c r="N437">
        <v>1100</v>
      </c>
      <c r="O437">
        <v>1100</v>
      </c>
      <c r="P437">
        <v>0</v>
      </c>
    </row>
    <row r="438" spans="1:16" hidden="1" x14ac:dyDescent="0.25">
      <c r="A438" t="s">
        <v>1278</v>
      </c>
      <c r="B438">
        <v>1</v>
      </c>
      <c r="C438">
        <v>1650</v>
      </c>
      <c r="D438">
        <v>1650</v>
      </c>
      <c r="I438">
        <v>0</v>
      </c>
      <c r="J438" t="s">
        <v>3574</v>
      </c>
      <c r="K438">
        <v>0</v>
      </c>
      <c r="L438">
        <v>0</v>
      </c>
      <c r="M438">
        <v>1650</v>
      </c>
      <c r="N438">
        <v>1650</v>
      </c>
      <c r="O438">
        <v>1195</v>
      </c>
      <c r="P438">
        <v>0</v>
      </c>
    </row>
    <row r="439" spans="1:16" hidden="1" x14ac:dyDescent="0.25">
      <c r="A439" t="s">
        <v>1281</v>
      </c>
      <c r="B439">
        <v>1</v>
      </c>
      <c r="C439">
        <v>2800</v>
      </c>
      <c r="D439">
        <v>2800</v>
      </c>
      <c r="I439">
        <v>0</v>
      </c>
      <c r="J439" t="s">
        <v>3574</v>
      </c>
      <c r="K439">
        <v>0</v>
      </c>
      <c r="L439">
        <v>0</v>
      </c>
      <c r="M439">
        <v>2800</v>
      </c>
      <c r="N439">
        <v>2800</v>
      </c>
      <c r="O439">
        <v>2520</v>
      </c>
      <c r="P439">
        <v>0</v>
      </c>
    </row>
    <row r="440" spans="1:16" hidden="1" x14ac:dyDescent="0.25">
      <c r="A440" t="s">
        <v>1285</v>
      </c>
      <c r="B440">
        <v>1</v>
      </c>
      <c r="C440">
        <v>1320</v>
      </c>
      <c r="D440">
        <v>1320</v>
      </c>
      <c r="I440">
        <v>0</v>
      </c>
      <c r="J440" t="s">
        <v>3574</v>
      </c>
      <c r="K440">
        <v>0</v>
      </c>
      <c r="L440">
        <v>0</v>
      </c>
      <c r="M440">
        <v>1320</v>
      </c>
      <c r="N440">
        <v>1320</v>
      </c>
      <c r="O440">
        <v>1309</v>
      </c>
      <c r="P440">
        <v>0</v>
      </c>
    </row>
    <row r="441" spans="1:16" hidden="1" x14ac:dyDescent="0.25">
      <c r="A441" t="s">
        <v>1288</v>
      </c>
      <c r="B441">
        <v>1</v>
      </c>
      <c r="C441">
        <v>1100</v>
      </c>
      <c r="D441">
        <v>1100</v>
      </c>
      <c r="I441">
        <v>0</v>
      </c>
      <c r="J441" t="s">
        <v>3574</v>
      </c>
      <c r="K441">
        <v>0</v>
      </c>
      <c r="L441">
        <v>0</v>
      </c>
      <c r="M441">
        <v>1100</v>
      </c>
      <c r="N441">
        <v>1100</v>
      </c>
      <c r="O441">
        <v>1100</v>
      </c>
      <c r="P441">
        <v>0</v>
      </c>
    </row>
    <row r="442" spans="1:16" hidden="1" x14ac:dyDescent="0.25">
      <c r="A442" t="s">
        <v>1289</v>
      </c>
      <c r="B442">
        <v>1</v>
      </c>
      <c r="C442">
        <v>2096</v>
      </c>
      <c r="D442">
        <v>2096</v>
      </c>
      <c r="I442">
        <v>0</v>
      </c>
      <c r="J442" t="s">
        <v>3574</v>
      </c>
      <c r="K442">
        <v>0</v>
      </c>
      <c r="L442">
        <v>0</v>
      </c>
      <c r="M442">
        <v>2096</v>
      </c>
      <c r="N442">
        <v>2096</v>
      </c>
      <c r="O442">
        <v>2077</v>
      </c>
      <c r="P442">
        <v>0</v>
      </c>
    </row>
    <row r="443" spans="1:16" hidden="1" x14ac:dyDescent="0.25">
      <c r="A443" t="s">
        <v>1293</v>
      </c>
      <c r="B443">
        <v>1</v>
      </c>
      <c r="C443">
        <v>2200</v>
      </c>
      <c r="D443">
        <v>2200</v>
      </c>
      <c r="I443">
        <v>0</v>
      </c>
      <c r="J443" t="s">
        <v>3574</v>
      </c>
      <c r="K443">
        <v>0</v>
      </c>
      <c r="L443">
        <v>0</v>
      </c>
      <c r="M443">
        <v>2200</v>
      </c>
      <c r="N443">
        <v>2200</v>
      </c>
      <c r="O443">
        <v>1947</v>
      </c>
      <c r="P443">
        <v>0</v>
      </c>
    </row>
    <row r="444" spans="1:16" hidden="1" x14ac:dyDescent="0.25">
      <c r="A444" t="s">
        <v>1297</v>
      </c>
      <c r="B444">
        <v>1</v>
      </c>
      <c r="C444">
        <v>1100</v>
      </c>
      <c r="D444">
        <v>1100</v>
      </c>
      <c r="I444">
        <v>0</v>
      </c>
      <c r="J444" t="s">
        <v>3574</v>
      </c>
      <c r="K444">
        <v>0</v>
      </c>
      <c r="L444">
        <v>0</v>
      </c>
      <c r="M444">
        <v>1100</v>
      </c>
      <c r="N444">
        <v>1100</v>
      </c>
      <c r="O444">
        <v>1086</v>
      </c>
      <c r="P444">
        <v>0</v>
      </c>
    </row>
    <row r="445" spans="1:16" hidden="1" x14ac:dyDescent="0.25">
      <c r="A445" t="s">
        <v>1298</v>
      </c>
      <c r="B445">
        <v>1</v>
      </c>
      <c r="C445">
        <v>1100</v>
      </c>
      <c r="D445">
        <v>1100</v>
      </c>
      <c r="I445">
        <v>0</v>
      </c>
      <c r="J445" t="s">
        <v>3574</v>
      </c>
      <c r="K445">
        <v>0</v>
      </c>
      <c r="L445">
        <v>0</v>
      </c>
      <c r="M445">
        <v>1100</v>
      </c>
      <c r="N445">
        <v>1100</v>
      </c>
      <c r="O445">
        <v>550</v>
      </c>
      <c r="P445">
        <v>0</v>
      </c>
    </row>
    <row r="446" spans="1:16" hidden="1" x14ac:dyDescent="0.25">
      <c r="A446" t="s">
        <v>1299</v>
      </c>
      <c r="B446">
        <v>1</v>
      </c>
      <c r="C446">
        <v>1430</v>
      </c>
      <c r="D446">
        <v>1430</v>
      </c>
      <c r="I446">
        <v>0</v>
      </c>
      <c r="J446" t="s">
        <v>3574</v>
      </c>
      <c r="K446">
        <v>0</v>
      </c>
      <c r="L446">
        <v>0</v>
      </c>
      <c r="M446">
        <v>1430</v>
      </c>
      <c r="N446">
        <v>1430</v>
      </c>
      <c r="O446">
        <v>1430</v>
      </c>
      <c r="P446">
        <v>0</v>
      </c>
    </row>
    <row r="447" spans="1:16" hidden="1" x14ac:dyDescent="0.25">
      <c r="A447" t="s">
        <v>1300</v>
      </c>
      <c r="B447">
        <v>1</v>
      </c>
      <c r="C447">
        <v>2750</v>
      </c>
      <c r="D447">
        <v>2750</v>
      </c>
      <c r="I447">
        <v>0</v>
      </c>
      <c r="J447" t="s">
        <v>3574</v>
      </c>
      <c r="K447">
        <v>0</v>
      </c>
      <c r="L447">
        <v>0</v>
      </c>
      <c r="M447">
        <v>2750</v>
      </c>
      <c r="N447">
        <v>2750</v>
      </c>
      <c r="O447">
        <v>1650</v>
      </c>
      <c r="P447">
        <v>0</v>
      </c>
    </row>
    <row r="448" spans="1:16" hidden="1" x14ac:dyDescent="0.25">
      <c r="A448" t="s">
        <v>1303</v>
      </c>
      <c r="B448">
        <v>1</v>
      </c>
      <c r="C448">
        <v>1320</v>
      </c>
      <c r="D448">
        <v>1320</v>
      </c>
      <c r="I448">
        <v>0</v>
      </c>
      <c r="J448" t="s">
        <v>3574</v>
      </c>
      <c r="K448">
        <v>0</v>
      </c>
      <c r="L448">
        <v>0</v>
      </c>
      <c r="M448">
        <v>1320</v>
      </c>
      <c r="N448">
        <v>1320</v>
      </c>
      <c r="O448">
        <v>1122</v>
      </c>
      <c r="P448">
        <v>0</v>
      </c>
    </row>
    <row r="449" spans="1:16" hidden="1" x14ac:dyDescent="0.25">
      <c r="A449" t="s">
        <v>1304</v>
      </c>
      <c r="B449">
        <v>1</v>
      </c>
      <c r="C449">
        <v>4400</v>
      </c>
      <c r="D449">
        <v>4400</v>
      </c>
      <c r="I449">
        <v>0</v>
      </c>
      <c r="J449" t="s">
        <v>3574</v>
      </c>
      <c r="K449">
        <v>0</v>
      </c>
      <c r="L449">
        <v>0</v>
      </c>
      <c r="M449">
        <v>4400</v>
      </c>
      <c r="N449">
        <v>4400</v>
      </c>
      <c r="O449">
        <v>3546</v>
      </c>
      <c r="P449">
        <v>0</v>
      </c>
    </row>
    <row r="450" spans="1:16" hidden="1" x14ac:dyDescent="0.25">
      <c r="A450" t="s">
        <v>1308</v>
      </c>
      <c r="B450">
        <v>1</v>
      </c>
      <c r="C450">
        <v>1100</v>
      </c>
      <c r="D450">
        <v>1100</v>
      </c>
      <c r="I450">
        <v>0</v>
      </c>
      <c r="J450" t="s">
        <v>3574</v>
      </c>
      <c r="K450">
        <v>0</v>
      </c>
      <c r="L450">
        <v>0</v>
      </c>
      <c r="M450">
        <v>1100</v>
      </c>
      <c r="N450">
        <v>1100</v>
      </c>
      <c r="O450">
        <v>1014</v>
      </c>
      <c r="P450">
        <v>0</v>
      </c>
    </row>
    <row r="451" spans="1:16" hidden="1" x14ac:dyDescent="0.25">
      <c r="A451" t="s">
        <v>1311</v>
      </c>
      <c r="B451">
        <v>1</v>
      </c>
      <c r="C451">
        <v>1100</v>
      </c>
      <c r="D451">
        <v>1100</v>
      </c>
      <c r="I451">
        <v>0</v>
      </c>
      <c r="J451" t="s">
        <v>3574</v>
      </c>
      <c r="K451">
        <v>0</v>
      </c>
      <c r="L451">
        <v>0</v>
      </c>
      <c r="M451">
        <v>1100</v>
      </c>
      <c r="N451">
        <v>1100</v>
      </c>
      <c r="O451">
        <v>982</v>
      </c>
      <c r="P451">
        <v>0</v>
      </c>
    </row>
    <row r="452" spans="1:16" hidden="1" x14ac:dyDescent="0.25">
      <c r="A452" t="s">
        <v>1315</v>
      </c>
      <c r="B452">
        <v>1</v>
      </c>
      <c r="C452">
        <v>660</v>
      </c>
      <c r="D452">
        <v>660</v>
      </c>
      <c r="I452">
        <v>0</v>
      </c>
      <c r="J452" t="s">
        <v>3574</v>
      </c>
      <c r="K452">
        <v>0</v>
      </c>
      <c r="L452">
        <v>0</v>
      </c>
      <c r="M452">
        <v>660</v>
      </c>
      <c r="N452">
        <v>660</v>
      </c>
      <c r="O452">
        <v>602</v>
      </c>
      <c r="P452">
        <v>0</v>
      </c>
    </row>
    <row r="453" spans="1:16" hidden="1" x14ac:dyDescent="0.25">
      <c r="A453" t="s">
        <v>1316</v>
      </c>
      <c r="B453">
        <v>1</v>
      </c>
      <c r="C453">
        <v>1100</v>
      </c>
      <c r="D453">
        <v>1100</v>
      </c>
      <c r="I453">
        <v>0</v>
      </c>
      <c r="J453" t="s">
        <v>3574</v>
      </c>
      <c r="K453">
        <v>0</v>
      </c>
      <c r="L453">
        <v>0</v>
      </c>
      <c r="M453">
        <v>1100</v>
      </c>
      <c r="N453">
        <v>1100</v>
      </c>
      <c r="O453">
        <v>1071</v>
      </c>
      <c r="P453">
        <v>0</v>
      </c>
    </row>
    <row r="454" spans="1:16" hidden="1" x14ac:dyDescent="0.25">
      <c r="A454" t="s">
        <v>1319</v>
      </c>
      <c r="B454">
        <v>1</v>
      </c>
      <c r="C454">
        <v>1700</v>
      </c>
      <c r="D454">
        <v>1700</v>
      </c>
      <c r="I454">
        <v>0</v>
      </c>
      <c r="J454" t="s">
        <v>3574</v>
      </c>
      <c r="K454">
        <v>0</v>
      </c>
      <c r="L454">
        <v>0</v>
      </c>
      <c r="M454">
        <v>1700</v>
      </c>
      <c r="N454">
        <v>1700</v>
      </c>
      <c r="O454">
        <v>1003</v>
      </c>
      <c r="P454">
        <v>0</v>
      </c>
    </row>
    <row r="455" spans="1:16" hidden="1" x14ac:dyDescent="0.25">
      <c r="A455" t="s">
        <v>1322</v>
      </c>
      <c r="B455">
        <v>1</v>
      </c>
      <c r="C455">
        <v>1870</v>
      </c>
      <c r="D455">
        <v>1870</v>
      </c>
      <c r="I455">
        <v>0</v>
      </c>
      <c r="J455" t="s">
        <v>3574</v>
      </c>
      <c r="K455">
        <v>0</v>
      </c>
      <c r="L455">
        <v>0</v>
      </c>
      <c r="M455">
        <v>1870</v>
      </c>
      <c r="N455">
        <v>1870</v>
      </c>
      <c r="O455">
        <v>388</v>
      </c>
      <c r="P455">
        <v>0</v>
      </c>
    </row>
    <row r="456" spans="1:16" hidden="1" x14ac:dyDescent="0.25">
      <c r="A456" t="s">
        <v>1325</v>
      </c>
      <c r="B456">
        <v>1</v>
      </c>
      <c r="C456">
        <v>1100</v>
      </c>
      <c r="D456">
        <v>1100</v>
      </c>
      <c r="H456">
        <v>0</v>
      </c>
      <c r="I456">
        <v>0</v>
      </c>
      <c r="J456" t="s">
        <v>3574</v>
      </c>
      <c r="K456">
        <v>0</v>
      </c>
      <c r="L456">
        <v>0</v>
      </c>
      <c r="M456">
        <v>1100</v>
      </c>
      <c r="N456">
        <v>1100</v>
      </c>
      <c r="O456">
        <v>33</v>
      </c>
      <c r="P456">
        <v>0</v>
      </c>
    </row>
    <row r="457" spans="1:16" hidden="1" x14ac:dyDescent="0.25">
      <c r="A457" t="s">
        <v>1326</v>
      </c>
      <c r="B457">
        <v>1</v>
      </c>
      <c r="C457">
        <v>2310</v>
      </c>
      <c r="D457">
        <v>2200</v>
      </c>
      <c r="I457">
        <v>0</v>
      </c>
      <c r="J457" t="s">
        <v>3574</v>
      </c>
      <c r="K457">
        <v>0</v>
      </c>
      <c r="L457">
        <v>0</v>
      </c>
      <c r="M457">
        <v>2200</v>
      </c>
      <c r="N457">
        <v>2200</v>
      </c>
      <c r="O457">
        <v>1337</v>
      </c>
      <c r="P457">
        <v>0</v>
      </c>
    </row>
    <row r="458" spans="1:16" hidden="1" x14ac:dyDescent="0.25">
      <c r="A458" t="s">
        <v>1327</v>
      </c>
      <c r="B458">
        <v>1</v>
      </c>
      <c r="C458">
        <v>2200</v>
      </c>
      <c r="D458">
        <v>2200</v>
      </c>
      <c r="H458">
        <v>0</v>
      </c>
      <c r="I458">
        <v>0</v>
      </c>
      <c r="J458" t="s">
        <v>3574</v>
      </c>
      <c r="K458">
        <v>0</v>
      </c>
      <c r="L458">
        <v>0</v>
      </c>
      <c r="M458">
        <v>2200</v>
      </c>
      <c r="N458">
        <v>2200</v>
      </c>
      <c r="O458">
        <v>1620</v>
      </c>
      <c r="P458">
        <v>0</v>
      </c>
    </row>
    <row r="459" spans="1:16" hidden="1" x14ac:dyDescent="0.25">
      <c r="A459" t="s">
        <v>1328</v>
      </c>
      <c r="C459">
        <v>0</v>
      </c>
      <c r="D459">
        <v>0</v>
      </c>
      <c r="H459">
        <v>1650</v>
      </c>
      <c r="J459" t="s">
        <v>3574</v>
      </c>
      <c r="K459">
        <v>0</v>
      </c>
      <c r="L459">
        <v>0</v>
      </c>
      <c r="M459">
        <v>1650</v>
      </c>
      <c r="N459">
        <v>1650</v>
      </c>
      <c r="O459">
        <v>1650</v>
      </c>
      <c r="P459">
        <v>0</v>
      </c>
    </row>
    <row r="460" spans="1:16" hidden="1" x14ac:dyDescent="0.25">
      <c r="A460" t="s">
        <v>1329</v>
      </c>
      <c r="C460">
        <v>0</v>
      </c>
      <c r="D460">
        <v>0</v>
      </c>
      <c r="H460">
        <v>1130</v>
      </c>
      <c r="J460" t="s">
        <v>3574</v>
      </c>
      <c r="K460">
        <v>0</v>
      </c>
      <c r="L460">
        <v>0</v>
      </c>
      <c r="M460">
        <v>1130</v>
      </c>
      <c r="N460">
        <v>1130</v>
      </c>
      <c r="O460">
        <v>1650</v>
      </c>
      <c r="P460">
        <v>0</v>
      </c>
    </row>
    <row r="461" spans="1:16" hidden="1" x14ac:dyDescent="0.25">
      <c r="A461" t="s">
        <v>1330</v>
      </c>
      <c r="C461">
        <v>0</v>
      </c>
      <c r="D461">
        <v>0</v>
      </c>
      <c r="H461">
        <v>2741</v>
      </c>
      <c r="J461" t="s">
        <v>3574</v>
      </c>
      <c r="K461">
        <v>0</v>
      </c>
      <c r="L461">
        <v>0</v>
      </c>
      <c r="M461">
        <v>2741</v>
      </c>
      <c r="N461">
        <v>2741</v>
      </c>
      <c r="O461">
        <v>2741</v>
      </c>
      <c r="P461">
        <v>0</v>
      </c>
    </row>
    <row r="462" spans="1:16" hidden="1" x14ac:dyDescent="0.25">
      <c r="A462" t="s">
        <v>1334</v>
      </c>
      <c r="C462">
        <v>0</v>
      </c>
      <c r="D462">
        <v>0</v>
      </c>
      <c r="H462">
        <v>850</v>
      </c>
      <c r="J462" t="s">
        <v>3574</v>
      </c>
      <c r="K462">
        <v>0</v>
      </c>
      <c r="L462">
        <v>0</v>
      </c>
      <c r="M462">
        <v>850</v>
      </c>
      <c r="N462">
        <v>850</v>
      </c>
      <c r="O462">
        <v>1430</v>
      </c>
      <c r="P462">
        <v>0</v>
      </c>
    </row>
    <row r="463" spans="1:16" hidden="1" x14ac:dyDescent="0.25">
      <c r="A463" t="s">
        <v>1338</v>
      </c>
      <c r="C463">
        <v>0</v>
      </c>
      <c r="D463">
        <v>0</v>
      </c>
      <c r="H463">
        <v>2200</v>
      </c>
      <c r="J463" t="s">
        <v>3574</v>
      </c>
      <c r="K463">
        <v>0</v>
      </c>
      <c r="L463">
        <v>0</v>
      </c>
      <c r="M463">
        <v>2200</v>
      </c>
      <c r="N463">
        <v>2200</v>
      </c>
      <c r="O463">
        <v>2200</v>
      </c>
      <c r="P463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7DF1-8A81-43B6-8E33-7DA8DEF8C705}">
  <dimension ref="A1:E273"/>
  <sheetViews>
    <sheetView workbookViewId="0">
      <selection activeCell="E14" sqref="E14"/>
    </sheetView>
  </sheetViews>
  <sheetFormatPr baseColWidth="10" defaultRowHeight="15" x14ac:dyDescent="0.25"/>
  <cols>
    <col min="1" max="1" width="15.5703125" customWidth="1"/>
    <col min="2" max="2" width="16.5703125" customWidth="1"/>
    <col min="3" max="3" width="27.140625" customWidth="1"/>
    <col min="4" max="4" width="21.5703125" customWidth="1"/>
    <col min="5" max="5" width="26.28515625" customWidth="1"/>
  </cols>
  <sheetData>
    <row r="1" spans="1:5" x14ac:dyDescent="0.25">
      <c r="B1" s="4"/>
      <c r="C1" t="s">
        <v>3947</v>
      </c>
    </row>
    <row r="2" spans="1:5" x14ac:dyDescent="0.25">
      <c r="B2" s="5"/>
      <c r="C2" t="s">
        <v>3948</v>
      </c>
    </row>
    <row r="3" spans="1:5" x14ac:dyDescent="0.25">
      <c r="B3" s="8"/>
      <c r="C3" t="s">
        <v>3949</v>
      </c>
    </row>
    <row r="4" spans="1:5" x14ac:dyDescent="0.25">
      <c r="B4" s="20"/>
      <c r="C4" t="s">
        <v>3978</v>
      </c>
    </row>
    <row r="5" spans="1:5" x14ac:dyDescent="0.25">
      <c r="B5" s="7"/>
      <c r="C5" t="s">
        <v>3922</v>
      </c>
    </row>
    <row r="6" spans="1:5" x14ac:dyDescent="0.25">
      <c r="B6" s="6"/>
      <c r="C6" t="s">
        <v>3950</v>
      </c>
    </row>
    <row r="7" spans="1:5" x14ac:dyDescent="0.25">
      <c r="B7" s="11"/>
      <c r="C7" t="s">
        <v>3951</v>
      </c>
    </row>
    <row r="8" spans="1:5" x14ac:dyDescent="0.25">
      <c r="B8" s="14"/>
      <c r="C8" t="s">
        <v>3977</v>
      </c>
    </row>
    <row r="9" spans="1:5" x14ac:dyDescent="0.25">
      <c r="B9" s="21"/>
      <c r="C9" t="s">
        <v>4006</v>
      </c>
    </row>
    <row r="12" spans="1:5" x14ac:dyDescent="0.25">
      <c r="A12" s="5" t="s">
        <v>0</v>
      </c>
      <c r="B12" s="8" t="s">
        <v>4007</v>
      </c>
      <c r="C12" s="8" t="s">
        <v>4008</v>
      </c>
      <c r="D12" s="20" t="s">
        <v>4009</v>
      </c>
      <c r="E12" s="8" t="s">
        <v>4010</v>
      </c>
    </row>
    <row r="13" spans="1:5" x14ac:dyDescent="0.25">
      <c r="A13" t="s">
        <v>42</v>
      </c>
      <c r="B13" s="8">
        <v>2021</v>
      </c>
      <c r="C13" s="8">
        <v>1</v>
      </c>
      <c r="D13" s="20">
        <v>62</v>
      </c>
      <c r="E13" s="23">
        <v>0.155</v>
      </c>
    </row>
    <row r="14" spans="1:5" x14ac:dyDescent="0.25">
      <c r="A14" t="s">
        <v>63</v>
      </c>
      <c r="B14" s="8" t="s">
        <v>3991</v>
      </c>
      <c r="C14" s="8">
        <v>2</v>
      </c>
      <c r="D14" s="20">
        <v>750</v>
      </c>
      <c r="E14" s="23">
        <v>0.75</v>
      </c>
    </row>
    <row r="15" spans="1:5" x14ac:dyDescent="0.25">
      <c r="A15" t="s">
        <v>92</v>
      </c>
      <c r="B15" s="8">
        <v>2020</v>
      </c>
      <c r="C15" s="8">
        <v>1</v>
      </c>
      <c r="D15" s="20">
        <v>50</v>
      </c>
      <c r="E15" s="23">
        <v>6.6666666666666596E-2</v>
      </c>
    </row>
    <row r="16" spans="1:5" x14ac:dyDescent="0.25">
      <c r="A16" t="s">
        <v>103</v>
      </c>
      <c r="B16" s="8">
        <v>2019</v>
      </c>
      <c r="C16" s="8">
        <v>1</v>
      </c>
      <c r="D16" s="20">
        <v>1700</v>
      </c>
      <c r="E16" s="23">
        <v>0.85</v>
      </c>
    </row>
    <row r="17" spans="1:5" x14ac:dyDescent="0.25">
      <c r="A17" t="s">
        <v>107</v>
      </c>
      <c r="B17" s="8" t="s">
        <v>3992</v>
      </c>
      <c r="C17" s="8">
        <v>2</v>
      </c>
      <c r="D17" s="20">
        <v>400</v>
      </c>
      <c r="E17" s="23">
        <v>0.8</v>
      </c>
    </row>
    <row r="18" spans="1:5" x14ac:dyDescent="0.25">
      <c r="A18" t="s">
        <v>110</v>
      </c>
      <c r="B18" s="8" t="s">
        <v>3992</v>
      </c>
      <c r="C18" s="8">
        <v>2</v>
      </c>
      <c r="D18" s="20">
        <v>940</v>
      </c>
      <c r="E18" s="23">
        <v>0.94</v>
      </c>
    </row>
    <row r="19" spans="1:5" x14ac:dyDescent="0.25">
      <c r="A19" t="s">
        <v>114</v>
      </c>
      <c r="B19" s="8" t="s">
        <v>3992</v>
      </c>
      <c r="C19" s="8">
        <v>2</v>
      </c>
      <c r="D19" s="20">
        <v>500</v>
      </c>
      <c r="E19" s="23">
        <v>0.5</v>
      </c>
    </row>
    <row r="20" spans="1:5" x14ac:dyDescent="0.25">
      <c r="A20" t="s">
        <v>118</v>
      </c>
      <c r="B20" s="8">
        <v>2019</v>
      </c>
      <c r="C20" s="8">
        <v>1</v>
      </c>
      <c r="D20" s="20">
        <v>300</v>
      </c>
      <c r="E20" s="23">
        <v>0.27272727272727199</v>
      </c>
    </row>
    <row r="21" spans="1:5" x14ac:dyDescent="0.25">
      <c r="A21" t="s">
        <v>124</v>
      </c>
      <c r="B21" s="8">
        <v>2021</v>
      </c>
      <c r="C21" s="8">
        <v>1</v>
      </c>
      <c r="D21" s="20">
        <v>200</v>
      </c>
      <c r="E21" s="23">
        <v>0.16666666666666599</v>
      </c>
    </row>
    <row r="22" spans="1:5" x14ac:dyDescent="0.25">
      <c r="A22" t="s">
        <v>131</v>
      </c>
      <c r="B22" s="8">
        <v>2020</v>
      </c>
      <c r="C22" s="8">
        <v>1</v>
      </c>
      <c r="D22" s="20">
        <v>400</v>
      </c>
      <c r="E22" s="23">
        <v>0.1</v>
      </c>
    </row>
    <row r="23" spans="1:5" x14ac:dyDescent="0.25">
      <c r="A23" t="s">
        <v>138</v>
      </c>
      <c r="B23" s="8">
        <v>2021</v>
      </c>
      <c r="C23" s="8">
        <v>1</v>
      </c>
      <c r="D23" s="20">
        <v>100</v>
      </c>
      <c r="E23" s="23">
        <v>0.14285714285714199</v>
      </c>
    </row>
    <row r="24" spans="1:5" x14ac:dyDescent="0.25">
      <c r="A24" t="s">
        <v>146</v>
      </c>
      <c r="B24" s="8">
        <v>2021</v>
      </c>
      <c r="C24" s="8">
        <v>1</v>
      </c>
      <c r="D24" s="20">
        <v>800</v>
      </c>
      <c r="E24" s="23">
        <v>0.4</v>
      </c>
    </row>
    <row r="25" spans="1:5" x14ac:dyDescent="0.25">
      <c r="A25" t="s">
        <v>149</v>
      </c>
      <c r="B25" s="8" t="s">
        <v>3993</v>
      </c>
      <c r="C25" s="8">
        <v>2</v>
      </c>
      <c r="D25" s="20">
        <v>1030</v>
      </c>
      <c r="E25" s="23">
        <v>0.34563758389261601</v>
      </c>
    </row>
    <row r="26" spans="1:5" x14ac:dyDescent="0.25">
      <c r="A26" t="s">
        <v>153</v>
      </c>
      <c r="B26" s="8">
        <v>2021</v>
      </c>
      <c r="C26" s="8">
        <v>1</v>
      </c>
      <c r="D26" s="20">
        <v>264</v>
      </c>
      <c r="E26" s="23">
        <v>0.22</v>
      </c>
    </row>
    <row r="27" spans="1:5" x14ac:dyDescent="0.25">
      <c r="A27" t="s">
        <v>156</v>
      </c>
      <c r="B27" s="8" t="s">
        <v>3994</v>
      </c>
      <c r="C27" s="8">
        <v>2</v>
      </c>
      <c r="D27" s="20">
        <v>187</v>
      </c>
      <c r="E27" s="23">
        <v>0.187</v>
      </c>
    </row>
    <row r="28" spans="1:5" x14ac:dyDescent="0.25">
      <c r="A28" t="s">
        <v>159</v>
      </c>
      <c r="B28" s="8">
        <v>2021</v>
      </c>
      <c r="C28" s="8">
        <v>1</v>
      </c>
      <c r="D28" s="20">
        <v>500</v>
      </c>
      <c r="E28" s="23">
        <v>0.11111111111111099</v>
      </c>
    </row>
    <row r="29" spans="1:5" x14ac:dyDescent="0.25">
      <c r="A29" t="s">
        <v>162</v>
      </c>
      <c r="B29" s="8">
        <v>2020</v>
      </c>
      <c r="C29" s="8">
        <v>1</v>
      </c>
      <c r="D29" s="20">
        <v>70</v>
      </c>
      <c r="E29" s="23">
        <v>3.5000000000000003E-2</v>
      </c>
    </row>
    <row r="30" spans="1:5" x14ac:dyDescent="0.25">
      <c r="A30" t="s">
        <v>166</v>
      </c>
      <c r="B30" s="8">
        <v>2021</v>
      </c>
      <c r="C30" s="8">
        <v>1</v>
      </c>
      <c r="D30" s="20">
        <v>160</v>
      </c>
      <c r="E30" s="23">
        <v>0.133333333333333</v>
      </c>
    </row>
    <row r="31" spans="1:5" x14ac:dyDescent="0.25">
      <c r="A31" t="s">
        <v>170</v>
      </c>
      <c r="B31" s="8">
        <v>2022</v>
      </c>
      <c r="C31" s="8">
        <v>1</v>
      </c>
      <c r="D31" s="20">
        <v>971</v>
      </c>
      <c r="E31" s="23">
        <v>0.26972222222222197</v>
      </c>
    </row>
    <row r="32" spans="1:5" x14ac:dyDescent="0.25">
      <c r="A32" t="s">
        <v>174</v>
      </c>
      <c r="B32" s="8">
        <v>2021</v>
      </c>
      <c r="C32" s="8">
        <v>1</v>
      </c>
      <c r="D32" s="20">
        <v>135</v>
      </c>
      <c r="E32" s="23">
        <v>0.1125</v>
      </c>
    </row>
    <row r="33" spans="1:5" x14ac:dyDescent="0.25">
      <c r="A33" t="s">
        <v>177</v>
      </c>
      <c r="B33" s="8">
        <v>2021</v>
      </c>
      <c r="C33" s="8">
        <v>1</v>
      </c>
      <c r="D33" s="20">
        <v>40</v>
      </c>
      <c r="E33" s="23">
        <v>1.1627906976744099E-2</v>
      </c>
    </row>
    <row r="34" spans="1:5" x14ac:dyDescent="0.25">
      <c r="A34" t="s">
        <v>180</v>
      </c>
      <c r="B34" s="8">
        <v>2021</v>
      </c>
      <c r="C34" s="8">
        <v>1</v>
      </c>
      <c r="D34" s="20">
        <v>80</v>
      </c>
      <c r="E34" s="23">
        <v>6.15384615384615E-2</v>
      </c>
    </row>
    <row r="35" spans="1:5" x14ac:dyDescent="0.25">
      <c r="A35" t="s">
        <v>183</v>
      </c>
      <c r="B35" s="8" t="s">
        <v>3995</v>
      </c>
      <c r="C35" s="8">
        <v>3</v>
      </c>
      <c r="D35" s="20">
        <v>1120</v>
      </c>
      <c r="E35" s="23">
        <v>0.46666666666666601</v>
      </c>
    </row>
    <row r="36" spans="1:5" x14ac:dyDescent="0.25">
      <c r="A36" t="s">
        <v>187</v>
      </c>
      <c r="B36" s="8">
        <v>2022</v>
      </c>
      <c r="C36" s="8">
        <v>1</v>
      </c>
      <c r="D36" s="20">
        <v>50</v>
      </c>
      <c r="E36" s="23">
        <v>0.05</v>
      </c>
    </row>
    <row r="37" spans="1:5" x14ac:dyDescent="0.25">
      <c r="A37" t="s">
        <v>196</v>
      </c>
      <c r="B37" s="8">
        <v>2021</v>
      </c>
      <c r="C37" s="8">
        <v>1</v>
      </c>
      <c r="D37" s="20">
        <v>852</v>
      </c>
      <c r="E37" s="23">
        <v>0.21299999999999999</v>
      </c>
    </row>
    <row r="38" spans="1:5" x14ac:dyDescent="0.25">
      <c r="A38" t="s">
        <v>200</v>
      </c>
      <c r="B38" s="8">
        <v>2021</v>
      </c>
      <c r="C38" s="8">
        <v>1</v>
      </c>
      <c r="D38" s="20">
        <v>800</v>
      </c>
      <c r="E38" s="23">
        <v>0.4</v>
      </c>
    </row>
    <row r="39" spans="1:5" x14ac:dyDescent="0.25">
      <c r="A39" t="s">
        <v>203</v>
      </c>
      <c r="B39" s="8">
        <v>2021</v>
      </c>
      <c r="C39" s="8">
        <v>1</v>
      </c>
      <c r="D39" s="20">
        <v>120</v>
      </c>
      <c r="E39" s="23">
        <v>0.06</v>
      </c>
    </row>
    <row r="40" spans="1:5" x14ac:dyDescent="0.25">
      <c r="A40" t="s">
        <v>210</v>
      </c>
      <c r="B40" s="8">
        <v>2022</v>
      </c>
      <c r="C40" s="8">
        <v>1</v>
      </c>
      <c r="D40" s="20">
        <v>430</v>
      </c>
      <c r="E40" s="23">
        <v>0.215</v>
      </c>
    </row>
    <row r="41" spans="1:5" x14ac:dyDescent="0.25">
      <c r="A41" t="s">
        <v>213</v>
      </c>
      <c r="B41" s="8">
        <v>2021</v>
      </c>
      <c r="C41" s="8">
        <v>1</v>
      </c>
      <c r="D41" s="20">
        <v>200</v>
      </c>
      <c r="E41" s="23">
        <v>0.4</v>
      </c>
    </row>
    <row r="42" spans="1:5" x14ac:dyDescent="0.25">
      <c r="A42" t="s">
        <v>214</v>
      </c>
      <c r="B42" s="8">
        <v>2021</v>
      </c>
      <c r="C42" s="8">
        <v>1</v>
      </c>
      <c r="D42" s="20">
        <v>236</v>
      </c>
      <c r="E42" s="23">
        <v>0.19666666666666599</v>
      </c>
    </row>
    <row r="43" spans="1:5" x14ac:dyDescent="0.25">
      <c r="A43" t="s">
        <v>218</v>
      </c>
      <c r="B43" s="8">
        <v>2021</v>
      </c>
      <c r="C43" s="8">
        <v>1</v>
      </c>
      <c r="D43" s="20">
        <v>120</v>
      </c>
      <c r="E43" s="23">
        <v>0.2</v>
      </c>
    </row>
    <row r="44" spans="1:5" x14ac:dyDescent="0.25">
      <c r="A44" t="s">
        <v>225</v>
      </c>
      <c r="B44" s="8">
        <v>2022</v>
      </c>
      <c r="C44" s="8">
        <v>1</v>
      </c>
      <c r="D44" s="20">
        <v>100</v>
      </c>
      <c r="E44" s="23">
        <v>5.8823529411764698E-2</v>
      </c>
    </row>
    <row r="45" spans="1:5" x14ac:dyDescent="0.25">
      <c r="A45" t="s">
        <v>228</v>
      </c>
      <c r="B45" s="8">
        <v>2021</v>
      </c>
      <c r="C45" s="8">
        <v>1</v>
      </c>
      <c r="D45" s="20">
        <v>120</v>
      </c>
      <c r="E45" s="23">
        <v>0.12</v>
      </c>
    </row>
    <row r="46" spans="1:5" x14ac:dyDescent="0.25">
      <c r="A46" t="s">
        <v>235</v>
      </c>
      <c r="B46" s="8">
        <v>2021</v>
      </c>
      <c r="C46" s="8">
        <v>1</v>
      </c>
      <c r="D46" s="20">
        <v>40</v>
      </c>
      <c r="E46" s="23">
        <v>0.02</v>
      </c>
    </row>
    <row r="47" spans="1:5" x14ac:dyDescent="0.25">
      <c r="A47" t="s">
        <v>238</v>
      </c>
      <c r="B47" s="8" t="s">
        <v>3994</v>
      </c>
      <c r="C47" s="8">
        <v>2</v>
      </c>
      <c r="D47" s="20">
        <v>292</v>
      </c>
      <c r="E47" s="23">
        <v>0.29200000000000004</v>
      </c>
    </row>
    <row r="48" spans="1:5" x14ac:dyDescent="0.25">
      <c r="A48" t="s">
        <v>241</v>
      </c>
      <c r="B48" s="8">
        <v>2022</v>
      </c>
      <c r="C48" s="8">
        <v>1</v>
      </c>
      <c r="D48" s="20">
        <v>240</v>
      </c>
      <c r="E48" s="23">
        <v>0.24</v>
      </c>
    </row>
    <row r="49" spans="1:5" x14ac:dyDescent="0.25">
      <c r="A49" t="s">
        <v>245</v>
      </c>
      <c r="B49" s="8">
        <v>2022</v>
      </c>
      <c r="C49" s="8">
        <v>1</v>
      </c>
      <c r="D49" s="20">
        <v>650</v>
      </c>
      <c r="E49" s="23">
        <v>1</v>
      </c>
    </row>
    <row r="50" spans="1:5" x14ac:dyDescent="0.25">
      <c r="A50" t="s">
        <v>252</v>
      </c>
      <c r="B50" s="8">
        <v>2022</v>
      </c>
      <c r="C50" s="8">
        <v>1</v>
      </c>
      <c r="D50" s="20">
        <v>150</v>
      </c>
      <c r="E50" s="23">
        <v>8.6705202312138699E-2</v>
      </c>
    </row>
    <row r="51" spans="1:5" x14ac:dyDescent="0.25">
      <c r="A51" t="s">
        <v>256</v>
      </c>
      <c r="B51" s="8">
        <v>2022</v>
      </c>
      <c r="C51" s="8">
        <v>1</v>
      </c>
      <c r="D51" s="20">
        <v>212</v>
      </c>
      <c r="E51" s="23">
        <v>0.21199999999999999</v>
      </c>
    </row>
    <row r="52" spans="1:5" x14ac:dyDescent="0.25">
      <c r="A52" t="s">
        <v>259</v>
      </c>
      <c r="B52" s="8">
        <v>2022</v>
      </c>
      <c r="C52" s="8">
        <v>1</v>
      </c>
      <c r="D52" s="20">
        <v>62</v>
      </c>
      <c r="E52" s="23">
        <v>6.2E-2</v>
      </c>
    </row>
    <row r="53" spans="1:5" x14ac:dyDescent="0.25">
      <c r="A53" t="s">
        <v>262</v>
      </c>
      <c r="B53" s="8" t="s">
        <v>3994</v>
      </c>
      <c r="C53" s="8">
        <v>2</v>
      </c>
      <c r="D53" s="20">
        <v>110</v>
      </c>
      <c r="E53" s="23">
        <v>3.8260869565217299E-2</v>
      </c>
    </row>
    <row r="54" spans="1:5" x14ac:dyDescent="0.25">
      <c r="A54" t="s">
        <v>265</v>
      </c>
      <c r="B54" s="8">
        <v>2022</v>
      </c>
      <c r="C54" s="8">
        <v>1</v>
      </c>
      <c r="D54" s="20">
        <v>50</v>
      </c>
      <c r="E54" s="23">
        <v>0.05</v>
      </c>
    </row>
    <row r="55" spans="1:5" x14ac:dyDescent="0.25">
      <c r="A55" t="s">
        <v>274</v>
      </c>
      <c r="B55" s="8">
        <v>2020</v>
      </c>
      <c r="C55" s="8">
        <v>1</v>
      </c>
      <c r="D55" s="20">
        <v>1125</v>
      </c>
      <c r="E55" s="23">
        <v>0.28125</v>
      </c>
    </row>
    <row r="56" spans="1:5" x14ac:dyDescent="0.25">
      <c r="A56" t="s">
        <v>278</v>
      </c>
      <c r="B56" s="8" t="s">
        <v>3996</v>
      </c>
      <c r="C56" s="8">
        <v>2</v>
      </c>
      <c r="D56" s="20">
        <v>655</v>
      </c>
      <c r="E56" s="23">
        <v>0.65500000000000003</v>
      </c>
    </row>
    <row r="57" spans="1:5" x14ac:dyDescent="0.25">
      <c r="A57" t="s">
        <v>283</v>
      </c>
      <c r="B57" s="8" t="s">
        <v>3993</v>
      </c>
      <c r="C57" s="8">
        <v>2</v>
      </c>
      <c r="D57" s="20">
        <v>1150</v>
      </c>
      <c r="E57" s="23">
        <v>1.1499999999999999</v>
      </c>
    </row>
    <row r="58" spans="1:5" x14ac:dyDescent="0.25">
      <c r="A58" t="s">
        <v>287</v>
      </c>
      <c r="B58" s="8" t="s">
        <v>3993</v>
      </c>
      <c r="C58" s="8">
        <v>2</v>
      </c>
      <c r="D58" s="20">
        <v>1225</v>
      </c>
      <c r="E58" s="23">
        <v>0.72058823529411697</v>
      </c>
    </row>
    <row r="59" spans="1:5" x14ac:dyDescent="0.25">
      <c r="A59" t="s">
        <v>291</v>
      </c>
      <c r="B59" s="8">
        <v>2020</v>
      </c>
      <c r="C59" s="8">
        <v>1</v>
      </c>
      <c r="D59" s="20">
        <v>1500</v>
      </c>
      <c r="E59" s="23">
        <v>0.33333333333333298</v>
      </c>
    </row>
    <row r="60" spans="1:5" x14ac:dyDescent="0.25">
      <c r="A60" t="s">
        <v>295</v>
      </c>
      <c r="B60" s="8" t="s">
        <v>3993</v>
      </c>
      <c r="C60" s="8">
        <v>2</v>
      </c>
      <c r="D60" s="20">
        <v>400</v>
      </c>
      <c r="E60" s="23">
        <v>0.4</v>
      </c>
    </row>
    <row r="61" spans="1:5" x14ac:dyDescent="0.25">
      <c r="A61" t="s">
        <v>299</v>
      </c>
      <c r="B61" s="8" t="s">
        <v>3996</v>
      </c>
      <c r="C61" s="8">
        <v>2</v>
      </c>
      <c r="D61" s="20">
        <v>570</v>
      </c>
      <c r="E61" s="23">
        <v>0.28500000000000003</v>
      </c>
    </row>
    <row r="62" spans="1:5" x14ac:dyDescent="0.25">
      <c r="A62" t="s">
        <v>308</v>
      </c>
      <c r="B62" s="8">
        <v>2022</v>
      </c>
      <c r="C62" s="8">
        <v>1</v>
      </c>
      <c r="D62" s="20">
        <v>100</v>
      </c>
      <c r="E62" s="23">
        <v>0.1</v>
      </c>
    </row>
    <row r="63" spans="1:5" x14ac:dyDescent="0.25">
      <c r="A63" t="s">
        <v>326</v>
      </c>
      <c r="B63" s="8">
        <v>2020</v>
      </c>
      <c r="C63" s="8">
        <v>1</v>
      </c>
      <c r="D63" s="20">
        <v>200</v>
      </c>
      <c r="E63" s="23">
        <v>0.16666666666666599</v>
      </c>
    </row>
    <row r="64" spans="1:5" x14ac:dyDescent="0.25">
      <c r="A64" t="s">
        <v>336</v>
      </c>
      <c r="B64" s="8" t="s">
        <v>3996</v>
      </c>
      <c r="C64" s="8">
        <v>2</v>
      </c>
      <c r="D64" s="20">
        <v>312</v>
      </c>
      <c r="E64" s="23">
        <v>0.312</v>
      </c>
    </row>
    <row r="65" spans="1:5" x14ac:dyDescent="0.25">
      <c r="A65" t="s">
        <v>340</v>
      </c>
      <c r="B65" s="8">
        <v>2021</v>
      </c>
      <c r="C65" s="8">
        <v>1</v>
      </c>
      <c r="D65" s="20">
        <v>355</v>
      </c>
      <c r="E65" s="23">
        <v>0.20882352941176399</v>
      </c>
    </row>
    <row r="66" spans="1:5" x14ac:dyDescent="0.25">
      <c r="A66" t="s">
        <v>344</v>
      </c>
      <c r="B66" s="8">
        <v>2020</v>
      </c>
      <c r="C66" s="8">
        <v>1</v>
      </c>
      <c r="D66" s="20">
        <v>100</v>
      </c>
      <c r="E66" s="23">
        <v>8.3333333333333301E-2</v>
      </c>
    </row>
    <row r="67" spans="1:5" x14ac:dyDescent="0.25">
      <c r="A67" t="s">
        <v>348</v>
      </c>
      <c r="B67" s="8">
        <v>2021</v>
      </c>
      <c r="C67" s="8">
        <v>1</v>
      </c>
      <c r="D67" s="20">
        <v>180</v>
      </c>
      <c r="E67" s="23">
        <v>0.09</v>
      </c>
    </row>
    <row r="68" spans="1:5" x14ac:dyDescent="0.25">
      <c r="A68" t="s">
        <v>352</v>
      </c>
      <c r="B68" s="8">
        <v>2021</v>
      </c>
      <c r="C68" s="8">
        <v>1</v>
      </c>
      <c r="D68" s="20">
        <v>140</v>
      </c>
      <c r="E68" s="23">
        <v>7.0000000000000007E-2</v>
      </c>
    </row>
    <row r="69" spans="1:5" x14ac:dyDescent="0.25">
      <c r="A69" t="s">
        <v>380</v>
      </c>
      <c r="B69" s="8">
        <v>2020</v>
      </c>
      <c r="C69" s="8">
        <v>1</v>
      </c>
      <c r="D69" s="20">
        <v>500</v>
      </c>
      <c r="E69" s="23">
        <v>0.5</v>
      </c>
    </row>
    <row r="70" spans="1:5" x14ac:dyDescent="0.25">
      <c r="A70" t="s">
        <v>398</v>
      </c>
      <c r="B70" s="8">
        <v>2020</v>
      </c>
      <c r="C70" s="8">
        <v>1</v>
      </c>
      <c r="D70" s="20">
        <v>300</v>
      </c>
      <c r="E70" s="23">
        <v>1</v>
      </c>
    </row>
    <row r="71" spans="1:5" x14ac:dyDescent="0.25">
      <c r="A71" t="s">
        <v>404</v>
      </c>
      <c r="B71" s="8">
        <v>2021</v>
      </c>
      <c r="C71" s="8">
        <v>1</v>
      </c>
      <c r="D71" s="20">
        <v>550</v>
      </c>
      <c r="E71" s="23">
        <v>1</v>
      </c>
    </row>
    <row r="72" spans="1:5" x14ac:dyDescent="0.25">
      <c r="A72" t="s">
        <v>414</v>
      </c>
      <c r="B72" s="8" t="s">
        <v>3996</v>
      </c>
      <c r="C72" s="8">
        <v>2</v>
      </c>
      <c r="D72" s="20">
        <v>603</v>
      </c>
      <c r="E72" s="23">
        <v>0.30149999999999999</v>
      </c>
    </row>
    <row r="73" spans="1:5" x14ac:dyDescent="0.25">
      <c r="A73" t="s">
        <v>417</v>
      </c>
      <c r="B73" s="8">
        <v>2020</v>
      </c>
      <c r="C73" s="8">
        <v>1</v>
      </c>
      <c r="D73" s="20">
        <v>105</v>
      </c>
      <c r="E73" s="23">
        <v>5.2499999999999998E-2</v>
      </c>
    </row>
    <row r="74" spans="1:5" x14ac:dyDescent="0.25">
      <c r="A74" t="s">
        <v>421</v>
      </c>
      <c r="B74" s="8">
        <v>2022</v>
      </c>
      <c r="C74" s="8">
        <v>1</v>
      </c>
      <c r="D74" s="20">
        <v>2800</v>
      </c>
      <c r="E74" s="23">
        <v>0.35</v>
      </c>
    </row>
    <row r="75" spans="1:5" x14ac:dyDescent="0.25">
      <c r="A75" t="s">
        <v>428</v>
      </c>
      <c r="B75" s="8">
        <v>2021</v>
      </c>
      <c r="C75" s="8">
        <v>1</v>
      </c>
      <c r="D75" s="20">
        <v>1438</v>
      </c>
      <c r="E75" s="23">
        <v>0.97889720898570398</v>
      </c>
    </row>
    <row r="76" spans="1:5" x14ac:dyDescent="0.25">
      <c r="A76" t="s">
        <v>432</v>
      </c>
      <c r="B76" s="8">
        <v>2021</v>
      </c>
      <c r="C76" s="8">
        <v>1</v>
      </c>
      <c r="D76" s="20">
        <v>700</v>
      </c>
      <c r="E76" s="23">
        <v>0.7</v>
      </c>
    </row>
    <row r="77" spans="1:5" x14ac:dyDescent="0.25">
      <c r="A77" t="s">
        <v>435</v>
      </c>
      <c r="B77" s="8" t="s">
        <v>3996</v>
      </c>
      <c r="C77" s="8">
        <v>2</v>
      </c>
      <c r="D77" s="20">
        <v>2307</v>
      </c>
      <c r="E77" s="23">
        <v>0.87056603773584906</v>
      </c>
    </row>
    <row r="78" spans="1:5" x14ac:dyDescent="0.25">
      <c r="A78" t="s">
        <v>446</v>
      </c>
      <c r="B78" s="8">
        <v>2021</v>
      </c>
      <c r="C78" s="8">
        <v>1</v>
      </c>
      <c r="D78" s="20">
        <v>1000</v>
      </c>
      <c r="E78" s="23">
        <v>0.5</v>
      </c>
    </row>
    <row r="79" spans="1:5" x14ac:dyDescent="0.25">
      <c r="A79" t="s">
        <v>450</v>
      </c>
      <c r="B79" s="8">
        <v>2021</v>
      </c>
      <c r="C79" s="8">
        <v>1</v>
      </c>
      <c r="D79" s="20">
        <v>918</v>
      </c>
      <c r="E79" s="23">
        <v>0.32041884816753902</v>
      </c>
    </row>
    <row r="80" spans="1:5" x14ac:dyDescent="0.25">
      <c r="A80" t="s">
        <v>453</v>
      </c>
      <c r="B80" s="8">
        <v>2021</v>
      </c>
      <c r="C80" s="8">
        <v>1</v>
      </c>
      <c r="D80" s="20">
        <v>4511</v>
      </c>
      <c r="E80" s="23">
        <v>0.864176245210727</v>
      </c>
    </row>
    <row r="81" spans="1:5" x14ac:dyDescent="0.25">
      <c r="A81" t="s">
        <v>457</v>
      </c>
      <c r="B81" s="8">
        <v>2021</v>
      </c>
      <c r="C81" s="8">
        <v>1</v>
      </c>
      <c r="D81" s="20">
        <v>1094</v>
      </c>
      <c r="E81" s="23">
        <v>0.164116411641164</v>
      </c>
    </row>
    <row r="82" spans="1:5" x14ac:dyDescent="0.25">
      <c r="A82" t="s">
        <v>464</v>
      </c>
      <c r="B82" s="8">
        <v>2020</v>
      </c>
      <c r="C82" s="8">
        <v>1</v>
      </c>
      <c r="D82" s="20">
        <v>50</v>
      </c>
      <c r="E82" s="23">
        <v>7.3659398939304602E-3</v>
      </c>
    </row>
    <row r="83" spans="1:5" x14ac:dyDescent="0.25">
      <c r="A83" t="s">
        <v>468</v>
      </c>
      <c r="B83" s="8" t="s">
        <v>3996</v>
      </c>
      <c r="C83" s="8">
        <v>2</v>
      </c>
      <c r="D83" s="20">
        <v>246</v>
      </c>
      <c r="E83" s="23">
        <v>0.246</v>
      </c>
    </row>
    <row r="84" spans="1:5" x14ac:dyDescent="0.25">
      <c r="A84" t="s">
        <v>471</v>
      </c>
      <c r="B84" s="8">
        <v>2020</v>
      </c>
      <c r="C84" s="8">
        <v>1</v>
      </c>
      <c r="D84" s="20">
        <v>53</v>
      </c>
      <c r="E84" s="23">
        <v>1.3086419753086401E-2</v>
      </c>
    </row>
    <row r="85" spans="1:5" x14ac:dyDescent="0.25">
      <c r="A85" t="s">
        <v>472</v>
      </c>
      <c r="B85" s="8" t="s">
        <v>3993</v>
      </c>
      <c r="C85" s="8">
        <v>2</v>
      </c>
      <c r="D85" s="20">
        <v>900</v>
      </c>
      <c r="E85" s="23">
        <v>0.45</v>
      </c>
    </row>
    <row r="86" spans="1:5" x14ac:dyDescent="0.25">
      <c r="A86" t="s">
        <v>473</v>
      </c>
      <c r="B86" s="8">
        <v>2022</v>
      </c>
      <c r="C86" s="8">
        <v>1</v>
      </c>
      <c r="D86" s="20">
        <v>11473</v>
      </c>
      <c r="E86" s="23">
        <v>0.63738888888888801</v>
      </c>
    </row>
    <row r="87" spans="1:5" x14ac:dyDescent="0.25">
      <c r="A87" t="s">
        <v>479</v>
      </c>
      <c r="B87" s="8">
        <v>2021</v>
      </c>
      <c r="C87" s="8">
        <v>1</v>
      </c>
      <c r="D87" s="20">
        <v>1300</v>
      </c>
      <c r="E87" s="23">
        <v>0.65</v>
      </c>
    </row>
    <row r="88" spans="1:5" x14ac:dyDescent="0.25">
      <c r="A88" t="s">
        <v>480</v>
      </c>
      <c r="B88" s="8">
        <v>2022</v>
      </c>
      <c r="C88" s="8">
        <v>1</v>
      </c>
      <c r="D88" s="20">
        <v>700</v>
      </c>
      <c r="E88" s="23">
        <v>0.26415094339622602</v>
      </c>
    </row>
    <row r="89" spans="1:5" x14ac:dyDescent="0.25">
      <c r="A89" t="s">
        <v>481</v>
      </c>
      <c r="B89" s="8" t="s">
        <v>3993</v>
      </c>
      <c r="C89" s="8">
        <v>2</v>
      </c>
      <c r="D89" s="20">
        <v>1356</v>
      </c>
      <c r="E89" s="23">
        <v>1.3560000000000001</v>
      </c>
    </row>
    <row r="90" spans="1:5" x14ac:dyDescent="0.25">
      <c r="A90" t="s">
        <v>484</v>
      </c>
      <c r="B90" s="8">
        <v>2022</v>
      </c>
      <c r="C90" s="8">
        <v>1</v>
      </c>
      <c r="D90" s="20">
        <v>250</v>
      </c>
      <c r="E90" s="23">
        <v>0.25</v>
      </c>
    </row>
    <row r="91" spans="1:5" x14ac:dyDescent="0.25">
      <c r="A91" t="s">
        <v>488</v>
      </c>
      <c r="B91" s="8" t="s">
        <v>3993</v>
      </c>
      <c r="C91" s="8">
        <v>2</v>
      </c>
      <c r="D91" s="20">
        <v>125</v>
      </c>
      <c r="E91" s="23">
        <v>4.2999656002751893E-2</v>
      </c>
    </row>
    <row r="92" spans="1:5" x14ac:dyDescent="0.25">
      <c r="A92" t="s">
        <v>492</v>
      </c>
      <c r="B92" s="8" t="s">
        <v>3993</v>
      </c>
      <c r="C92" s="8">
        <v>2</v>
      </c>
      <c r="D92" s="20">
        <v>675</v>
      </c>
      <c r="E92" s="23">
        <v>0.45</v>
      </c>
    </row>
    <row r="93" spans="1:5" x14ac:dyDescent="0.25">
      <c r="A93" t="s">
        <v>495</v>
      </c>
      <c r="B93" s="8">
        <v>2022</v>
      </c>
      <c r="C93" s="8">
        <v>1</v>
      </c>
      <c r="D93" s="20">
        <v>200</v>
      </c>
      <c r="E93" s="23">
        <v>5.2700922266139601E-2</v>
      </c>
    </row>
    <row r="94" spans="1:5" x14ac:dyDescent="0.25">
      <c r="A94" t="s">
        <v>498</v>
      </c>
      <c r="B94" s="8">
        <v>2020</v>
      </c>
      <c r="C94" s="8">
        <v>1</v>
      </c>
      <c r="D94" s="20">
        <v>360</v>
      </c>
      <c r="E94" s="23">
        <v>0.36</v>
      </c>
    </row>
    <row r="95" spans="1:5" x14ac:dyDescent="0.25">
      <c r="A95" t="s">
        <v>503</v>
      </c>
      <c r="B95" s="8">
        <v>2020</v>
      </c>
      <c r="C95" s="8">
        <v>1</v>
      </c>
      <c r="D95" s="20">
        <v>250</v>
      </c>
      <c r="E95" s="23">
        <v>0.125</v>
      </c>
    </row>
    <row r="96" spans="1:5" x14ac:dyDescent="0.25">
      <c r="A96" t="s">
        <v>515</v>
      </c>
      <c r="B96" s="8">
        <v>2021</v>
      </c>
      <c r="C96" s="8">
        <v>1</v>
      </c>
      <c r="D96" s="20">
        <v>4000</v>
      </c>
      <c r="E96" s="23">
        <v>0.72727272727272696</v>
      </c>
    </row>
    <row r="97" spans="1:5" x14ac:dyDescent="0.25">
      <c r="A97" t="s">
        <v>530</v>
      </c>
      <c r="B97" s="8">
        <v>2022</v>
      </c>
      <c r="C97" s="8">
        <v>1</v>
      </c>
      <c r="D97" s="20">
        <v>1000</v>
      </c>
      <c r="E97" s="23">
        <v>0.36363636363636298</v>
      </c>
    </row>
    <row r="98" spans="1:5" x14ac:dyDescent="0.25">
      <c r="A98" t="s">
        <v>541</v>
      </c>
      <c r="B98" s="8">
        <v>2021</v>
      </c>
      <c r="C98" s="8">
        <v>1</v>
      </c>
      <c r="D98" s="20">
        <v>2714</v>
      </c>
      <c r="E98" s="23">
        <v>0.22616666666666599</v>
      </c>
    </row>
    <row r="99" spans="1:5" x14ac:dyDescent="0.25">
      <c r="A99" t="s">
        <v>547</v>
      </c>
      <c r="B99" s="8">
        <v>2021</v>
      </c>
      <c r="C99" s="8">
        <v>1</v>
      </c>
      <c r="D99" s="20">
        <v>1320</v>
      </c>
      <c r="E99" s="23">
        <v>0.4</v>
      </c>
    </row>
    <row r="100" spans="1:5" x14ac:dyDescent="0.25">
      <c r="A100" t="s">
        <v>563</v>
      </c>
      <c r="B100" s="8">
        <v>2021</v>
      </c>
      <c r="C100" s="8">
        <v>1</v>
      </c>
      <c r="D100" s="20">
        <v>1300</v>
      </c>
      <c r="E100" s="23">
        <v>0.141304347826086</v>
      </c>
    </row>
    <row r="101" spans="1:5" x14ac:dyDescent="0.25">
      <c r="A101" t="s">
        <v>569</v>
      </c>
      <c r="B101" s="8">
        <v>2022</v>
      </c>
      <c r="C101" s="8">
        <v>1</v>
      </c>
      <c r="D101" s="20">
        <v>1802</v>
      </c>
      <c r="E101" s="23">
        <v>0.65527272727272701</v>
      </c>
    </row>
    <row r="102" spans="1:5" x14ac:dyDescent="0.25">
      <c r="A102" t="s">
        <v>572</v>
      </c>
      <c r="B102" s="8" t="s">
        <v>3993</v>
      </c>
      <c r="C102" s="8">
        <v>2</v>
      </c>
      <c r="D102" s="20">
        <v>2600</v>
      </c>
      <c r="E102" s="23">
        <v>0.94545454545454499</v>
      </c>
    </row>
    <row r="103" spans="1:5" x14ac:dyDescent="0.25">
      <c r="A103" t="s">
        <v>575</v>
      </c>
      <c r="B103" s="8" t="s">
        <v>3993</v>
      </c>
      <c r="C103" s="8">
        <v>2</v>
      </c>
      <c r="D103" s="20">
        <v>1750</v>
      </c>
      <c r="E103" s="23">
        <v>0.79545454545454497</v>
      </c>
    </row>
    <row r="104" spans="1:5" x14ac:dyDescent="0.25">
      <c r="A104" t="s">
        <v>586</v>
      </c>
      <c r="B104" s="8" t="s">
        <v>3996</v>
      </c>
      <c r="C104" s="8">
        <v>2</v>
      </c>
      <c r="D104" s="20">
        <v>3250</v>
      </c>
      <c r="E104" s="23">
        <v>1.181818181818181</v>
      </c>
    </row>
    <row r="105" spans="1:5" x14ac:dyDescent="0.25">
      <c r="A105" t="s">
        <v>589</v>
      </c>
      <c r="B105" s="8" t="s">
        <v>3995</v>
      </c>
      <c r="C105" s="8">
        <v>3</v>
      </c>
      <c r="D105" s="20">
        <v>3950</v>
      </c>
      <c r="E105" s="23">
        <v>1.4363636363636352</v>
      </c>
    </row>
    <row r="106" spans="1:5" x14ac:dyDescent="0.25">
      <c r="A106" t="s">
        <v>592</v>
      </c>
      <c r="B106" s="8" t="s">
        <v>3995</v>
      </c>
      <c r="C106" s="8">
        <v>3</v>
      </c>
      <c r="D106" s="20">
        <v>3520</v>
      </c>
      <c r="E106" s="23">
        <v>1.2799999999999991</v>
      </c>
    </row>
    <row r="107" spans="1:5" x14ac:dyDescent="0.25">
      <c r="A107" t="s">
        <v>598</v>
      </c>
      <c r="B107" s="8">
        <v>2020</v>
      </c>
      <c r="C107" s="8">
        <v>1</v>
      </c>
      <c r="D107" s="20">
        <v>400</v>
      </c>
      <c r="E107" s="23">
        <v>0.18181818181818099</v>
      </c>
    </row>
    <row r="108" spans="1:5" x14ac:dyDescent="0.25">
      <c r="A108" t="s">
        <v>602</v>
      </c>
      <c r="B108" s="8" t="s">
        <v>3995</v>
      </c>
      <c r="C108" s="8">
        <v>3</v>
      </c>
      <c r="D108" s="20">
        <v>2850</v>
      </c>
      <c r="E108" s="23">
        <v>1.0363636363636344</v>
      </c>
    </row>
    <row r="109" spans="1:5" x14ac:dyDescent="0.25">
      <c r="A109" t="s">
        <v>605</v>
      </c>
      <c r="B109" s="8" t="s">
        <v>3993</v>
      </c>
      <c r="C109" s="8">
        <v>2</v>
      </c>
      <c r="D109" s="20">
        <v>3050</v>
      </c>
      <c r="E109" s="23">
        <v>1.109090909090908</v>
      </c>
    </row>
    <row r="110" spans="1:5" x14ac:dyDescent="0.25">
      <c r="A110" t="s">
        <v>608</v>
      </c>
      <c r="B110" s="8" t="s">
        <v>3993</v>
      </c>
      <c r="C110" s="8">
        <v>2</v>
      </c>
      <c r="D110" s="20">
        <v>3741</v>
      </c>
      <c r="E110" s="23">
        <v>0.79325699745547051</v>
      </c>
    </row>
    <row r="111" spans="1:5" x14ac:dyDescent="0.25">
      <c r="A111" t="s">
        <v>611</v>
      </c>
      <c r="B111" s="8">
        <v>2020</v>
      </c>
      <c r="C111" s="8">
        <v>1</v>
      </c>
      <c r="D111" s="20">
        <v>150</v>
      </c>
      <c r="E111" s="23">
        <v>3.4090909090908998E-2</v>
      </c>
    </row>
    <row r="112" spans="1:5" x14ac:dyDescent="0.25">
      <c r="A112" t="s">
        <v>614</v>
      </c>
      <c r="B112" s="8" t="s">
        <v>3995</v>
      </c>
      <c r="C112" s="8">
        <v>3</v>
      </c>
      <c r="D112" s="20">
        <v>3691</v>
      </c>
      <c r="E112" s="23">
        <v>1.677727272727271</v>
      </c>
    </row>
    <row r="113" spans="1:5" x14ac:dyDescent="0.25">
      <c r="A113" t="s">
        <v>617</v>
      </c>
      <c r="B113" s="8">
        <v>2022</v>
      </c>
      <c r="C113" s="8">
        <v>1</v>
      </c>
      <c r="D113" s="20">
        <v>370</v>
      </c>
      <c r="E113" s="23">
        <v>0.134545454545454</v>
      </c>
    </row>
    <row r="114" spans="1:5" x14ac:dyDescent="0.25">
      <c r="A114" t="s">
        <v>623</v>
      </c>
      <c r="B114" s="8" t="s">
        <v>3996</v>
      </c>
      <c r="C114" s="8">
        <v>2</v>
      </c>
      <c r="D114" s="20">
        <v>850</v>
      </c>
      <c r="E114" s="23">
        <v>0.30909090909090808</v>
      </c>
    </row>
    <row r="115" spans="1:5" x14ac:dyDescent="0.25">
      <c r="A115" t="s">
        <v>629</v>
      </c>
      <c r="B115" s="8" t="s">
        <v>3996</v>
      </c>
      <c r="C115" s="8">
        <v>2</v>
      </c>
      <c r="D115" s="20">
        <v>1399</v>
      </c>
      <c r="E115" s="23">
        <v>0.50872727272727203</v>
      </c>
    </row>
    <row r="116" spans="1:5" x14ac:dyDescent="0.25">
      <c r="A116" t="s">
        <v>638</v>
      </c>
      <c r="B116" s="8">
        <v>2020</v>
      </c>
      <c r="C116" s="8">
        <v>1</v>
      </c>
      <c r="D116" s="20">
        <v>465</v>
      </c>
      <c r="E116" s="23">
        <v>0.16909090909090899</v>
      </c>
    </row>
    <row r="117" spans="1:5" x14ac:dyDescent="0.25">
      <c r="A117" t="s">
        <v>644</v>
      </c>
      <c r="B117" s="8">
        <v>2020</v>
      </c>
      <c r="C117" s="8">
        <v>1</v>
      </c>
      <c r="D117" s="20">
        <v>550</v>
      </c>
      <c r="E117" s="23">
        <v>0.5</v>
      </c>
    </row>
    <row r="118" spans="1:5" x14ac:dyDescent="0.25">
      <c r="A118" t="s">
        <v>657</v>
      </c>
      <c r="B118" s="8">
        <v>2021</v>
      </c>
      <c r="C118" s="8">
        <v>1</v>
      </c>
      <c r="D118" s="20">
        <v>1000</v>
      </c>
      <c r="E118" s="23">
        <v>9.0909090909090898E-2</v>
      </c>
    </row>
    <row r="119" spans="1:5" x14ac:dyDescent="0.25">
      <c r="A119" t="s">
        <v>658</v>
      </c>
      <c r="B119" s="8">
        <v>2020</v>
      </c>
      <c r="C119" s="8">
        <v>1</v>
      </c>
      <c r="D119" s="20">
        <v>100</v>
      </c>
      <c r="E119" s="23">
        <v>3.6363636363636299E-2</v>
      </c>
    </row>
    <row r="120" spans="1:5" x14ac:dyDescent="0.25">
      <c r="A120" t="s">
        <v>661</v>
      </c>
      <c r="B120" s="8">
        <v>2021</v>
      </c>
      <c r="C120" s="8">
        <v>1</v>
      </c>
      <c r="D120" s="20">
        <v>150</v>
      </c>
      <c r="E120" s="23">
        <v>0.27272727272727199</v>
      </c>
    </row>
    <row r="121" spans="1:5" x14ac:dyDescent="0.25">
      <c r="A121" t="s">
        <v>664</v>
      </c>
      <c r="B121" s="8">
        <v>2021</v>
      </c>
      <c r="C121" s="8">
        <v>1</v>
      </c>
      <c r="D121" s="20">
        <v>280</v>
      </c>
      <c r="E121" s="23">
        <v>0.50909090909090904</v>
      </c>
    </row>
    <row r="122" spans="1:5" x14ac:dyDescent="0.25">
      <c r="A122" t="s">
        <v>667</v>
      </c>
      <c r="B122" s="8">
        <v>2021</v>
      </c>
      <c r="C122" s="8">
        <v>1</v>
      </c>
      <c r="D122" s="20">
        <v>60</v>
      </c>
      <c r="E122" s="23">
        <v>5.4545454545454501E-2</v>
      </c>
    </row>
    <row r="123" spans="1:5" x14ac:dyDescent="0.25">
      <c r="A123" t="s">
        <v>671</v>
      </c>
      <c r="B123" s="8">
        <v>2021</v>
      </c>
      <c r="C123" s="8">
        <v>1</v>
      </c>
      <c r="D123" s="20">
        <v>50</v>
      </c>
      <c r="E123" s="23">
        <v>9.0909090909090898E-2</v>
      </c>
    </row>
    <row r="124" spans="1:5" x14ac:dyDescent="0.25">
      <c r="A124" t="s">
        <v>674</v>
      </c>
      <c r="B124" s="8">
        <v>2021</v>
      </c>
      <c r="C124" s="8">
        <v>1</v>
      </c>
      <c r="D124" s="20">
        <v>140</v>
      </c>
      <c r="E124" s="23">
        <v>0.25454545454545402</v>
      </c>
    </row>
    <row r="125" spans="1:5" x14ac:dyDescent="0.25">
      <c r="A125" t="s">
        <v>677</v>
      </c>
      <c r="B125" s="8">
        <v>2021</v>
      </c>
      <c r="C125" s="8">
        <v>1</v>
      </c>
      <c r="D125" s="20">
        <v>35</v>
      </c>
      <c r="E125" s="23">
        <v>6.3636363636363602E-2</v>
      </c>
    </row>
    <row r="126" spans="1:5" x14ac:dyDescent="0.25">
      <c r="A126" t="s">
        <v>680</v>
      </c>
      <c r="B126" s="8">
        <v>2021</v>
      </c>
      <c r="C126" s="8">
        <v>1</v>
      </c>
      <c r="D126" s="20">
        <v>120</v>
      </c>
      <c r="E126" s="23">
        <v>0.218181818181818</v>
      </c>
    </row>
    <row r="127" spans="1:5" x14ac:dyDescent="0.25">
      <c r="A127" t="s">
        <v>684</v>
      </c>
      <c r="B127" s="8">
        <v>2021</v>
      </c>
      <c r="C127" s="8">
        <v>1</v>
      </c>
      <c r="D127" s="20">
        <v>150</v>
      </c>
      <c r="E127" s="23">
        <v>0.13636363636363599</v>
      </c>
    </row>
    <row r="128" spans="1:5" x14ac:dyDescent="0.25">
      <c r="A128" t="s">
        <v>690</v>
      </c>
      <c r="B128" s="8">
        <v>2021</v>
      </c>
      <c r="C128" s="8">
        <v>1</v>
      </c>
      <c r="D128" s="20">
        <v>140</v>
      </c>
      <c r="E128" s="23">
        <v>0.25454545454545402</v>
      </c>
    </row>
    <row r="129" spans="1:5" x14ac:dyDescent="0.25">
      <c r="A129" t="s">
        <v>700</v>
      </c>
      <c r="B129" s="8">
        <v>2021</v>
      </c>
      <c r="C129" s="8">
        <v>1</v>
      </c>
      <c r="D129" s="20">
        <v>650</v>
      </c>
      <c r="E129" s="23">
        <v>0.59090909090909005</v>
      </c>
    </row>
    <row r="130" spans="1:5" x14ac:dyDescent="0.25">
      <c r="A130" t="s">
        <v>703</v>
      </c>
      <c r="B130" s="8">
        <v>2021</v>
      </c>
      <c r="C130" s="8">
        <v>1</v>
      </c>
      <c r="D130" s="20">
        <v>100</v>
      </c>
      <c r="E130" s="23">
        <v>0.18181818181818099</v>
      </c>
    </row>
    <row r="131" spans="1:5" x14ac:dyDescent="0.25">
      <c r="A131" t="s">
        <v>707</v>
      </c>
      <c r="B131" s="8">
        <v>2021</v>
      </c>
      <c r="C131" s="8">
        <v>1</v>
      </c>
      <c r="D131" s="20">
        <v>300</v>
      </c>
      <c r="E131" s="23">
        <v>0.27272727272727199</v>
      </c>
    </row>
    <row r="132" spans="1:5" x14ac:dyDescent="0.25">
      <c r="A132" t="s">
        <v>713</v>
      </c>
      <c r="B132" s="8">
        <v>2021</v>
      </c>
      <c r="C132" s="8">
        <v>1</v>
      </c>
      <c r="D132" s="20">
        <v>100</v>
      </c>
      <c r="E132" s="23">
        <v>9.0909090909090898E-2</v>
      </c>
    </row>
    <row r="133" spans="1:5" x14ac:dyDescent="0.25">
      <c r="A133" t="s">
        <v>716</v>
      </c>
      <c r="B133" s="8">
        <v>2021</v>
      </c>
      <c r="C133" s="8">
        <v>1</v>
      </c>
      <c r="D133" s="20">
        <v>115</v>
      </c>
      <c r="E133" s="23">
        <v>0.20909090909090899</v>
      </c>
    </row>
    <row r="134" spans="1:5" x14ac:dyDescent="0.25">
      <c r="A134" t="s">
        <v>717</v>
      </c>
      <c r="B134" s="8">
        <v>2021</v>
      </c>
      <c r="C134" s="8">
        <v>1</v>
      </c>
      <c r="D134" s="20">
        <v>130</v>
      </c>
      <c r="E134" s="23">
        <v>0.118181818181818</v>
      </c>
    </row>
    <row r="135" spans="1:5" x14ac:dyDescent="0.25">
      <c r="A135" t="s">
        <v>723</v>
      </c>
      <c r="B135" s="8">
        <v>2021</v>
      </c>
      <c r="C135" s="8">
        <v>1</v>
      </c>
      <c r="D135" s="20">
        <v>150</v>
      </c>
      <c r="E135" s="23">
        <v>0.27272727272727199</v>
      </c>
    </row>
    <row r="136" spans="1:5" x14ac:dyDescent="0.25">
      <c r="A136" t="s">
        <v>730</v>
      </c>
      <c r="B136" s="8">
        <v>2021</v>
      </c>
      <c r="C136" s="8">
        <v>1</v>
      </c>
      <c r="D136" s="20">
        <v>100</v>
      </c>
      <c r="E136" s="23">
        <v>1.8181818181818101E-2</v>
      </c>
    </row>
    <row r="137" spans="1:5" x14ac:dyDescent="0.25">
      <c r="A137" t="s">
        <v>755</v>
      </c>
      <c r="B137" s="8">
        <v>2021</v>
      </c>
      <c r="C137" s="8">
        <v>1</v>
      </c>
      <c r="D137" s="20">
        <v>150</v>
      </c>
      <c r="E137" s="23">
        <v>0.13636363636363599</v>
      </c>
    </row>
    <row r="138" spans="1:5" x14ac:dyDescent="0.25">
      <c r="A138" t="s">
        <v>770</v>
      </c>
      <c r="B138" s="8">
        <v>2021</v>
      </c>
      <c r="C138" s="8">
        <v>1</v>
      </c>
      <c r="D138" s="20">
        <v>10</v>
      </c>
      <c r="E138" s="23">
        <v>6.0606060606060597E-3</v>
      </c>
    </row>
    <row r="139" spans="1:5" x14ac:dyDescent="0.25">
      <c r="A139" t="s">
        <v>782</v>
      </c>
      <c r="B139" s="8">
        <v>2021</v>
      </c>
      <c r="C139" s="8">
        <v>1</v>
      </c>
      <c r="D139" s="20">
        <v>550</v>
      </c>
      <c r="E139" s="23">
        <v>1</v>
      </c>
    </row>
    <row r="140" spans="1:5" x14ac:dyDescent="0.25">
      <c r="A140" t="s">
        <v>855</v>
      </c>
      <c r="B140" s="8">
        <v>2016</v>
      </c>
      <c r="C140" s="8">
        <v>1</v>
      </c>
      <c r="D140" s="20">
        <v>1000</v>
      </c>
      <c r="E140" s="23">
        <v>0.45454545454545398</v>
      </c>
    </row>
    <row r="141" spans="1:5" x14ac:dyDescent="0.25">
      <c r="A141" t="s">
        <v>861</v>
      </c>
      <c r="B141" s="8" t="s">
        <v>3997</v>
      </c>
      <c r="C141" s="8">
        <v>2</v>
      </c>
      <c r="D141" s="20">
        <v>205</v>
      </c>
      <c r="E141" s="23">
        <v>0.18636363636363601</v>
      </c>
    </row>
    <row r="142" spans="1:5" x14ac:dyDescent="0.25">
      <c r="A142" t="s">
        <v>864</v>
      </c>
      <c r="B142" s="8">
        <v>2017</v>
      </c>
      <c r="C142" s="8">
        <v>1</v>
      </c>
      <c r="D142" s="20">
        <v>1800</v>
      </c>
      <c r="E142" s="23">
        <v>0.81818181818181801</v>
      </c>
    </row>
    <row r="143" spans="1:5" x14ac:dyDescent="0.25">
      <c r="A143" t="s">
        <v>865</v>
      </c>
      <c r="B143" s="8">
        <v>2018</v>
      </c>
      <c r="C143" s="8">
        <v>1</v>
      </c>
      <c r="D143" s="20">
        <v>2200</v>
      </c>
      <c r="E143" s="23">
        <v>1</v>
      </c>
    </row>
    <row r="144" spans="1:5" x14ac:dyDescent="0.25">
      <c r="A144" t="s">
        <v>866</v>
      </c>
      <c r="B144" s="8" t="s">
        <v>3998</v>
      </c>
      <c r="C144" s="8">
        <v>2</v>
      </c>
      <c r="D144" s="20">
        <v>1350</v>
      </c>
      <c r="E144" s="23">
        <v>0.61363636363636309</v>
      </c>
    </row>
    <row r="145" spans="1:5" x14ac:dyDescent="0.25">
      <c r="A145" t="s">
        <v>869</v>
      </c>
      <c r="B145" s="8">
        <v>2016</v>
      </c>
      <c r="C145" s="8">
        <v>1</v>
      </c>
      <c r="D145" s="20">
        <v>240</v>
      </c>
      <c r="E145" s="23">
        <v>0.218181818181818</v>
      </c>
    </row>
    <row r="146" spans="1:5" x14ac:dyDescent="0.25">
      <c r="A146" t="s">
        <v>872</v>
      </c>
      <c r="B146" s="8" t="s">
        <v>3998</v>
      </c>
      <c r="C146" s="8">
        <v>2</v>
      </c>
      <c r="D146" s="20">
        <v>340</v>
      </c>
      <c r="E146" s="23">
        <v>0.42499999999999999</v>
      </c>
    </row>
    <row r="147" spans="1:5" x14ac:dyDescent="0.25">
      <c r="A147" t="s">
        <v>875</v>
      </c>
      <c r="B147" s="8" t="s">
        <v>3999</v>
      </c>
      <c r="C147" s="8">
        <v>2</v>
      </c>
      <c r="D147" s="20">
        <v>2050</v>
      </c>
      <c r="E147" s="23">
        <v>1.242424242424242</v>
      </c>
    </row>
    <row r="148" spans="1:5" x14ac:dyDescent="0.25">
      <c r="A148" t="s">
        <v>878</v>
      </c>
      <c r="B148" s="8" t="s">
        <v>3998</v>
      </c>
      <c r="C148" s="8">
        <v>2</v>
      </c>
      <c r="D148" s="20">
        <v>865</v>
      </c>
      <c r="E148" s="23">
        <v>1.5727272727272719</v>
      </c>
    </row>
    <row r="149" spans="1:5" x14ac:dyDescent="0.25">
      <c r="A149" t="s">
        <v>881</v>
      </c>
      <c r="B149" s="8">
        <v>2017</v>
      </c>
      <c r="C149" s="8">
        <v>1</v>
      </c>
      <c r="D149" s="20">
        <v>150</v>
      </c>
      <c r="E149" s="23">
        <v>0.115830115830115</v>
      </c>
    </row>
    <row r="150" spans="1:5" x14ac:dyDescent="0.25">
      <c r="A150" t="s">
        <v>890</v>
      </c>
      <c r="B150" s="8" t="s">
        <v>3998</v>
      </c>
      <c r="C150" s="8">
        <v>2</v>
      </c>
      <c r="D150" s="20">
        <v>950</v>
      </c>
      <c r="E150" s="23">
        <v>1.439393939393939</v>
      </c>
    </row>
    <row r="151" spans="1:5" x14ac:dyDescent="0.25">
      <c r="A151" t="s">
        <v>898</v>
      </c>
      <c r="B151" s="8">
        <v>2019</v>
      </c>
      <c r="C151" s="8">
        <v>1</v>
      </c>
      <c r="D151" s="20">
        <v>30</v>
      </c>
      <c r="E151" s="23">
        <v>1.3636363636363599E-2</v>
      </c>
    </row>
    <row r="152" spans="1:5" x14ac:dyDescent="0.25">
      <c r="A152" t="s">
        <v>901</v>
      </c>
      <c r="B152" s="8">
        <v>2019</v>
      </c>
      <c r="C152" s="8">
        <v>1</v>
      </c>
      <c r="D152" s="20">
        <v>30</v>
      </c>
      <c r="E152" s="23">
        <v>5.4545454545454501E-2</v>
      </c>
    </row>
    <row r="153" spans="1:5" x14ac:dyDescent="0.25">
      <c r="A153" t="s">
        <v>904</v>
      </c>
      <c r="B153" s="8">
        <v>2017</v>
      </c>
      <c r="C153" s="8">
        <v>1</v>
      </c>
      <c r="D153" s="20">
        <v>40</v>
      </c>
      <c r="E153" s="23">
        <v>4.20609884332281E-2</v>
      </c>
    </row>
    <row r="154" spans="1:5" x14ac:dyDescent="0.25">
      <c r="A154" t="s">
        <v>917</v>
      </c>
      <c r="B154" s="8" t="s">
        <v>4000</v>
      </c>
      <c r="C154" s="8">
        <v>2</v>
      </c>
      <c r="D154" s="20">
        <v>265</v>
      </c>
      <c r="E154" s="23">
        <v>0.10474308300395241</v>
      </c>
    </row>
    <row r="155" spans="1:5" x14ac:dyDescent="0.25">
      <c r="A155" t="s">
        <v>921</v>
      </c>
      <c r="B155" s="8" t="s">
        <v>4001</v>
      </c>
      <c r="C155" s="8">
        <v>3</v>
      </c>
      <c r="D155" s="20">
        <v>226</v>
      </c>
      <c r="E155" s="23">
        <v>0.34242424242424163</v>
      </c>
    </row>
    <row r="156" spans="1:5" x14ac:dyDescent="0.25">
      <c r="A156" t="s">
        <v>926</v>
      </c>
      <c r="B156" s="8">
        <v>2019</v>
      </c>
      <c r="C156" s="8">
        <v>1</v>
      </c>
      <c r="D156" s="20">
        <v>286</v>
      </c>
      <c r="E156" s="23">
        <v>0.26</v>
      </c>
    </row>
    <row r="157" spans="1:5" x14ac:dyDescent="0.25">
      <c r="A157" t="s">
        <v>932</v>
      </c>
      <c r="B157" s="8">
        <v>2019</v>
      </c>
      <c r="C157" s="8">
        <v>1</v>
      </c>
      <c r="D157" s="20">
        <v>200</v>
      </c>
      <c r="E157" s="23">
        <v>0.47058823529411697</v>
      </c>
    </row>
    <row r="158" spans="1:5" x14ac:dyDescent="0.25">
      <c r="A158" t="s">
        <v>936</v>
      </c>
      <c r="B158" s="8" t="s">
        <v>4002</v>
      </c>
      <c r="C158" s="8">
        <v>2</v>
      </c>
      <c r="D158" s="20">
        <v>710</v>
      </c>
      <c r="E158" s="23">
        <v>0.64545454545454495</v>
      </c>
    </row>
    <row r="159" spans="1:5" x14ac:dyDescent="0.25">
      <c r="A159" t="s">
        <v>939</v>
      </c>
      <c r="B159" s="8" t="s">
        <v>4001</v>
      </c>
      <c r="C159" s="8">
        <v>3</v>
      </c>
      <c r="D159" s="20">
        <v>1392</v>
      </c>
      <c r="E159" s="23">
        <v>0.55019762845849784</v>
      </c>
    </row>
    <row r="160" spans="1:5" x14ac:dyDescent="0.25">
      <c r="A160" t="s">
        <v>942</v>
      </c>
      <c r="B160" s="8">
        <v>2019</v>
      </c>
      <c r="C160" s="8">
        <v>1</v>
      </c>
      <c r="D160" s="20">
        <v>200</v>
      </c>
      <c r="E160" s="23">
        <v>0.36363636363636298</v>
      </c>
    </row>
    <row r="161" spans="1:5" x14ac:dyDescent="0.25">
      <c r="A161" t="s">
        <v>949</v>
      </c>
      <c r="B161" s="8">
        <v>2020</v>
      </c>
      <c r="C161" s="8">
        <v>1</v>
      </c>
      <c r="D161" s="20">
        <v>2200</v>
      </c>
      <c r="E161" s="23">
        <v>0.5</v>
      </c>
    </row>
    <row r="162" spans="1:5" x14ac:dyDescent="0.25">
      <c r="A162" t="s">
        <v>952</v>
      </c>
      <c r="B162" s="8" t="s">
        <v>3996</v>
      </c>
      <c r="C162" s="8">
        <v>2</v>
      </c>
      <c r="D162" s="20">
        <v>1735</v>
      </c>
      <c r="E162" s="23">
        <v>1.5772727272727201</v>
      </c>
    </row>
    <row r="163" spans="1:5" x14ac:dyDescent="0.25">
      <c r="A163" t="s">
        <v>956</v>
      </c>
      <c r="B163" s="8" t="s">
        <v>3996</v>
      </c>
      <c r="C163" s="8">
        <v>2</v>
      </c>
      <c r="D163" s="20">
        <v>369</v>
      </c>
      <c r="E163" s="23">
        <v>0.80217391304347796</v>
      </c>
    </row>
    <row r="164" spans="1:5" x14ac:dyDescent="0.25">
      <c r="A164" t="s">
        <v>958</v>
      </c>
      <c r="B164" s="8" t="s">
        <v>3995</v>
      </c>
      <c r="C164" s="8">
        <v>3</v>
      </c>
      <c r="D164" s="20">
        <v>615</v>
      </c>
      <c r="E164" s="23">
        <v>1.1181818181818159</v>
      </c>
    </row>
    <row r="165" spans="1:5" x14ac:dyDescent="0.25">
      <c r="A165" t="s">
        <v>961</v>
      </c>
      <c r="B165" s="8" t="s">
        <v>4003</v>
      </c>
      <c r="C165" s="8">
        <v>3</v>
      </c>
      <c r="D165" s="20">
        <v>3572</v>
      </c>
      <c r="E165" s="23">
        <v>1.0505882352941169</v>
      </c>
    </row>
    <row r="166" spans="1:5" x14ac:dyDescent="0.25">
      <c r="A166" t="s">
        <v>965</v>
      </c>
      <c r="B166" s="8" t="s">
        <v>3992</v>
      </c>
      <c r="C166" s="8">
        <v>2</v>
      </c>
      <c r="D166" s="20">
        <v>160</v>
      </c>
      <c r="E166" s="23">
        <v>0.14545454545454539</v>
      </c>
    </row>
    <row r="167" spans="1:5" x14ac:dyDescent="0.25">
      <c r="A167" t="s">
        <v>971</v>
      </c>
      <c r="B167" s="8" t="s">
        <v>3996</v>
      </c>
      <c r="C167" s="8">
        <v>2</v>
      </c>
      <c r="D167" s="20">
        <v>537</v>
      </c>
      <c r="E167" s="23">
        <v>0.488181818181817</v>
      </c>
    </row>
    <row r="168" spans="1:5" x14ac:dyDescent="0.25">
      <c r="A168" t="s">
        <v>975</v>
      </c>
      <c r="B168" s="8">
        <v>2020</v>
      </c>
      <c r="C168" s="8">
        <v>1</v>
      </c>
      <c r="D168" s="20">
        <v>250</v>
      </c>
      <c r="E168" s="23">
        <v>7.8864353312302807E-2</v>
      </c>
    </row>
    <row r="169" spans="1:5" x14ac:dyDescent="0.25">
      <c r="A169" t="s">
        <v>978</v>
      </c>
      <c r="B169" s="8">
        <v>2020</v>
      </c>
      <c r="C169" s="8">
        <v>1</v>
      </c>
      <c r="D169" s="20">
        <v>1100</v>
      </c>
      <c r="E169" s="23">
        <v>1</v>
      </c>
    </row>
    <row r="170" spans="1:5" x14ac:dyDescent="0.25">
      <c r="A170" t="s">
        <v>981</v>
      </c>
      <c r="B170" s="8" t="s">
        <v>3996</v>
      </c>
      <c r="C170" s="8">
        <v>2</v>
      </c>
      <c r="D170" s="20">
        <v>887</v>
      </c>
      <c r="E170" s="23">
        <v>0.80636363636363595</v>
      </c>
    </row>
    <row r="171" spans="1:5" x14ac:dyDescent="0.25">
      <c r="A171" t="s">
        <v>984</v>
      </c>
      <c r="B171" s="8" t="s">
        <v>4003</v>
      </c>
      <c r="C171" s="8">
        <v>3</v>
      </c>
      <c r="D171" s="20">
        <v>1224</v>
      </c>
      <c r="E171" s="23">
        <v>1.1127272727272719</v>
      </c>
    </row>
    <row r="172" spans="1:5" x14ac:dyDescent="0.25">
      <c r="A172" t="s">
        <v>988</v>
      </c>
      <c r="B172" s="8" t="s">
        <v>3996</v>
      </c>
      <c r="C172" s="8">
        <v>2</v>
      </c>
      <c r="D172" s="20">
        <v>144</v>
      </c>
      <c r="E172" s="23">
        <v>0.13090909090909</v>
      </c>
    </row>
    <row r="173" spans="1:5" x14ac:dyDescent="0.25">
      <c r="A173" t="s">
        <v>991</v>
      </c>
      <c r="B173" s="8">
        <v>2019</v>
      </c>
      <c r="C173" s="8">
        <v>1</v>
      </c>
      <c r="D173" s="20">
        <v>64</v>
      </c>
      <c r="E173" s="23">
        <v>5.8181818181818099E-2</v>
      </c>
    </row>
    <row r="174" spans="1:5" x14ac:dyDescent="0.25">
      <c r="A174" t="s">
        <v>994</v>
      </c>
      <c r="B174" s="8" t="s">
        <v>3996</v>
      </c>
      <c r="C174" s="8">
        <v>2</v>
      </c>
      <c r="D174" s="20">
        <v>321</v>
      </c>
      <c r="E174" s="23">
        <v>0.3647727272727268</v>
      </c>
    </row>
    <row r="175" spans="1:5" x14ac:dyDescent="0.25">
      <c r="A175" t="s">
        <v>997</v>
      </c>
      <c r="B175" s="8" t="s">
        <v>3992</v>
      </c>
      <c r="C175" s="8">
        <v>2</v>
      </c>
      <c r="D175" s="20">
        <v>882</v>
      </c>
      <c r="E175" s="23">
        <v>0.80181818181818143</v>
      </c>
    </row>
    <row r="176" spans="1:5" x14ac:dyDescent="0.25">
      <c r="A176" t="s">
        <v>1000</v>
      </c>
      <c r="B176" s="8" t="s">
        <v>4000</v>
      </c>
      <c r="C176" s="8">
        <v>2</v>
      </c>
      <c r="D176" s="20">
        <v>720</v>
      </c>
      <c r="E176" s="23">
        <v>0.65454545454545299</v>
      </c>
    </row>
    <row r="177" spans="1:5" x14ac:dyDescent="0.25">
      <c r="A177" t="s">
        <v>1003</v>
      </c>
      <c r="B177" s="8">
        <v>2021</v>
      </c>
      <c r="C177" s="8">
        <v>1</v>
      </c>
      <c r="D177" s="20">
        <v>400</v>
      </c>
      <c r="E177" s="23">
        <v>0.36363636363636298</v>
      </c>
    </row>
    <row r="178" spans="1:5" x14ac:dyDescent="0.25">
      <c r="A178" t="s">
        <v>1006</v>
      </c>
      <c r="B178" s="8">
        <v>2021</v>
      </c>
      <c r="C178" s="8">
        <v>1</v>
      </c>
      <c r="D178" s="20">
        <v>1661</v>
      </c>
      <c r="E178" s="23">
        <v>0.50333333333333297</v>
      </c>
    </row>
    <row r="179" spans="1:5" x14ac:dyDescent="0.25">
      <c r="A179" t="s">
        <v>1010</v>
      </c>
      <c r="B179" s="8" t="s">
        <v>3995</v>
      </c>
      <c r="C179" s="8">
        <v>3</v>
      </c>
      <c r="D179" s="20">
        <v>750</v>
      </c>
      <c r="E179" s="23">
        <v>0.68181818181818132</v>
      </c>
    </row>
    <row r="180" spans="1:5" x14ac:dyDescent="0.25">
      <c r="A180" t="s">
        <v>1013</v>
      </c>
      <c r="B180" s="8" t="s">
        <v>3994</v>
      </c>
      <c r="C180" s="8">
        <v>2</v>
      </c>
      <c r="D180" s="20">
        <v>380</v>
      </c>
      <c r="E180" s="23">
        <v>0.76</v>
      </c>
    </row>
    <row r="181" spans="1:5" x14ac:dyDescent="0.25">
      <c r="A181" t="s">
        <v>1016</v>
      </c>
      <c r="B181" s="8" t="s">
        <v>3994</v>
      </c>
      <c r="C181" s="8">
        <v>2</v>
      </c>
      <c r="D181" s="20">
        <v>928</v>
      </c>
      <c r="E181" s="23">
        <v>0.70303030303030201</v>
      </c>
    </row>
    <row r="182" spans="1:5" x14ac:dyDescent="0.25">
      <c r="A182" t="s">
        <v>1017</v>
      </c>
      <c r="B182" s="8" t="s">
        <v>3995</v>
      </c>
      <c r="C182" s="8">
        <v>3</v>
      </c>
      <c r="D182" s="20">
        <v>693</v>
      </c>
      <c r="E182" s="23">
        <v>0.41999999999999926</v>
      </c>
    </row>
    <row r="183" spans="1:5" x14ac:dyDescent="0.25">
      <c r="A183" t="s">
        <v>1020</v>
      </c>
      <c r="B183" s="8" t="s">
        <v>3995</v>
      </c>
      <c r="C183" s="8">
        <v>3</v>
      </c>
      <c r="D183" s="20">
        <v>441</v>
      </c>
      <c r="E183" s="23">
        <v>0.4009090909090901</v>
      </c>
    </row>
    <row r="184" spans="1:5" x14ac:dyDescent="0.25">
      <c r="A184" t="s">
        <v>1024</v>
      </c>
      <c r="B184" s="8" t="s">
        <v>3995</v>
      </c>
      <c r="C184" s="8">
        <v>3</v>
      </c>
      <c r="D184" s="20">
        <v>541</v>
      </c>
      <c r="E184" s="23">
        <v>0.39779411764705769</v>
      </c>
    </row>
    <row r="185" spans="1:5" x14ac:dyDescent="0.25">
      <c r="A185" t="s">
        <v>1028</v>
      </c>
      <c r="B185" s="8">
        <v>2021</v>
      </c>
      <c r="C185" s="8">
        <v>1</v>
      </c>
      <c r="D185" s="20">
        <v>250</v>
      </c>
      <c r="E185" s="23">
        <v>0.22727272727272699</v>
      </c>
    </row>
    <row r="186" spans="1:5" x14ac:dyDescent="0.25">
      <c r="A186" t="s">
        <v>1031</v>
      </c>
      <c r="B186" s="8" t="s">
        <v>3994</v>
      </c>
      <c r="C186" s="8">
        <v>2</v>
      </c>
      <c r="D186" s="20">
        <v>1460</v>
      </c>
      <c r="E186" s="23">
        <v>0.66363636363636302</v>
      </c>
    </row>
    <row r="187" spans="1:5" x14ac:dyDescent="0.25">
      <c r="A187" t="s">
        <v>1034</v>
      </c>
      <c r="B187" s="8">
        <v>2020</v>
      </c>
      <c r="C187" s="8">
        <v>1</v>
      </c>
      <c r="D187" s="20">
        <v>128</v>
      </c>
      <c r="E187" s="23">
        <v>0.23272727272727201</v>
      </c>
    </row>
    <row r="188" spans="1:5" x14ac:dyDescent="0.25">
      <c r="A188" t="s">
        <v>1035</v>
      </c>
      <c r="B188" s="8" t="s">
        <v>3994</v>
      </c>
      <c r="C188" s="8">
        <v>2</v>
      </c>
      <c r="D188" s="20">
        <v>88</v>
      </c>
      <c r="E188" s="23">
        <v>0.19999999999999979</v>
      </c>
    </row>
    <row r="189" spans="1:5" x14ac:dyDescent="0.25">
      <c r="A189" t="s">
        <v>1036</v>
      </c>
      <c r="B189" s="8" t="s">
        <v>3995</v>
      </c>
      <c r="C189" s="8">
        <v>3</v>
      </c>
      <c r="D189" s="20">
        <v>422</v>
      </c>
      <c r="E189" s="23">
        <v>0.38363636363636222</v>
      </c>
    </row>
    <row r="190" spans="1:5" x14ac:dyDescent="0.25">
      <c r="A190" t="s">
        <v>1039</v>
      </c>
      <c r="B190" s="8" t="s">
        <v>3995</v>
      </c>
      <c r="C190" s="8">
        <v>3</v>
      </c>
      <c r="D190" s="20">
        <v>656</v>
      </c>
      <c r="E190" s="23">
        <v>0.5963636363636351</v>
      </c>
    </row>
    <row r="191" spans="1:5" x14ac:dyDescent="0.25">
      <c r="A191" t="s">
        <v>1043</v>
      </c>
      <c r="B191" s="8">
        <v>2020</v>
      </c>
      <c r="C191" s="8">
        <v>1</v>
      </c>
      <c r="D191" s="20">
        <v>204</v>
      </c>
      <c r="E191" s="23">
        <v>3.7090909090909001E-2</v>
      </c>
    </row>
    <row r="192" spans="1:5" x14ac:dyDescent="0.25">
      <c r="A192" t="s">
        <v>1046</v>
      </c>
      <c r="B192" s="8" t="s">
        <v>3995</v>
      </c>
      <c r="C192" s="8">
        <v>3</v>
      </c>
      <c r="D192" s="20">
        <v>1210</v>
      </c>
      <c r="E192" s="23">
        <v>0.54999999999999927</v>
      </c>
    </row>
    <row r="193" spans="1:5" x14ac:dyDescent="0.25">
      <c r="A193" t="s">
        <v>1049</v>
      </c>
      <c r="B193" s="8" t="s">
        <v>3994</v>
      </c>
      <c r="C193" s="8">
        <v>2</v>
      </c>
      <c r="D193" s="20">
        <v>714</v>
      </c>
      <c r="E193" s="23">
        <v>0.64909090909090816</v>
      </c>
    </row>
    <row r="194" spans="1:5" x14ac:dyDescent="0.25">
      <c r="A194" t="s">
        <v>1053</v>
      </c>
      <c r="B194" s="8" t="s">
        <v>3993</v>
      </c>
      <c r="C194" s="8">
        <v>2</v>
      </c>
      <c r="D194" s="20">
        <v>184</v>
      </c>
      <c r="E194" s="23">
        <v>0.16727272727272718</v>
      </c>
    </row>
    <row r="195" spans="1:5" x14ac:dyDescent="0.25">
      <c r="A195" t="s">
        <v>1056</v>
      </c>
      <c r="B195" s="8" t="s">
        <v>3993</v>
      </c>
      <c r="C195" s="8">
        <v>2</v>
      </c>
      <c r="D195" s="20">
        <v>113</v>
      </c>
      <c r="E195" s="23">
        <v>0.1027272727272726</v>
      </c>
    </row>
    <row r="196" spans="1:5" x14ac:dyDescent="0.25">
      <c r="A196" t="s">
        <v>1060</v>
      </c>
      <c r="B196" s="8" t="s">
        <v>3994</v>
      </c>
      <c r="C196" s="8">
        <v>2</v>
      </c>
      <c r="D196" s="20">
        <v>935</v>
      </c>
      <c r="E196" s="23">
        <v>0.85000000000000009</v>
      </c>
    </row>
    <row r="197" spans="1:5" x14ac:dyDescent="0.25">
      <c r="A197" t="s">
        <v>1063</v>
      </c>
      <c r="B197" s="8">
        <v>2021</v>
      </c>
      <c r="C197" s="8">
        <v>1</v>
      </c>
      <c r="D197" s="20">
        <v>320</v>
      </c>
      <c r="E197" s="23">
        <v>0.29090909090909001</v>
      </c>
    </row>
    <row r="198" spans="1:5" x14ac:dyDescent="0.25">
      <c r="A198" t="s">
        <v>1067</v>
      </c>
      <c r="B198" s="8" t="s">
        <v>3995</v>
      </c>
      <c r="C198" s="8">
        <v>3</v>
      </c>
      <c r="D198" s="20">
        <v>151</v>
      </c>
      <c r="E198" s="23">
        <v>0.1372727272727271</v>
      </c>
    </row>
    <row r="199" spans="1:5" x14ac:dyDescent="0.25">
      <c r="A199" t="s">
        <v>1070</v>
      </c>
      <c r="B199" s="8" t="s">
        <v>3996</v>
      </c>
      <c r="C199" s="8">
        <v>2</v>
      </c>
      <c r="D199" s="20">
        <v>1054</v>
      </c>
      <c r="E199" s="23">
        <v>0.95818181818181802</v>
      </c>
    </row>
    <row r="200" spans="1:5" x14ac:dyDescent="0.25">
      <c r="A200" t="s">
        <v>1073</v>
      </c>
      <c r="B200" s="8" t="s">
        <v>3995</v>
      </c>
      <c r="C200" s="8">
        <v>3</v>
      </c>
      <c r="D200" s="20">
        <v>466</v>
      </c>
      <c r="E200" s="23">
        <v>0.42752293577981504</v>
      </c>
    </row>
    <row r="201" spans="1:5" x14ac:dyDescent="0.25">
      <c r="A201" t="s">
        <v>1076</v>
      </c>
      <c r="B201" s="8" t="s">
        <v>3995</v>
      </c>
      <c r="C201" s="8">
        <v>3</v>
      </c>
      <c r="D201" s="20">
        <v>505</v>
      </c>
      <c r="E201" s="23">
        <v>0.67333333333333301</v>
      </c>
    </row>
    <row r="202" spans="1:5" x14ac:dyDescent="0.25">
      <c r="A202" t="s">
        <v>1079</v>
      </c>
      <c r="B202" s="8" t="s">
        <v>3994</v>
      </c>
      <c r="C202" s="8">
        <v>2</v>
      </c>
      <c r="D202" s="20">
        <v>851</v>
      </c>
      <c r="E202" s="23">
        <v>0.38681818181818101</v>
      </c>
    </row>
    <row r="203" spans="1:5" x14ac:dyDescent="0.25">
      <c r="A203" t="s">
        <v>1083</v>
      </c>
      <c r="B203" s="8" t="s">
        <v>3996</v>
      </c>
      <c r="C203" s="8">
        <v>2</v>
      </c>
      <c r="D203" s="20">
        <v>550</v>
      </c>
      <c r="E203" s="23">
        <v>0.49999999999999911</v>
      </c>
    </row>
    <row r="204" spans="1:5" x14ac:dyDescent="0.25">
      <c r="A204" t="s">
        <v>1086</v>
      </c>
      <c r="B204" s="8" t="s">
        <v>3995</v>
      </c>
      <c r="C204" s="8">
        <v>3</v>
      </c>
      <c r="D204" s="20">
        <v>1645</v>
      </c>
      <c r="E204" s="23">
        <v>0.77230046948356723</v>
      </c>
    </row>
    <row r="205" spans="1:5" x14ac:dyDescent="0.25">
      <c r="A205" t="s">
        <v>1089</v>
      </c>
      <c r="B205" s="8" t="s">
        <v>3994</v>
      </c>
      <c r="C205" s="8">
        <v>2</v>
      </c>
      <c r="D205" s="20">
        <v>5786</v>
      </c>
      <c r="E205" s="23">
        <v>1.0916981132075461</v>
      </c>
    </row>
    <row r="206" spans="1:5" x14ac:dyDescent="0.25">
      <c r="A206" t="s">
        <v>1092</v>
      </c>
      <c r="B206" s="8" t="s">
        <v>3994</v>
      </c>
      <c r="C206" s="8">
        <v>2</v>
      </c>
      <c r="D206" s="20">
        <v>908</v>
      </c>
      <c r="E206" s="23">
        <v>0.82545454545454389</v>
      </c>
    </row>
    <row r="207" spans="1:5" x14ac:dyDescent="0.25">
      <c r="A207" t="s">
        <v>1095</v>
      </c>
      <c r="B207" s="8" t="s">
        <v>3994</v>
      </c>
      <c r="C207" s="8">
        <v>2</v>
      </c>
      <c r="D207" s="20">
        <v>770</v>
      </c>
      <c r="E207" s="23">
        <v>0.1999999999999991</v>
      </c>
    </row>
    <row r="208" spans="1:5" x14ac:dyDescent="0.25">
      <c r="A208" t="s">
        <v>1098</v>
      </c>
      <c r="B208" s="8" t="s">
        <v>3996</v>
      </c>
      <c r="C208" s="8">
        <v>2</v>
      </c>
      <c r="D208" s="20">
        <v>394</v>
      </c>
      <c r="E208" s="23">
        <v>0.24336009882643531</v>
      </c>
    </row>
    <row r="209" spans="1:5" x14ac:dyDescent="0.25">
      <c r="A209" t="s">
        <v>1101</v>
      </c>
      <c r="B209" s="8">
        <v>2021</v>
      </c>
      <c r="C209" s="8">
        <v>1</v>
      </c>
      <c r="D209" s="20">
        <v>145</v>
      </c>
      <c r="E209" s="23">
        <v>0.131818181818181</v>
      </c>
    </row>
    <row r="210" spans="1:5" x14ac:dyDescent="0.25">
      <c r="A210" t="s">
        <v>1104</v>
      </c>
      <c r="B210" s="8">
        <v>2021</v>
      </c>
      <c r="C210" s="8">
        <v>1</v>
      </c>
      <c r="D210" s="20">
        <v>106</v>
      </c>
      <c r="E210" s="23">
        <v>8.0303030303030307E-2</v>
      </c>
    </row>
    <row r="211" spans="1:5" x14ac:dyDescent="0.25">
      <c r="A211" t="s">
        <v>1108</v>
      </c>
      <c r="B211" s="8" t="s">
        <v>3994</v>
      </c>
      <c r="C211" s="8">
        <v>2</v>
      </c>
      <c r="D211" s="20">
        <v>106</v>
      </c>
      <c r="E211" s="23">
        <v>0.27894736842105239</v>
      </c>
    </row>
    <row r="212" spans="1:5" x14ac:dyDescent="0.25">
      <c r="A212" t="s">
        <v>1109</v>
      </c>
      <c r="B212" s="8" t="s">
        <v>3995</v>
      </c>
      <c r="C212" s="8">
        <v>3</v>
      </c>
      <c r="D212" s="20">
        <v>1230</v>
      </c>
      <c r="E212" s="23">
        <v>1.1181818181818159</v>
      </c>
    </row>
    <row r="213" spans="1:5" x14ac:dyDescent="0.25">
      <c r="A213" t="s">
        <v>1110</v>
      </c>
      <c r="B213" s="8">
        <v>2021</v>
      </c>
      <c r="C213" s="8">
        <v>1</v>
      </c>
      <c r="D213" s="20">
        <v>427</v>
      </c>
      <c r="E213" s="23">
        <v>0.38818181818181802</v>
      </c>
    </row>
    <row r="214" spans="1:5" x14ac:dyDescent="0.25">
      <c r="A214" t="s">
        <v>1113</v>
      </c>
      <c r="B214" s="8">
        <v>2021</v>
      </c>
      <c r="C214" s="8">
        <v>1</v>
      </c>
      <c r="D214" s="20">
        <v>370</v>
      </c>
      <c r="E214" s="23">
        <v>0.33636363636363598</v>
      </c>
    </row>
    <row r="215" spans="1:5" x14ac:dyDescent="0.25">
      <c r="A215" t="s">
        <v>1117</v>
      </c>
      <c r="B215" s="8">
        <v>2022</v>
      </c>
      <c r="C215" s="8">
        <v>1</v>
      </c>
      <c r="D215" s="20">
        <v>861</v>
      </c>
      <c r="E215" s="23">
        <v>0.47700831024930701</v>
      </c>
    </row>
    <row r="216" spans="1:5" x14ac:dyDescent="0.25">
      <c r="A216" t="s">
        <v>1121</v>
      </c>
      <c r="B216" s="8">
        <v>2022</v>
      </c>
      <c r="C216" s="8">
        <v>1</v>
      </c>
      <c r="D216" s="20">
        <v>84</v>
      </c>
      <c r="E216" s="23">
        <v>7.63636363636363E-2</v>
      </c>
    </row>
    <row r="217" spans="1:5" x14ac:dyDescent="0.25">
      <c r="A217" t="s">
        <v>1124</v>
      </c>
      <c r="B217" s="8" t="s">
        <v>3995</v>
      </c>
      <c r="C217" s="8">
        <v>3</v>
      </c>
      <c r="D217" s="20">
        <v>1352</v>
      </c>
      <c r="E217" s="23">
        <v>1.502222222222221</v>
      </c>
    </row>
    <row r="218" spans="1:5" x14ac:dyDescent="0.25">
      <c r="A218" t="s">
        <v>1126</v>
      </c>
      <c r="B218" s="8" t="s">
        <v>3994</v>
      </c>
      <c r="C218" s="8">
        <v>2</v>
      </c>
      <c r="D218" s="20">
        <v>200</v>
      </c>
      <c r="E218" s="23">
        <v>0.12987012987012975</v>
      </c>
    </row>
    <row r="219" spans="1:5" x14ac:dyDescent="0.25">
      <c r="A219" t="s">
        <v>1129</v>
      </c>
      <c r="B219" s="8">
        <v>2022</v>
      </c>
      <c r="C219" s="8">
        <v>1</v>
      </c>
      <c r="D219" s="20">
        <v>210</v>
      </c>
      <c r="E219" s="23">
        <v>0.19090909090909</v>
      </c>
    </row>
    <row r="220" spans="1:5" x14ac:dyDescent="0.25">
      <c r="A220" t="s">
        <v>1133</v>
      </c>
      <c r="B220" s="8" t="s">
        <v>3993</v>
      </c>
      <c r="C220" s="8">
        <v>2</v>
      </c>
      <c r="D220" s="20">
        <v>412</v>
      </c>
      <c r="E220" s="23">
        <v>0.37454545454545302</v>
      </c>
    </row>
    <row r="221" spans="1:5" x14ac:dyDescent="0.25">
      <c r="A221" t="s">
        <v>1136</v>
      </c>
      <c r="B221" s="8">
        <v>2020</v>
      </c>
      <c r="C221" s="8">
        <v>1</v>
      </c>
      <c r="D221" s="20">
        <v>504</v>
      </c>
      <c r="E221" s="23">
        <v>0.18</v>
      </c>
    </row>
    <row r="222" spans="1:5" x14ac:dyDescent="0.25">
      <c r="A222" t="s">
        <v>1140</v>
      </c>
      <c r="B222" s="8">
        <v>2022</v>
      </c>
      <c r="C222" s="8">
        <v>1</v>
      </c>
      <c r="D222" s="20">
        <v>420</v>
      </c>
      <c r="E222" s="23">
        <v>0.25454545454545402</v>
      </c>
    </row>
    <row r="223" spans="1:5" x14ac:dyDescent="0.25">
      <c r="A223" t="s">
        <v>1144</v>
      </c>
      <c r="B223" s="8" t="s">
        <v>3994</v>
      </c>
      <c r="C223" s="8">
        <v>2</v>
      </c>
      <c r="D223" s="20">
        <v>2092</v>
      </c>
      <c r="E223" s="23">
        <v>1.72892561983471</v>
      </c>
    </row>
    <row r="224" spans="1:5" x14ac:dyDescent="0.25">
      <c r="A224" t="s">
        <v>1148</v>
      </c>
      <c r="B224" s="8" t="s">
        <v>3994</v>
      </c>
      <c r="C224" s="8">
        <v>2</v>
      </c>
      <c r="D224" s="20">
        <v>652</v>
      </c>
      <c r="E224" s="23">
        <v>0.59272727272727199</v>
      </c>
    </row>
    <row r="225" spans="1:5" x14ac:dyDescent="0.25">
      <c r="A225" t="s">
        <v>1152</v>
      </c>
      <c r="B225" s="8" t="s">
        <v>3995</v>
      </c>
      <c r="C225" s="8">
        <v>3</v>
      </c>
      <c r="D225" s="20">
        <v>873</v>
      </c>
      <c r="E225" s="23">
        <v>0.79363636363636203</v>
      </c>
    </row>
    <row r="226" spans="1:5" x14ac:dyDescent="0.25">
      <c r="A226" t="s">
        <v>1156</v>
      </c>
      <c r="B226" s="8" t="s">
        <v>3993</v>
      </c>
      <c r="C226" s="8">
        <v>2</v>
      </c>
      <c r="D226" s="20">
        <v>441</v>
      </c>
      <c r="E226" s="23">
        <v>0.50113636363636305</v>
      </c>
    </row>
    <row r="227" spans="1:5" x14ac:dyDescent="0.25">
      <c r="A227" t="s">
        <v>1160</v>
      </c>
      <c r="B227" s="8">
        <v>2022</v>
      </c>
      <c r="C227" s="8">
        <v>1</v>
      </c>
      <c r="D227" s="20">
        <v>504</v>
      </c>
      <c r="E227" s="23">
        <v>0.45818181818181802</v>
      </c>
    </row>
    <row r="228" spans="1:5" x14ac:dyDescent="0.25">
      <c r="A228" t="s">
        <v>1164</v>
      </c>
      <c r="B228" s="8" t="s">
        <v>3993</v>
      </c>
      <c r="C228" s="8">
        <v>2</v>
      </c>
      <c r="D228" s="20">
        <v>126</v>
      </c>
      <c r="E228" s="23">
        <v>0.10413223140495861</v>
      </c>
    </row>
    <row r="229" spans="1:5" x14ac:dyDescent="0.25">
      <c r="A229" t="s">
        <v>1167</v>
      </c>
      <c r="B229" s="8" t="s">
        <v>3993</v>
      </c>
      <c r="C229" s="8">
        <v>2</v>
      </c>
      <c r="D229" s="20">
        <v>417</v>
      </c>
      <c r="E229" s="23">
        <v>1.2636363636363619</v>
      </c>
    </row>
    <row r="230" spans="1:5" x14ac:dyDescent="0.25">
      <c r="A230" t="s">
        <v>1168</v>
      </c>
      <c r="B230" s="8" t="s">
        <v>3994</v>
      </c>
      <c r="C230" s="8">
        <v>2</v>
      </c>
      <c r="D230" s="20">
        <v>415</v>
      </c>
      <c r="E230" s="23">
        <v>0.37727272727272687</v>
      </c>
    </row>
    <row r="231" spans="1:5" x14ac:dyDescent="0.25">
      <c r="A231" t="s">
        <v>1171</v>
      </c>
      <c r="B231" s="8">
        <v>2022</v>
      </c>
      <c r="C231" s="8">
        <v>1</v>
      </c>
      <c r="D231" s="20">
        <v>190</v>
      </c>
      <c r="E231" s="23">
        <v>0.34545454545454501</v>
      </c>
    </row>
    <row r="232" spans="1:5" x14ac:dyDescent="0.25">
      <c r="A232" t="s">
        <v>1174</v>
      </c>
      <c r="B232" s="8">
        <v>2022</v>
      </c>
      <c r="C232" s="8">
        <v>1</v>
      </c>
      <c r="D232" s="20">
        <v>125</v>
      </c>
      <c r="E232" s="23">
        <v>0.11363636363636299</v>
      </c>
    </row>
    <row r="233" spans="1:5" x14ac:dyDescent="0.25">
      <c r="A233" t="s">
        <v>1175</v>
      </c>
      <c r="B233" s="8" t="s">
        <v>3994</v>
      </c>
      <c r="C233" s="8">
        <v>2</v>
      </c>
      <c r="D233" s="20">
        <v>669</v>
      </c>
      <c r="E233" s="23">
        <v>0.60818181818181705</v>
      </c>
    </row>
    <row r="234" spans="1:5" x14ac:dyDescent="0.25">
      <c r="A234" t="s">
        <v>1179</v>
      </c>
      <c r="B234" s="8">
        <v>2022</v>
      </c>
      <c r="C234" s="8">
        <v>1</v>
      </c>
      <c r="D234" s="20">
        <v>388</v>
      </c>
      <c r="E234" s="23">
        <v>0.352727272727272</v>
      </c>
    </row>
    <row r="235" spans="1:5" x14ac:dyDescent="0.25">
      <c r="A235" t="s">
        <v>1182</v>
      </c>
      <c r="B235" s="8" t="s">
        <v>3994</v>
      </c>
      <c r="C235" s="8">
        <v>2</v>
      </c>
      <c r="D235" s="20">
        <v>971</v>
      </c>
      <c r="E235" s="23">
        <v>0.88272727272727203</v>
      </c>
    </row>
    <row r="236" spans="1:5" x14ac:dyDescent="0.25">
      <c r="A236" t="s">
        <v>1186</v>
      </c>
      <c r="B236" s="8" t="s">
        <v>3993</v>
      </c>
      <c r="C236" s="8">
        <v>2</v>
      </c>
      <c r="D236" s="20">
        <v>270</v>
      </c>
      <c r="E236" s="23">
        <v>0.24545454545454451</v>
      </c>
    </row>
    <row r="237" spans="1:5" x14ac:dyDescent="0.25">
      <c r="A237" t="s">
        <v>1190</v>
      </c>
      <c r="B237" s="8" t="s">
        <v>3993</v>
      </c>
      <c r="C237" s="8">
        <v>2</v>
      </c>
      <c r="D237" s="20">
        <v>201</v>
      </c>
      <c r="E237" s="23">
        <v>0.1827272727272721</v>
      </c>
    </row>
    <row r="238" spans="1:5" x14ac:dyDescent="0.25">
      <c r="A238" t="s">
        <v>1194</v>
      </c>
      <c r="B238" s="8" t="s">
        <v>3996</v>
      </c>
      <c r="C238" s="8">
        <v>2</v>
      </c>
      <c r="D238" s="20">
        <v>198</v>
      </c>
      <c r="E238" s="23">
        <v>0.1729257641921387</v>
      </c>
    </row>
    <row r="239" spans="1:5" x14ac:dyDescent="0.25">
      <c r="A239" t="s">
        <v>1198</v>
      </c>
      <c r="B239" s="8">
        <v>2022</v>
      </c>
      <c r="C239" s="8">
        <v>1</v>
      </c>
      <c r="D239" s="20">
        <v>273</v>
      </c>
      <c r="E239" s="23">
        <v>0.248181818181818</v>
      </c>
    </row>
    <row r="240" spans="1:5" x14ac:dyDescent="0.25">
      <c r="A240" t="s">
        <v>1202</v>
      </c>
      <c r="B240" s="8" t="s">
        <v>3993</v>
      </c>
      <c r="C240" s="8">
        <v>2</v>
      </c>
      <c r="D240" s="20">
        <v>607</v>
      </c>
      <c r="E240" s="23">
        <v>0.55181818181818099</v>
      </c>
    </row>
    <row r="241" spans="1:5" x14ac:dyDescent="0.25">
      <c r="A241" t="s">
        <v>1203</v>
      </c>
      <c r="B241" s="8" t="s">
        <v>3993</v>
      </c>
      <c r="C241" s="8">
        <v>2</v>
      </c>
      <c r="D241" s="20">
        <v>293</v>
      </c>
      <c r="E241" s="23">
        <v>0.88787878787878693</v>
      </c>
    </row>
    <row r="242" spans="1:5" x14ac:dyDescent="0.25">
      <c r="A242" t="s">
        <v>1204</v>
      </c>
      <c r="B242" s="8" t="s">
        <v>3994</v>
      </c>
      <c r="C242" s="8">
        <v>2</v>
      </c>
      <c r="D242" s="20">
        <v>568</v>
      </c>
      <c r="E242" s="23">
        <v>0.28686868686868677</v>
      </c>
    </row>
    <row r="243" spans="1:5" x14ac:dyDescent="0.25">
      <c r="A243" t="s">
        <v>1208</v>
      </c>
      <c r="B243" s="8">
        <v>2020</v>
      </c>
      <c r="C243" s="8">
        <v>1</v>
      </c>
      <c r="D243" s="20">
        <v>310</v>
      </c>
      <c r="E243" s="23">
        <v>0.35227272727272702</v>
      </c>
    </row>
    <row r="244" spans="1:5" x14ac:dyDescent="0.25">
      <c r="A244" t="s">
        <v>1209</v>
      </c>
      <c r="B244" s="8">
        <v>2022</v>
      </c>
      <c r="C244" s="8">
        <v>1</v>
      </c>
      <c r="D244" s="20">
        <v>441</v>
      </c>
      <c r="E244" s="23">
        <v>0.33409090909090899</v>
      </c>
    </row>
    <row r="245" spans="1:5" x14ac:dyDescent="0.25">
      <c r="A245" t="s">
        <v>1213</v>
      </c>
      <c r="B245" s="8">
        <v>2022</v>
      </c>
      <c r="C245" s="8">
        <v>1</v>
      </c>
      <c r="D245" s="20">
        <v>206</v>
      </c>
      <c r="E245" s="23">
        <v>0.18727272727272701</v>
      </c>
    </row>
    <row r="246" spans="1:5" x14ac:dyDescent="0.25">
      <c r="A246" t="s">
        <v>1220</v>
      </c>
      <c r="B246" s="8" t="s">
        <v>3993</v>
      </c>
      <c r="C246" s="8">
        <v>2</v>
      </c>
      <c r="D246" s="20">
        <v>794</v>
      </c>
      <c r="E246" s="23">
        <v>0.2193370165745849</v>
      </c>
    </row>
    <row r="247" spans="1:5" x14ac:dyDescent="0.25">
      <c r="A247" t="s">
        <v>1224</v>
      </c>
      <c r="B247" s="8" t="s">
        <v>3993</v>
      </c>
      <c r="C247" s="8">
        <v>2</v>
      </c>
      <c r="D247" s="20">
        <v>567</v>
      </c>
      <c r="E247" s="23">
        <v>0.51545454545454406</v>
      </c>
    </row>
    <row r="248" spans="1:5" x14ac:dyDescent="0.25">
      <c r="A248" t="s">
        <v>1232</v>
      </c>
      <c r="B248" s="8">
        <v>2022</v>
      </c>
      <c r="C248" s="8">
        <v>1</v>
      </c>
      <c r="D248" s="20">
        <v>63</v>
      </c>
      <c r="E248" s="23">
        <v>5.7272727272727197E-2</v>
      </c>
    </row>
    <row r="249" spans="1:5" x14ac:dyDescent="0.25">
      <c r="A249" t="s">
        <v>1235</v>
      </c>
      <c r="B249" s="8" t="s">
        <v>3994</v>
      </c>
      <c r="C249" s="8">
        <v>2</v>
      </c>
      <c r="D249" s="20">
        <v>56</v>
      </c>
      <c r="E249" s="23">
        <v>8.4848484848484798E-2</v>
      </c>
    </row>
    <row r="250" spans="1:5" x14ac:dyDescent="0.25">
      <c r="A250" t="s">
        <v>1238</v>
      </c>
      <c r="B250" s="8" t="s">
        <v>3996</v>
      </c>
      <c r="C250" s="8">
        <v>2</v>
      </c>
      <c r="D250" s="20">
        <v>457</v>
      </c>
      <c r="E250" s="23">
        <v>0.34621212121212069</v>
      </c>
    </row>
    <row r="251" spans="1:5" x14ac:dyDescent="0.25">
      <c r="A251" t="s">
        <v>1242</v>
      </c>
      <c r="B251" s="8">
        <v>2021</v>
      </c>
      <c r="C251" s="8">
        <v>1</v>
      </c>
      <c r="D251" s="20">
        <v>50</v>
      </c>
      <c r="E251" s="23">
        <v>4.54545454545454E-2</v>
      </c>
    </row>
    <row r="252" spans="1:5" x14ac:dyDescent="0.25">
      <c r="A252" t="s">
        <v>1243</v>
      </c>
      <c r="B252" s="8">
        <v>2020</v>
      </c>
      <c r="C252" s="8">
        <v>1</v>
      </c>
      <c r="D252" s="20">
        <v>840</v>
      </c>
      <c r="E252" s="23">
        <v>0.21937842778793401</v>
      </c>
    </row>
    <row r="253" spans="1:5" x14ac:dyDescent="0.25">
      <c r="A253" t="s">
        <v>1246</v>
      </c>
      <c r="B253" s="8">
        <v>2020</v>
      </c>
      <c r="C253" s="8">
        <v>1</v>
      </c>
      <c r="D253" s="20">
        <v>50</v>
      </c>
      <c r="E253" s="23">
        <v>4.54545454545454E-2</v>
      </c>
    </row>
    <row r="254" spans="1:5" x14ac:dyDescent="0.25">
      <c r="A254" t="s">
        <v>1249</v>
      </c>
      <c r="B254" s="8">
        <v>2020</v>
      </c>
      <c r="C254" s="8">
        <v>1</v>
      </c>
      <c r="D254" s="20">
        <v>400</v>
      </c>
      <c r="E254" s="23">
        <v>0.29133284777858698</v>
      </c>
    </row>
    <row r="255" spans="1:5" x14ac:dyDescent="0.25">
      <c r="A255" t="s">
        <v>1255</v>
      </c>
      <c r="B255" s="8">
        <v>2020</v>
      </c>
      <c r="C255" s="8">
        <v>1</v>
      </c>
      <c r="D255" s="20">
        <v>950</v>
      </c>
      <c r="E255" s="23">
        <v>0.21590909090909</v>
      </c>
    </row>
    <row r="256" spans="1:5" x14ac:dyDescent="0.25">
      <c r="A256" t="s">
        <v>1256</v>
      </c>
      <c r="B256" s="8">
        <v>2020</v>
      </c>
      <c r="C256" s="8">
        <v>1</v>
      </c>
      <c r="D256" s="20">
        <v>105</v>
      </c>
      <c r="E256" s="23">
        <v>9.4424460431654603E-2</v>
      </c>
    </row>
    <row r="257" spans="1:5" x14ac:dyDescent="0.25">
      <c r="A257" t="s">
        <v>1260</v>
      </c>
      <c r="B257" s="8">
        <v>2022</v>
      </c>
      <c r="C257" s="8">
        <v>1</v>
      </c>
      <c r="D257" s="20">
        <v>63</v>
      </c>
      <c r="E257" s="23">
        <v>5.7272727272727197E-2</v>
      </c>
    </row>
    <row r="258" spans="1:5" x14ac:dyDescent="0.25">
      <c r="A258" t="s">
        <v>1264</v>
      </c>
      <c r="B258" s="8" t="s">
        <v>3993</v>
      </c>
      <c r="C258" s="8">
        <v>2</v>
      </c>
      <c r="D258" s="20">
        <v>378</v>
      </c>
      <c r="E258" s="23">
        <v>0.1718181818181812</v>
      </c>
    </row>
    <row r="259" spans="1:5" x14ac:dyDescent="0.25">
      <c r="A259" t="s">
        <v>1267</v>
      </c>
      <c r="B259" s="8" t="s">
        <v>3996</v>
      </c>
      <c r="C259" s="8">
        <v>2</v>
      </c>
      <c r="D259" s="20">
        <v>1408</v>
      </c>
      <c r="E259" s="23">
        <v>0.71111111111111003</v>
      </c>
    </row>
    <row r="260" spans="1:5" x14ac:dyDescent="0.25">
      <c r="A260" t="s">
        <v>1272</v>
      </c>
      <c r="B260" s="8">
        <v>2022</v>
      </c>
      <c r="C260" s="8">
        <v>1</v>
      </c>
      <c r="D260" s="20">
        <v>63</v>
      </c>
      <c r="E260" s="23">
        <v>5.7272727272727197E-2</v>
      </c>
    </row>
    <row r="261" spans="1:5" x14ac:dyDescent="0.25">
      <c r="A261" t="s">
        <v>1275</v>
      </c>
      <c r="B261" s="8" t="s">
        <v>3996</v>
      </c>
      <c r="C261" s="8">
        <v>2</v>
      </c>
      <c r="D261" s="20">
        <v>172</v>
      </c>
      <c r="E261" s="23">
        <v>0.15636363636363571</v>
      </c>
    </row>
    <row r="262" spans="1:5" x14ac:dyDescent="0.25">
      <c r="A262" t="s">
        <v>1278</v>
      </c>
      <c r="B262" s="8">
        <v>2021</v>
      </c>
      <c r="C262" s="8">
        <v>1</v>
      </c>
      <c r="D262" s="20">
        <v>200</v>
      </c>
      <c r="E262" s="23">
        <v>0.12121212121212099</v>
      </c>
    </row>
    <row r="263" spans="1:5" x14ac:dyDescent="0.25">
      <c r="A263" t="s">
        <v>1281</v>
      </c>
      <c r="B263" s="8" t="s">
        <v>3996</v>
      </c>
      <c r="C263" s="8">
        <v>2</v>
      </c>
      <c r="D263" s="20">
        <v>762</v>
      </c>
      <c r="E263" s="23">
        <v>0.27214285714285702</v>
      </c>
    </row>
    <row r="264" spans="1:5" x14ac:dyDescent="0.25">
      <c r="A264" t="s">
        <v>1285</v>
      </c>
      <c r="B264" s="8" t="s">
        <v>3996</v>
      </c>
      <c r="C264" s="8">
        <v>2</v>
      </c>
      <c r="D264" s="20">
        <v>162</v>
      </c>
      <c r="E264" s="23">
        <v>0.12272727272727271</v>
      </c>
    </row>
    <row r="265" spans="1:5" x14ac:dyDescent="0.25">
      <c r="A265" t="s">
        <v>1288</v>
      </c>
      <c r="B265" s="8">
        <v>2020</v>
      </c>
      <c r="C265" s="8">
        <v>1</v>
      </c>
      <c r="D265" s="20">
        <v>34</v>
      </c>
      <c r="E265" s="23">
        <v>3.09090909090909E-2</v>
      </c>
    </row>
    <row r="266" spans="1:5" x14ac:dyDescent="0.25">
      <c r="A266" t="s">
        <v>1293</v>
      </c>
      <c r="B266" s="8">
        <v>2021</v>
      </c>
      <c r="C266" s="8">
        <v>1</v>
      </c>
      <c r="D266" s="20">
        <v>200</v>
      </c>
      <c r="E266" s="23">
        <v>9.0909090909090898E-2</v>
      </c>
    </row>
    <row r="267" spans="1:5" x14ac:dyDescent="0.25">
      <c r="A267" t="s">
        <v>1297</v>
      </c>
      <c r="B267" s="8">
        <v>2021</v>
      </c>
      <c r="C267" s="8">
        <v>1</v>
      </c>
      <c r="D267" s="20">
        <v>90</v>
      </c>
      <c r="E267" s="23">
        <v>8.1818181818181804E-2</v>
      </c>
    </row>
    <row r="268" spans="1:5" x14ac:dyDescent="0.25">
      <c r="A268" t="s">
        <v>1299</v>
      </c>
      <c r="B268" s="8">
        <v>2020</v>
      </c>
      <c r="C268" s="8">
        <v>1</v>
      </c>
      <c r="D268" s="20">
        <v>19</v>
      </c>
      <c r="E268" s="23">
        <v>1.32867132867132E-2</v>
      </c>
    </row>
    <row r="269" spans="1:5" x14ac:dyDescent="0.25">
      <c r="A269" t="s">
        <v>1300</v>
      </c>
      <c r="B269" s="8">
        <v>2021</v>
      </c>
      <c r="C269" s="8">
        <v>1</v>
      </c>
      <c r="D269" s="20">
        <v>550</v>
      </c>
      <c r="E269" s="23">
        <v>0.2</v>
      </c>
    </row>
    <row r="270" spans="1:5" x14ac:dyDescent="0.25">
      <c r="A270" t="s">
        <v>1308</v>
      </c>
      <c r="B270" s="8">
        <v>2021</v>
      </c>
      <c r="C270" s="8">
        <v>1</v>
      </c>
      <c r="D270" s="20">
        <v>25</v>
      </c>
      <c r="E270" s="23">
        <v>2.27272727272727E-2</v>
      </c>
    </row>
    <row r="271" spans="1:5" x14ac:dyDescent="0.25">
      <c r="A271" t="s">
        <v>1315</v>
      </c>
      <c r="B271" s="8">
        <v>2021</v>
      </c>
      <c r="C271" s="8">
        <v>1</v>
      </c>
      <c r="D271" s="20">
        <v>200</v>
      </c>
      <c r="E271" s="23">
        <v>0.30303030303030298</v>
      </c>
    </row>
    <row r="272" spans="1:5" x14ac:dyDescent="0.25">
      <c r="A272" t="s">
        <v>1326</v>
      </c>
      <c r="B272" s="8">
        <v>2021</v>
      </c>
      <c r="C272" s="8">
        <v>1</v>
      </c>
      <c r="D272" s="20">
        <v>550</v>
      </c>
      <c r="E272" s="23">
        <v>0.25</v>
      </c>
    </row>
    <row r="273" spans="1:5" x14ac:dyDescent="0.25">
      <c r="A273" t="s">
        <v>1327</v>
      </c>
      <c r="B273" s="8">
        <v>2021</v>
      </c>
      <c r="C273" s="8">
        <v>1</v>
      </c>
      <c r="D273" s="20">
        <v>100</v>
      </c>
      <c r="E273" s="23">
        <v>4.54545454545454E-2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64"/>
  <sheetViews>
    <sheetView zoomScale="70" zoomScaleNormal="70" workbookViewId="0">
      <selection activeCell="G41" sqref="G41"/>
    </sheetView>
  </sheetViews>
  <sheetFormatPr baseColWidth="10" defaultColWidth="9.140625" defaultRowHeight="15" x14ac:dyDescent="0.25"/>
  <cols>
    <col min="1" max="1" width="10.5703125" customWidth="1"/>
    <col min="2" max="3" width="15.5703125" customWidth="1"/>
    <col min="4" max="4" width="15.28515625" customWidth="1"/>
    <col min="5" max="5" width="11" customWidth="1"/>
    <col min="6" max="6" width="16.5703125" customWidth="1"/>
    <col min="7" max="7" width="16.7109375" customWidth="1"/>
    <col min="8" max="8" width="10" customWidth="1"/>
    <col min="9" max="9" width="11.7109375" customWidth="1"/>
    <col min="10" max="10" width="9.42578125" customWidth="1"/>
    <col min="11" max="11" width="12.7109375" customWidth="1"/>
    <col min="12" max="12" width="10.42578125" customWidth="1"/>
    <col min="13" max="13" width="19.5703125" customWidth="1"/>
    <col min="14" max="14" width="12.5703125" customWidth="1"/>
    <col min="15" max="15" width="10.28515625" customWidth="1"/>
    <col min="16" max="16" width="20.7109375" customWidth="1"/>
    <col min="17" max="17" width="19.42578125" customWidth="1"/>
    <col min="18" max="18" width="17" customWidth="1"/>
    <col min="19" max="19" width="14.7109375" customWidth="1"/>
    <col min="20" max="21" width="16.140625" customWidth="1"/>
    <col min="22" max="22" width="20.5703125" customWidth="1"/>
    <col min="24" max="24" width="10.7109375" customWidth="1"/>
    <col min="25" max="25" width="12.85546875" customWidth="1"/>
    <col min="26" max="26" width="11.28515625" customWidth="1"/>
    <col min="27" max="27" width="15.42578125" customWidth="1"/>
    <col min="28" max="28" width="16.7109375" customWidth="1"/>
    <col min="30" max="30" width="20.28515625" customWidth="1"/>
    <col min="31" max="31" width="13.5703125" customWidth="1"/>
  </cols>
  <sheetData>
    <row r="1" spans="1:31" x14ac:dyDescent="0.25">
      <c r="G1" s="4"/>
      <c r="H1" t="s">
        <v>3947</v>
      </c>
    </row>
    <row r="2" spans="1:31" x14ac:dyDescent="0.25">
      <c r="G2" s="5"/>
      <c r="H2" t="s">
        <v>3948</v>
      </c>
    </row>
    <row r="3" spans="1:31" x14ac:dyDescent="0.25">
      <c r="G3" s="8"/>
      <c r="H3" t="s">
        <v>3949</v>
      </c>
    </row>
    <row r="4" spans="1:31" x14ac:dyDescent="0.25">
      <c r="G4" s="20"/>
      <c r="H4" t="s">
        <v>3978</v>
      </c>
    </row>
    <row r="5" spans="1:31" x14ac:dyDescent="0.25">
      <c r="G5" s="7"/>
      <c r="H5" t="s">
        <v>3922</v>
      </c>
    </row>
    <row r="6" spans="1:31" x14ac:dyDescent="0.25">
      <c r="G6" s="6"/>
      <c r="H6" t="s">
        <v>3950</v>
      </c>
    </row>
    <row r="7" spans="1:31" x14ac:dyDescent="0.25">
      <c r="G7" s="11"/>
      <c r="H7" t="s">
        <v>3951</v>
      </c>
    </row>
    <row r="8" spans="1:31" x14ac:dyDescent="0.25">
      <c r="G8" s="14"/>
      <c r="H8" t="s">
        <v>3977</v>
      </c>
    </row>
    <row r="9" spans="1:31" x14ac:dyDescent="0.25">
      <c r="G9" s="21"/>
      <c r="H9" t="s">
        <v>4006</v>
      </c>
    </row>
    <row r="12" spans="1:31" x14ac:dyDescent="0.25">
      <c r="A12" s="7" t="s">
        <v>3575</v>
      </c>
      <c r="B12" s="5" t="s">
        <v>0</v>
      </c>
      <c r="C12" s="8" t="s">
        <v>4013</v>
      </c>
      <c r="D12" s="7" t="s">
        <v>8</v>
      </c>
      <c r="E12" s="8" t="s">
        <v>3576</v>
      </c>
      <c r="F12" s="20" t="s">
        <v>3577</v>
      </c>
      <c r="G12" s="20" t="s">
        <v>14</v>
      </c>
      <c r="H12" s="21" t="s">
        <v>3578</v>
      </c>
      <c r="I12" s="22" t="s">
        <v>3579</v>
      </c>
      <c r="J12" s="22" t="s">
        <v>3580</v>
      </c>
      <c r="K12" s="22" t="s">
        <v>3581</v>
      </c>
      <c r="L12" s="22" t="s">
        <v>3582</v>
      </c>
      <c r="M12" s="22" t="s">
        <v>3583</v>
      </c>
      <c r="N12" s="22" t="s">
        <v>3584</v>
      </c>
      <c r="O12" s="22" t="s">
        <v>3585</v>
      </c>
      <c r="P12" s="22" t="s">
        <v>3586</v>
      </c>
      <c r="Q12" s="22" t="s">
        <v>3587</v>
      </c>
      <c r="R12" s="22" t="s">
        <v>3588</v>
      </c>
      <c r="S12" s="22" t="s">
        <v>3589</v>
      </c>
      <c r="T12" s="22" t="s">
        <v>3590</v>
      </c>
      <c r="U12" s="22" t="s">
        <v>3591</v>
      </c>
      <c r="V12" s="22" t="s">
        <v>3592</v>
      </c>
      <c r="W12" s="5" t="s">
        <v>3593</v>
      </c>
      <c r="X12" s="7" t="s">
        <v>3594</v>
      </c>
      <c r="Y12" s="20" t="s">
        <v>3595</v>
      </c>
      <c r="Z12" s="20" t="s">
        <v>3596</v>
      </c>
      <c r="AA12" s="22" t="s">
        <v>13</v>
      </c>
      <c r="AB12" s="7" t="s">
        <v>3597</v>
      </c>
      <c r="AC12" s="7" t="s">
        <v>3598</v>
      </c>
      <c r="AD12" s="7" t="s">
        <v>3599</v>
      </c>
      <c r="AE12" s="7" t="s">
        <v>3600</v>
      </c>
    </row>
    <row r="13" spans="1:31" hidden="1" x14ac:dyDescent="0.25">
      <c r="B13" t="s">
        <v>19</v>
      </c>
      <c r="C13">
        <v>0</v>
      </c>
      <c r="AB13" t="s">
        <v>3787</v>
      </c>
      <c r="AC13">
        <v>1</v>
      </c>
    </row>
    <row r="14" spans="1:31" hidden="1" x14ac:dyDescent="0.25">
      <c r="B14" t="s">
        <v>23</v>
      </c>
      <c r="C14">
        <v>0</v>
      </c>
      <c r="AB14" t="s">
        <v>3787</v>
      </c>
      <c r="AC14">
        <v>1</v>
      </c>
    </row>
    <row r="15" spans="1:31" hidden="1" x14ac:dyDescent="0.25">
      <c r="B15" t="s">
        <v>26</v>
      </c>
      <c r="C15">
        <v>0</v>
      </c>
      <c r="AB15" t="s">
        <v>3787</v>
      </c>
      <c r="AC15">
        <v>1</v>
      </c>
    </row>
    <row r="16" spans="1:31" hidden="1" x14ac:dyDescent="0.25">
      <c r="B16" t="s">
        <v>30</v>
      </c>
      <c r="C16">
        <v>0</v>
      </c>
      <c r="AB16" t="s">
        <v>3787</v>
      </c>
      <c r="AC16">
        <v>1</v>
      </c>
    </row>
    <row r="17" spans="2:29" hidden="1" x14ac:dyDescent="0.25">
      <c r="B17" t="s">
        <v>34</v>
      </c>
      <c r="C17">
        <v>0</v>
      </c>
      <c r="AB17" t="s">
        <v>3787</v>
      </c>
      <c r="AC17">
        <v>1</v>
      </c>
    </row>
    <row r="18" spans="2:29" hidden="1" x14ac:dyDescent="0.25">
      <c r="B18" t="s">
        <v>38</v>
      </c>
      <c r="C18">
        <v>0</v>
      </c>
      <c r="AB18" t="s">
        <v>3787</v>
      </c>
      <c r="AC18">
        <v>1</v>
      </c>
    </row>
    <row r="19" spans="2:29" hidden="1" x14ac:dyDescent="0.25">
      <c r="B19" t="s">
        <v>42</v>
      </c>
      <c r="C19">
        <v>0</v>
      </c>
      <c r="AB19" t="s">
        <v>3787</v>
      </c>
      <c r="AC19">
        <v>1</v>
      </c>
    </row>
    <row r="20" spans="2:29" hidden="1" x14ac:dyDescent="0.25">
      <c r="B20" t="s">
        <v>46</v>
      </c>
      <c r="C20">
        <v>0</v>
      </c>
      <c r="AB20" t="s">
        <v>3787</v>
      </c>
      <c r="AC20">
        <v>1</v>
      </c>
    </row>
    <row r="21" spans="2:29" hidden="1" x14ac:dyDescent="0.25">
      <c r="B21" t="s">
        <v>49</v>
      </c>
      <c r="C21">
        <v>0</v>
      </c>
      <c r="AB21" t="s">
        <v>3787</v>
      </c>
      <c r="AC21">
        <v>1</v>
      </c>
    </row>
    <row r="22" spans="2:29" hidden="1" x14ac:dyDescent="0.25">
      <c r="B22" t="s">
        <v>53</v>
      </c>
      <c r="C22">
        <v>0</v>
      </c>
      <c r="AB22" t="s">
        <v>3787</v>
      </c>
      <c r="AC22">
        <v>1</v>
      </c>
    </row>
    <row r="23" spans="2:29" hidden="1" x14ac:dyDescent="0.25">
      <c r="B23" t="s">
        <v>56</v>
      </c>
      <c r="C23">
        <v>0</v>
      </c>
      <c r="AB23" t="s">
        <v>3787</v>
      </c>
      <c r="AC23">
        <v>1</v>
      </c>
    </row>
    <row r="24" spans="2:29" hidden="1" x14ac:dyDescent="0.25">
      <c r="B24" t="s">
        <v>59</v>
      </c>
      <c r="C24">
        <v>0</v>
      </c>
      <c r="AB24" t="s">
        <v>3787</v>
      </c>
      <c r="AC24">
        <v>1</v>
      </c>
    </row>
    <row r="25" spans="2:29" x14ac:dyDescent="0.25">
      <c r="B25" t="s">
        <v>63</v>
      </c>
      <c r="C25">
        <v>1</v>
      </c>
      <c r="D25">
        <v>2017</v>
      </c>
      <c r="E25" t="s">
        <v>3621</v>
      </c>
      <c r="F25">
        <v>2021</v>
      </c>
      <c r="G25" s="2">
        <v>44197</v>
      </c>
      <c r="H25">
        <v>0.87590000000000001</v>
      </c>
      <c r="I25">
        <v>39.47</v>
      </c>
      <c r="J25">
        <v>13.27</v>
      </c>
      <c r="N25">
        <v>0.97</v>
      </c>
      <c r="O25">
        <v>0.4</v>
      </c>
      <c r="P25">
        <v>126</v>
      </c>
      <c r="R25">
        <v>21.52</v>
      </c>
      <c r="S25">
        <v>5.14</v>
      </c>
      <c r="T25">
        <v>2712.02</v>
      </c>
      <c r="W25" t="s">
        <v>3788</v>
      </c>
      <c r="X25" t="s">
        <v>3603</v>
      </c>
      <c r="Y25">
        <v>126</v>
      </c>
      <c r="Z25">
        <v>0.1241</v>
      </c>
      <c r="AA25" s="2">
        <v>42917</v>
      </c>
      <c r="AB25" t="s">
        <v>3604</v>
      </c>
      <c r="AC25">
        <v>1</v>
      </c>
    </row>
    <row r="26" spans="2:29" hidden="1" x14ac:dyDescent="0.25">
      <c r="B26" t="s">
        <v>1438</v>
      </c>
      <c r="C26">
        <v>0</v>
      </c>
      <c r="AB26" t="s">
        <v>3787</v>
      </c>
      <c r="AC26">
        <v>1</v>
      </c>
    </row>
    <row r="27" spans="2:29" hidden="1" x14ac:dyDescent="0.25">
      <c r="B27" t="s">
        <v>66</v>
      </c>
      <c r="C27">
        <v>0</v>
      </c>
      <c r="AB27" t="s">
        <v>3787</v>
      </c>
      <c r="AC27">
        <v>1</v>
      </c>
    </row>
    <row r="28" spans="2:29" hidden="1" x14ac:dyDescent="0.25">
      <c r="B28" t="s">
        <v>67</v>
      </c>
      <c r="C28">
        <v>0</v>
      </c>
      <c r="AB28" t="s">
        <v>3787</v>
      </c>
      <c r="AC28">
        <v>1</v>
      </c>
    </row>
    <row r="29" spans="2:29" hidden="1" x14ac:dyDescent="0.25">
      <c r="B29" t="s">
        <v>70</v>
      </c>
      <c r="C29">
        <v>0</v>
      </c>
      <c r="AB29" t="s">
        <v>3787</v>
      </c>
      <c r="AC29">
        <v>1</v>
      </c>
    </row>
    <row r="30" spans="2:29" hidden="1" x14ac:dyDescent="0.25">
      <c r="B30" t="s">
        <v>74</v>
      </c>
      <c r="C30">
        <v>0</v>
      </c>
      <c r="AB30" t="s">
        <v>3787</v>
      </c>
      <c r="AC30">
        <v>1</v>
      </c>
    </row>
    <row r="31" spans="2:29" hidden="1" x14ac:dyDescent="0.25">
      <c r="B31" t="s">
        <v>77</v>
      </c>
      <c r="C31">
        <v>0</v>
      </c>
      <c r="AB31" t="s">
        <v>3787</v>
      </c>
      <c r="AC31">
        <v>1</v>
      </c>
    </row>
    <row r="32" spans="2:29" hidden="1" x14ac:dyDescent="0.25">
      <c r="B32" t="s">
        <v>81</v>
      </c>
      <c r="C32">
        <v>0</v>
      </c>
      <c r="AB32" t="s">
        <v>3787</v>
      </c>
      <c r="AC32">
        <v>1</v>
      </c>
    </row>
    <row r="33" spans="2:31" hidden="1" x14ac:dyDescent="0.25">
      <c r="B33" t="s">
        <v>85</v>
      </c>
      <c r="C33">
        <v>0</v>
      </c>
      <c r="AB33" t="s">
        <v>3787</v>
      </c>
      <c r="AC33">
        <v>1</v>
      </c>
    </row>
    <row r="34" spans="2:31" hidden="1" x14ac:dyDescent="0.25">
      <c r="B34" t="s">
        <v>89</v>
      </c>
      <c r="C34">
        <v>0</v>
      </c>
      <c r="AB34" t="s">
        <v>3787</v>
      </c>
      <c r="AC34">
        <v>1</v>
      </c>
    </row>
    <row r="35" spans="2:31" hidden="1" x14ac:dyDescent="0.25">
      <c r="B35" t="s">
        <v>92</v>
      </c>
      <c r="C35">
        <v>0</v>
      </c>
      <c r="AB35" t="s">
        <v>3787</v>
      </c>
      <c r="AC35">
        <v>1</v>
      </c>
    </row>
    <row r="36" spans="2:31" hidden="1" x14ac:dyDescent="0.25">
      <c r="B36" t="s">
        <v>95</v>
      </c>
      <c r="C36">
        <v>0</v>
      </c>
      <c r="AB36" t="s">
        <v>3787</v>
      </c>
      <c r="AC36">
        <v>1</v>
      </c>
    </row>
    <row r="37" spans="2:31" hidden="1" x14ac:dyDescent="0.25">
      <c r="B37" t="s">
        <v>98</v>
      </c>
      <c r="C37">
        <v>0</v>
      </c>
      <c r="AB37" t="s">
        <v>3787</v>
      </c>
      <c r="AC37">
        <v>1</v>
      </c>
    </row>
    <row r="38" spans="2:31" hidden="1" x14ac:dyDescent="0.25">
      <c r="B38" t="s">
        <v>99</v>
      </c>
      <c r="C38">
        <v>0</v>
      </c>
      <c r="AB38" t="s">
        <v>3787</v>
      </c>
      <c r="AC38">
        <v>1</v>
      </c>
    </row>
    <row r="39" spans="2:31" hidden="1" x14ac:dyDescent="0.25">
      <c r="B39" t="s">
        <v>100</v>
      </c>
      <c r="C39">
        <v>0</v>
      </c>
      <c r="AB39" t="s">
        <v>3787</v>
      </c>
      <c r="AC39">
        <v>1</v>
      </c>
    </row>
    <row r="40" spans="2:31" x14ac:dyDescent="0.25">
      <c r="B40" t="s">
        <v>103</v>
      </c>
      <c r="C40">
        <v>1</v>
      </c>
      <c r="D40">
        <v>2018</v>
      </c>
      <c r="E40" t="s">
        <v>3626</v>
      </c>
      <c r="F40">
        <v>2021</v>
      </c>
      <c r="G40" s="2">
        <v>44197</v>
      </c>
      <c r="H40">
        <v>0.98880000000000001</v>
      </c>
      <c r="I40">
        <v>47.89</v>
      </c>
      <c r="J40">
        <v>18.14</v>
      </c>
      <c r="K40">
        <v>38.57</v>
      </c>
      <c r="L40">
        <v>13.35</v>
      </c>
      <c r="N40">
        <v>1.39</v>
      </c>
      <c r="O40">
        <v>0.6</v>
      </c>
      <c r="P40">
        <v>89</v>
      </c>
      <c r="R40">
        <v>18.7</v>
      </c>
      <c r="S40">
        <v>7.61</v>
      </c>
      <c r="T40">
        <v>1663.9</v>
      </c>
      <c r="W40" t="s">
        <v>3789</v>
      </c>
      <c r="X40" t="s">
        <v>3603</v>
      </c>
      <c r="Y40">
        <v>89</v>
      </c>
      <c r="Z40">
        <v>1.12E-2</v>
      </c>
      <c r="AA40" s="2">
        <v>43282</v>
      </c>
      <c r="AB40" t="s">
        <v>3604</v>
      </c>
      <c r="AC40">
        <v>1</v>
      </c>
    </row>
    <row r="41" spans="2:31" x14ac:dyDescent="0.25">
      <c r="B41" t="s">
        <v>107</v>
      </c>
      <c r="C41">
        <v>1</v>
      </c>
      <c r="D41">
        <v>2018</v>
      </c>
      <c r="E41" t="s">
        <v>3626</v>
      </c>
      <c r="F41">
        <v>2021</v>
      </c>
      <c r="G41" s="2">
        <v>44197</v>
      </c>
      <c r="H41">
        <v>1</v>
      </c>
      <c r="I41">
        <v>64.27</v>
      </c>
      <c r="J41">
        <v>17.07</v>
      </c>
      <c r="K41">
        <v>51.13</v>
      </c>
      <c r="L41">
        <v>10.31</v>
      </c>
      <c r="N41">
        <v>1.78</v>
      </c>
      <c r="O41">
        <v>0.64</v>
      </c>
      <c r="P41">
        <v>34</v>
      </c>
      <c r="R41">
        <v>18.66</v>
      </c>
      <c r="S41">
        <v>6.8</v>
      </c>
      <c r="T41">
        <v>634.37</v>
      </c>
      <c r="W41" t="s">
        <v>3790</v>
      </c>
      <c r="X41" t="s">
        <v>3603</v>
      </c>
      <c r="Y41">
        <v>34</v>
      </c>
      <c r="Z41">
        <v>0</v>
      </c>
      <c r="AA41" s="2">
        <v>43282</v>
      </c>
      <c r="AB41" t="s">
        <v>3604</v>
      </c>
      <c r="AC41">
        <v>1</v>
      </c>
    </row>
    <row r="42" spans="2:31" x14ac:dyDescent="0.25">
      <c r="B42" t="s">
        <v>110</v>
      </c>
      <c r="C42">
        <v>1</v>
      </c>
      <c r="D42">
        <v>2018</v>
      </c>
      <c r="E42" t="s">
        <v>3601</v>
      </c>
      <c r="F42">
        <v>2025</v>
      </c>
      <c r="G42" s="2">
        <v>45680</v>
      </c>
      <c r="H42">
        <v>0.62339999999999995</v>
      </c>
      <c r="I42">
        <v>16.03</v>
      </c>
      <c r="J42">
        <v>3.71</v>
      </c>
      <c r="K42">
        <v>9.1</v>
      </c>
      <c r="L42">
        <v>2.88</v>
      </c>
      <c r="N42">
        <v>4.95</v>
      </c>
      <c r="O42">
        <v>1.67</v>
      </c>
      <c r="P42">
        <v>46</v>
      </c>
      <c r="R42">
        <v>3.56</v>
      </c>
      <c r="S42">
        <v>4.42</v>
      </c>
      <c r="T42">
        <v>106.86</v>
      </c>
      <c r="W42" t="s">
        <v>3602</v>
      </c>
      <c r="X42" t="s">
        <v>3603</v>
      </c>
      <c r="Y42">
        <v>77</v>
      </c>
      <c r="Z42">
        <v>0.37659999999999999</v>
      </c>
      <c r="AA42" s="2">
        <v>43282</v>
      </c>
      <c r="AB42" t="s">
        <v>3604</v>
      </c>
      <c r="AC42">
        <v>1</v>
      </c>
      <c r="AD42" t="s">
        <v>3605</v>
      </c>
      <c r="AE42" s="3">
        <v>45994.037509884307</v>
      </c>
    </row>
    <row r="43" spans="2:31" hidden="1" x14ac:dyDescent="0.25">
      <c r="B43" t="s">
        <v>113</v>
      </c>
      <c r="C43">
        <v>0</v>
      </c>
      <c r="AB43" t="s">
        <v>3787</v>
      </c>
      <c r="AC43">
        <v>1</v>
      </c>
    </row>
    <row r="44" spans="2:31" hidden="1" x14ac:dyDescent="0.25">
      <c r="B44" t="s">
        <v>114</v>
      </c>
      <c r="C44">
        <v>0</v>
      </c>
      <c r="AB44" t="s">
        <v>3787</v>
      </c>
      <c r="AC44">
        <v>1</v>
      </c>
    </row>
    <row r="45" spans="2:31" hidden="1" x14ac:dyDescent="0.25">
      <c r="B45" t="s">
        <v>118</v>
      </c>
      <c r="C45">
        <v>0</v>
      </c>
      <c r="AB45" t="s">
        <v>3787</v>
      </c>
      <c r="AC45">
        <v>1</v>
      </c>
    </row>
    <row r="46" spans="2:31" hidden="1" x14ac:dyDescent="0.25">
      <c r="B46" t="s">
        <v>121</v>
      </c>
      <c r="C46">
        <v>0</v>
      </c>
      <c r="AB46" t="s">
        <v>3787</v>
      </c>
      <c r="AC46">
        <v>1</v>
      </c>
    </row>
    <row r="47" spans="2:31" x14ac:dyDescent="0.25">
      <c r="B47" t="s">
        <v>124</v>
      </c>
      <c r="C47">
        <v>1</v>
      </c>
      <c r="D47">
        <v>2020</v>
      </c>
      <c r="F47">
        <v>2024</v>
      </c>
      <c r="H47">
        <v>0.89</v>
      </c>
      <c r="J47">
        <v>2.59</v>
      </c>
      <c r="K47">
        <v>13.92</v>
      </c>
      <c r="L47">
        <v>2.59</v>
      </c>
      <c r="O47">
        <v>0.69</v>
      </c>
      <c r="P47">
        <v>145</v>
      </c>
      <c r="R47">
        <v>1.1299999999999999</v>
      </c>
      <c r="S47">
        <v>1.41</v>
      </c>
      <c r="T47">
        <v>144.56</v>
      </c>
      <c r="W47" t="s">
        <v>3750</v>
      </c>
      <c r="X47" t="s">
        <v>3603</v>
      </c>
      <c r="AA47" s="2">
        <v>44013</v>
      </c>
      <c r="AB47" t="s">
        <v>3607</v>
      </c>
      <c r="AC47">
        <v>1</v>
      </c>
      <c r="AD47" t="s">
        <v>3607</v>
      </c>
      <c r="AE47" s="3">
        <v>45992.941863407672</v>
      </c>
    </row>
    <row r="48" spans="2:31" hidden="1" x14ac:dyDescent="0.25">
      <c r="B48" t="s">
        <v>127</v>
      </c>
      <c r="C48">
        <v>0</v>
      </c>
      <c r="H48">
        <v>0.83</v>
      </c>
      <c r="AB48" t="s">
        <v>3787</v>
      </c>
      <c r="AC48">
        <v>1</v>
      </c>
    </row>
    <row r="49" spans="2:31" x14ac:dyDescent="0.25">
      <c r="B49" t="s">
        <v>131</v>
      </c>
      <c r="C49">
        <v>1</v>
      </c>
      <c r="D49">
        <v>2020</v>
      </c>
      <c r="F49">
        <v>2024</v>
      </c>
      <c r="H49">
        <v>0.95</v>
      </c>
      <c r="P49">
        <v>0</v>
      </c>
      <c r="T49">
        <v>0</v>
      </c>
      <c r="W49" t="s">
        <v>3772</v>
      </c>
      <c r="X49" t="s">
        <v>3603</v>
      </c>
      <c r="AA49" s="2">
        <v>44013</v>
      </c>
      <c r="AB49" t="s">
        <v>3607</v>
      </c>
      <c r="AC49">
        <v>1</v>
      </c>
      <c r="AD49" t="s">
        <v>3607</v>
      </c>
      <c r="AE49" s="3">
        <v>45992.941863407672</v>
      </c>
    </row>
    <row r="50" spans="2:31" hidden="1" x14ac:dyDescent="0.25">
      <c r="B50" t="s">
        <v>135</v>
      </c>
      <c r="C50">
        <v>0</v>
      </c>
      <c r="AB50" t="s">
        <v>3787</v>
      </c>
      <c r="AC50">
        <v>1</v>
      </c>
    </row>
    <row r="51" spans="2:31" x14ac:dyDescent="0.25">
      <c r="B51" t="s">
        <v>138</v>
      </c>
      <c r="C51">
        <v>1</v>
      </c>
      <c r="D51">
        <v>2020</v>
      </c>
      <c r="F51">
        <v>2024</v>
      </c>
      <c r="H51">
        <v>0.53</v>
      </c>
      <c r="J51">
        <v>4.74</v>
      </c>
      <c r="K51">
        <v>11.35</v>
      </c>
      <c r="L51">
        <v>4.99</v>
      </c>
      <c r="O51">
        <v>0.79</v>
      </c>
      <c r="P51">
        <v>28</v>
      </c>
      <c r="R51">
        <v>0.03</v>
      </c>
      <c r="S51">
        <v>0</v>
      </c>
      <c r="T51">
        <v>0.06</v>
      </c>
      <c r="W51" t="s">
        <v>3752</v>
      </c>
      <c r="X51" t="s">
        <v>3603</v>
      </c>
      <c r="AA51" s="2">
        <v>44013</v>
      </c>
      <c r="AB51" t="s">
        <v>3607</v>
      </c>
      <c r="AC51">
        <v>1</v>
      </c>
      <c r="AD51" t="s">
        <v>3607</v>
      </c>
      <c r="AE51" s="3">
        <v>45992.941863407672</v>
      </c>
    </row>
    <row r="52" spans="2:31" x14ac:dyDescent="0.25">
      <c r="B52" t="s">
        <v>142</v>
      </c>
      <c r="C52">
        <v>1</v>
      </c>
      <c r="F52">
        <v>2024</v>
      </c>
      <c r="H52">
        <v>0.93</v>
      </c>
      <c r="AB52" t="s">
        <v>3607</v>
      </c>
      <c r="AC52">
        <v>1</v>
      </c>
      <c r="AD52" t="s">
        <v>3607</v>
      </c>
      <c r="AE52" s="3">
        <v>45992.941863407672</v>
      </c>
    </row>
    <row r="53" spans="2:31" hidden="1" x14ac:dyDescent="0.25">
      <c r="B53" t="s">
        <v>146</v>
      </c>
      <c r="C53">
        <v>0</v>
      </c>
      <c r="AB53" t="s">
        <v>3787</v>
      </c>
      <c r="AC53">
        <v>1</v>
      </c>
    </row>
    <row r="54" spans="2:31" x14ac:dyDescent="0.25">
      <c r="B54" t="s">
        <v>149</v>
      </c>
      <c r="C54">
        <v>1</v>
      </c>
      <c r="D54">
        <v>2020</v>
      </c>
      <c r="F54">
        <v>2024</v>
      </c>
      <c r="H54">
        <v>0.7</v>
      </c>
      <c r="J54">
        <v>2.9</v>
      </c>
      <c r="K54">
        <v>16.28</v>
      </c>
      <c r="L54">
        <v>2.84</v>
      </c>
      <c r="O54">
        <v>0.87</v>
      </c>
      <c r="P54">
        <v>232</v>
      </c>
      <c r="R54">
        <v>0.68</v>
      </c>
      <c r="S54">
        <v>1.22</v>
      </c>
      <c r="T54">
        <v>42.79</v>
      </c>
      <c r="W54" t="s">
        <v>3753</v>
      </c>
      <c r="X54" t="s">
        <v>3603</v>
      </c>
      <c r="AA54" s="2">
        <v>44013</v>
      </c>
      <c r="AB54" t="s">
        <v>3607</v>
      </c>
      <c r="AC54">
        <v>1</v>
      </c>
      <c r="AD54" t="s">
        <v>3607</v>
      </c>
      <c r="AE54" s="3">
        <v>45992.941863407672</v>
      </c>
    </row>
    <row r="55" spans="2:31" hidden="1" x14ac:dyDescent="0.25">
      <c r="B55" t="s">
        <v>153</v>
      </c>
      <c r="C55">
        <v>0</v>
      </c>
      <c r="AB55" t="s">
        <v>3787</v>
      </c>
      <c r="AC55">
        <v>1</v>
      </c>
    </row>
    <row r="56" spans="2:31" x14ac:dyDescent="0.25">
      <c r="B56" t="s">
        <v>156</v>
      </c>
      <c r="C56">
        <v>1</v>
      </c>
      <c r="D56">
        <v>2020</v>
      </c>
      <c r="F56">
        <v>2024</v>
      </c>
      <c r="H56">
        <v>0.59</v>
      </c>
      <c r="J56">
        <v>4.28</v>
      </c>
      <c r="K56">
        <v>12.03</v>
      </c>
      <c r="L56">
        <v>3.74</v>
      </c>
      <c r="O56">
        <v>1.06</v>
      </c>
      <c r="P56">
        <v>53</v>
      </c>
      <c r="R56">
        <v>0.64</v>
      </c>
      <c r="S56">
        <v>0.61</v>
      </c>
      <c r="T56">
        <v>12.77</v>
      </c>
      <c r="W56" t="s">
        <v>3755</v>
      </c>
      <c r="X56" t="s">
        <v>3603</v>
      </c>
      <c r="AA56" s="2">
        <v>44013</v>
      </c>
      <c r="AB56" t="s">
        <v>3607</v>
      </c>
      <c r="AC56">
        <v>1</v>
      </c>
      <c r="AD56" t="s">
        <v>3607</v>
      </c>
      <c r="AE56" s="3">
        <v>45992.941863407672</v>
      </c>
    </row>
    <row r="57" spans="2:31" hidden="1" x14ac:dyDescent="0.25">
      <c r="B57" t="s">
        <v>159</v>
      </c>
      <c r="C57">
        <v>0</v>
      </c>
      <c r="H57">
        <v>0.83</v>
      </c>
      <c r="AB57" t="s">
        <v>3830</v>
      </c>
      <c r="AC57">
        <v>1</v>
      </c>
    </row>
    <row r="58" spans="2:31" x14ac:dyDescent="0.25">
      <c r="B58" t="s">
        <v>162</v>
      </c>
      <c r="C58">
        <v>1</v>
      </c>
      <c r="D58">
        <v>2020</v>
      </c>
      <c r="F58">
        <v>2024</v>
      </c>
      <c r="H58">
        <v>1</v>
      </c>
      <c r="J58">
        <v>3.07</v>
      </c>
      <c r="K58">
        <v>17</v>
      </c>
      <c r="L58">
        <v>3.19</v>
      </c>
      <c r="O58">
        <v>0.77</v>
      </c>
      <c r="P58">
        <v>149</v>
      </c>
      <c r="R58">
        <v>1.53</v>
      </c>
      <c r="S58">
        <v>1.9</v>
      </c>
      <c r="T58">
        <v>172.6</v>
      </c>
      <c r="W58" t="s">
        <v>3765</v>
      </c>
      <c r="X58" t="s">
        <v>3603</v>
      </c>
      <c r="AA58" s="2">
        <v>44013</v>
      </c>
      <c r="AB58" t="s">
        <v>3607</v>
      </c>
      <c r="AC58">
        <v>1</v>
      </c>
      <c r="AD58" t="s">
        <v>3607</v>
      </c>
      <c r="AE58" s="3">
        <v>45992.941863407672</v>
      </c>
    </row>
    <row r="59" spans="2:31" x14ac:dyDescent="0.25">
      <c r="B59" t="s">
        <v>166</v>
      </c>
      <c r="C59">
        <v>1</v>
      </c>
      <c r="D59">
        <v>2020</v>
      </c>
      <c r="F59">
        <v>2024</v>
      </c>
      <c r="H59">
        <v>0.84899999999999998</v>
      </c>
      <c r="J59">
        <v>3.79</v>
      </c>
      <c r="K59">
        <v>10.86</v>
      </c>
      <c r="L59">
        <v>6.93</v>
      </c>
      <c r="O59">
        <v>1.03</v>
      </c>
      <c r="P59">
        <v>141</v>
      </c>
      <c r="R59">
        <v>1.28</v>
      </c>
      <c r="S59">
        <v>1.46</v>
      </c>
      <c r="T59">
        <v>130.47999999999999</v>
      </c>
      <c r="W59" t="s">
        <v>3759</v>
      </c>
      <c r="X59" t="s">
        <v>3603</v>
      </c>
      <c r="AA59" s="2">
        <v>44013</v>
      </c>
      <c r="AB59" t="s">
        <v>3607</v>
      </c>
      <c r="AC59">
        <v>1</v>
      </c>
      <c r="AD59" t="s">
        <v>3607</v>
      </c>
      <c r="AE59" s="3">
        <v>45992.941863407672</v>
      </c>
    </row>
    <row r="60" spans="2:31" x14ac:dyDescent="0.25">
      <c r="B60" t="s">
        <v>170</v>
      </c>
      <c r="C60">
        <v>1</v>
      </c>
      <c r="D60">
        <v>2020</v>
      </c>
      <c r="F60">
        <v>2024</v>
      </c>
      <c r="H60">
        <v>0</v>
      </c>
      <c r="J60">
        <v>7.39</v>
      </c>
      <c r="K60">
        <v>15.99</v>
      </c>
      <c r="L60">
        <v>6.47</v>
      </c>
      <c r="O60">
        <v>1.1499999999999999</v>
      </c>
      <c r="P60">
        <v>143</v>
      </c>
      <c r="R60">
        <v>1.17</v>
      </c>
      <c r="S60">
        <v>0.84</v>
      </c>
      <c r="T60">
        <v>28.08</v>
      </c>
      <c r="W60" t="s">
        <v>3761</v>
      </c>
      <c r="X60" t="s">
        <v>3603</v>
      </c>
      <c r="AA60" s="2">
        <v>44013</v>
      </c>
      <c r="AB60" t="s">
        <v>3607</v>
      </c>
      <c r="AC60">
        <v>1</v>
      </c>
      <c r="AD60" t="s">
        <v>3607</v>
      </c>
      <c r="AE60" s="3">
        <v>45992.941863407672</v>
      </c>
    </row>
    <row r="61" spans="2:31" x14ac:dyDescent="0.25">
      <c r="B61" t="s">
        <v>174</v>
      </c>
      <c r="C61">
        <v>1</v>
      </c>
      <c r="D61">
        <v>2020</v>
      </c>
      <c r="F61">
        <v>2024</v>
      </c>
      <c r="H61">
        <v>0.67200000000000004</v>
      </c>
      <c r="J61">
        <v>5.07</v>
      </c>
      <c r="K61">
        <v>15.48</v>
      </c>
      <c r="L61">
        <v>4.0999999999999996</v>
      </c>
      <c r="O61">
        <v>1.21</v>
      </c>
      <c r="P61">
        <v>39</v>
      </c>
      <c r="R61">
        <v>0.84</v>
      </c>
      <c r="S61">
        <v>1.0900000000000001</v>
      </c>
      <c r="T61">
        <v>10.87</v>
      </c>
      <c r="W61" t="s">
        <v>3763</v>
      </c>
      <c r="X61" t="s">
        <v>3603</v>
      </c>
      <c r="AA61" s="2">
        <v>44013</v>
      </c>
      <c r="AB61" t="s">
        <v>3607</v>
      </c>
      <c r="AC61">
        <v>1</v>
      </c>
      <c r="AD61" t="s">
        <v>3607</v>
      </c>
      <c r="AE61" s="3">
        <v>45992.941863407672</v>
      </c>
    </row>
    <row r="62" spans="2:31" hidden="1" x14ac:dyDescent="0.25">
      <c r="B62" t="s">
        <v>177</v>
      </c>
      <c r="C62">
        <v>0</v>
      </c>
      <c r="AB62" t="s">
        <v>3787</v>
      </c>
      <c r="AC62">
        <v>1</v>
      </c>
    </row>
    <row r="63" spans="2:31" x14ac:dyDescent="0.25">
      <c r="B63" t="s">
        <v>180</v>
      </c>
      <c r="C63">
        <v>1</v>
      </c>
      <c r="D63">
        <v>2020</v>
      </c>
      <c r="F63">
        <v>2024</v>
      </c>
      <c r="H63">
        <v>0.95</v>
      </c>
      <c r="J63">
        <v>4.32</v>
      </c>
      <c r="K63">
        <v>14.6</v>
      </c>
      <c r="L63">
        <v>3.48</v>
      </c>
      <c r="O63">
        <v>1.31</v>
      </c>
      <c r="P63">
        <v>113</v>
      </c>
      <c r="R63">
        <v>1.71</v>
      </c>
      <c r="S63">
        <v>1.72</v>
      </c>
      <c r="T63">
        <v>114.68</v>
      </c>
      <c r="W63" t="s">
        <v>3764</v>
      </c>
      <c r="X63" t="s">
        <v>3603</v>
      </c>
      <c r="AA63" s="2">
        <v>44013</v>
      </c>
      <c r="AB63" t="s">
        <v>3607</v>
      </c>
      <c r="AC63">
        <v>1</v>
      </c>
      <c r="AD63" t="s">
        <v>3607</v>
      </c>
      <c r="AE63" s="3">
        <v>45992.941863407672</v>
      </c>
    </row>
    <row r="64" spans="2:31" x14ac:dyDescent="0.25">
      <c r="B64" t="s">
        <v>183</v>
      </c>
      <c r="C64">
        <v>1</v>
      </c>
      <c r="D64">
        <v>2020</v>
      </c>
      <c r="F64">
        <v>2024</v>
      </c>
      <c r="H64">
        <v>0.85</v>
      </c>
      <c r="J64">
        <v>4.13</v>
      </c>
      <c r="K64">
        <v>13.43</v>
      </c>
      <c r="L64">
        <v>3.22</v>
      </c>
      <c r="O64">
        <v>1.34</v>
      </c>
      <c r="P64">
        <v>199</v>
      </c>
      <c r="R64">
        <v>2.0299999999999998</v>
      </c>
      <c r="S64">
        <v>2.5099999999999998</v>
      </c>
      <c r="T64">
        <v>276.70999999999998</v>
      </c>
      <c r="W64" t="s">
        <v>3699</v>
      </c>
      <c r="X64" t="s">
        <v>3603</v>
      </c>
      <c r="AA64" s="2">
        <v>44013</v>
      </c>
      <c r="AB64" t="s">
        <v>3607</v>
      </c>
      <c r="AC64">
        <v>1</v>
      </c>
      <c r="AD64" t="s">
        <v>3607</v>
      </c>
      <c r="AE64" s="3">
        <v>45992.941863407672</v>
      </c>
    </row>
    <row r="65" spans="2:31" x14ac:dyDescent="0.25">
      <c r="B65" t="s">
        <v>187</v>
      </c>
      <c r="C65">
        <v>1</v>
      </c>
      <c r="D65">
        <v>2020</v>
      </c>
      <c r="F65">
        <v>2024</v>
      </c>
      <c r="H65">
        <v>0.95299999999999996</v>
      </c>
      <c r="J65">
        <v>6.25</v>
      </c>
      <c r="K65">
        <v>19.510000000000002</v>
      </c>
      <c r="L65">
        <v>5.14</v>
      </c>
      <c r="O65">
        <v>0.85</v>
      </c>
      <c r="P65">
        <v>162</v>
      </c>
      <c r="R65">
        <v>2.0099999999999998</v>
      </c>
      <c r="S65">
        <v>3.01</v>
      </c>
      <c r="T65">
        <v>249.83</v>
      </c>
      <c r="W65" t="s">
        <v>3698</v>
      </c>
      <c r="X65" t="s">
        <v>3603</v>
      </c>
      <c r="AA65" s="2">
        <v>44013</v>
      </c>
      <c r="AB65" t="s">
        <v>3607</v>
      </c>
      <c r="AC65">
        <v>1</v>
      </c>
      <c r="AD65" t="s">
        <v>3607</v>
      </c>
      <c r="AE65" s="3">
        <v>45992.941863407672</v>
      </c>
    </row>
    <row r="66" spans="2:31" hidden="1" x14ac:dyDescent="0.25">
      <c r="B66" t="s">
        <v>190</v>
      </c>
      <c r="C66">
        <v>0</v>
      </c>
      <c r="AB66" t="s">
        <v>3787</v>
      </c>
      <c r="AC66">
        <v>1</v>
      </c>
    </row>
    <row r="67" spans="2:31" x14ac:dyDescent="0.25">
      <c r="B67" t="s">
        <v>193</v>
      </c>
      <c r="C67">
        <v>1</v>
      </c>
      <c r="D67">
        <v>2020</v>
      </c>
      <c r="F67">
        <v>2024</v>
      </c>
      <c r="H67">
        <v>0.45</v>
      </c>
      <c r="J67">
        <v>4.08</v>
      </c>
      <c r="K67">
        <v>9.02</v>
      </c>
      <c r="L67">
        <v>3.22</v>
      </c>
      <c r="O67">
        <v>0.71</v>
      </c>
      <c r="P67">
        <v>54</v>
      </c>
      <c r="R67">
        <v>0.03</v>
      </c>
      <c r="S67">
        <v>0.02</v>
      </c>
      <c r="T67">
        <v>0.11</v>
      </c>
      <c r="W67" t="s">
        <v>3697</v>
      </c>
      <c r="X67" t="s">
        <v>3603</v>
      </c>
      <c r="AA67" s="2">
        <v>44013</v>
      </c>
      <c r="AB67" t="s">
        <v>3607</v>
      </c>
      <c r="AC67">
        <v>1</v>
      </c>
      <c r="AD67" t="s">
        <v>3607</v>
      </c>
      <c r="AE67" s="3">
        <v>45992.941863407672</v>
      </c>
    </row>
    <row r="68" spans="2:31" hidden="1" x14ac:dyDescent="0.25">
      <c r="B68" t="s">
        <v>196</v>
      </c>
      <c r="C68">
        <v>0</v>
      </c>
      <c r="H68">
        <v>0.83</v>
      </c>
      <c r="AB68" t="s">
        <v>3787</v>
      </c>
      <c r="AC68">
        <v>1</v>
      </c>
    </row>
    <row r="69" spans="2:31" x14ac:dyDescent="0.25">
      <c r="B69" t="s">
        <v>200</v>
      </c>
      <c r="C69">
        <v>1</v>
      </c>
      <c r="D69">
        <v>2020</v>
      </c>
      <c r="E69" t="s">
        <v>3730</v>
      </c>
      <c r="F69">
        <v>2021</v>
      </c>
      <c r="G69" s="2">
        <v>44197</v>
      </c>
      <c r="H69">
        <v>0.11840000000000001</v>
      </c>
      <c r="I69">
        <v>11.52</v>
      </c>
      <c r="J69">
        <v>3.32</v>
      </c>
      <c r="N69">
        <v>0.17</v>
      </c>
      <c r="O69">
        <v>0.09</v>
      </c>
      <c r="P69">
        <v>71</v>
      </c>
      <c r="R69">
        <v>10.41</v>
      </c>
      <c r="S69">
        <v>1.97</v>
      </c>
      <c r="T69">
        <v>739.46</v>
      </c>
      <c r="W69" t="s">
        <v>3791</v>
      </c>
      <c r="X69" t="s">
        <v>3603</v>
      </c>
      <c r="Y69">
        <v>71</v>
      </c>
      <c r="Z69">
        <v>0.88160000000000005</v>
      </c>
      <c r="AA69" s="2">
        <v>44013</v>
      </c>
      <c r="AB69" t="s">
        <v>3604</v>
      </c>
      <c r="AC69">
        <v>1</v>
      </c>
    </row>
    <row r="70" spans="2:31" x14ac:dyDescent="0.25">
      <c r="B70" t="s">
        <v>203</v>
      </c>
      <c r="C70">
        <v>1</v>
      </c>
      <c r="D70">
        <v>2020</v>
      </c>
      <c r="F70">
        <v>2024</v>
      </c>
      <c r="H70">
        <v>0.41</v>
      </c>
      <c r="J70">
        <v>3.42</v>
      </c>
      <c r="K70">
        <v>7.79</v>
      </c>
      <c r="L70">
        <v>1.57</v>
      </c>
      <c r="O70">
        <v>0.44</v>
      </c>
      <c r="P70">
        <v>13</v>
      </c>
      <c r="T70">
        <v>0</v>
      </c>
      <c r="W70" t="s">
        <v>3676</v>
      </c>
      <c r="X70" t="s">
        <v>3603</v>
      </c>
      <c r="AA70" s="2">
        <v>44013</v>
      </c>
      <c r="AB70" t="s">
        <v>3607</v>
      </c>
      <c r="AC70">
        <v>1</v>
      </c>
      <c r="AD70" t="s">
        <v>3607</v>
      </c>
      <c r="AE70" s="3">
        <v>45992.941863407672</v>
      </c>
    </row>
    <row r="71" spans="2:31" x14ac:dyDescent="0.25">
      <c r="B71" t="s">
        <v>206</v>
      </c>
      <c r="C71">
        <v>1</v>
      </c>
      <c r="D71">
        <v>2020</v>
      </c>
      <c r="F71">
        <v>2024</v>
      </c>
      <c r="H71">
        <v>0.61799999999999999</v>
      </c>
      <c r="J71">
        <v>2.58</v>
      </c>
      <c r="K71">
        <v>15.77</v>
      </c>
      <c r="L71">
        <v>2.61</v>
      </c>
      <c r="O71">
        <v>0.95</v>
      </c>
      <c r="P71">
        <v>204</v>
      </c>
      <c r="R71">
        <v>1.25</v>
      </c>
      <c r="S71">
        <v>1.96</v>
      </c>
      <c r="T71">
        <v>79.78</v>
      </c>
      <c r="W71" t="s">
        <v>3629</v>
      </c>
      <c r="X71" t="s">
        <v>3603</v>
      </c>
      <c r="AA71" s="2">
        <v>44013</v>
      </c>
      <c r="AB71" t="s">
        <v>3607</v>
      </c>
      <c r="AC71">
        <v>1</v>
      </c>
      <c r="AD71" t="s">
        <v>3607</v>
      </c>
      <c r="AE71" s="3">
        <v>45992.941863407672</v>
      </c>
    </row>
    <row r="72" spans="2:31" x14ac:dyDescent="0.25">
      <c r="B72" t="s">
        <v>210</v>
      </c>
      <c r="C72">
        <v>1</v>
      </c>
      <c r="D72">
        <v>2020</v>
      </c>
      <c r="F72">
        <v>2024</v>
      </c>
      <c r="H72">
        <v>0.78100000000000003</v>
      </c>
      <c r="J72">
        <v>4.83</v>
      </c>
      <c r="K72">
        <v>16.440000000000001</v>
      </c>
      <c r="L72">
        <v>3.89</v>
      </c>
      <c r="O72">
        <v>0.69</v>
      </c>
      <c r="P72">
        <v>217</v>
      </c>
      <c r="R72">
        <v>0.05</v>
      </c>
      <c r="S72">
        <v>0.09</v>
      </c>
      <c r="T72">
        <v>0.24</v>
      </c>
      <c r="W72" t="s">
        <v>3630</v>
      </c>
      <c r="X72" t="s">
        <v>3603</v>
      </c>
      <c r="AA72" s="2">
        <v>44013</v>
      </c>
      <c r="AB72" t="s">
        <v>3607</v>
      </c>
      <c r="AC72">
        <v>1</v>
      </c>
      <c r="AD72" t="s">
        <v>3607</v>
      </c>
      <c r="AE72" s="3">
        <v>45992.941863407672</v>
      </c>
    </row>
    <row r="73" spans="2:31" x14ac:dyDescent="0.25">
      <c r="B73" t="s">
        <v>213</v>
      </c>
      <c r="C73">
        <v>1</v>
      </c>
      <c r="D73">
        <v>2020</v>
      </c>
      <c r="F73">
        <v>2024</v>
      </c>
      <c r="H73">
        <v>0.64300000000000002</v>
      </c>
      <c r="J73">
        <v>5.86</v>
      </c>
      <c r="K73">
        <v>9.56</v>
      </c>
      <c r="L73">
        <v>3.45</v>
      </c>
      <c r="O73">
        <v>1.71</v>
      </c>
      <c r="P73">
        <v>35</v>
      </c>
      <c r="R73">
        <v>2.3199999999999998</v>
      </c>
      <c r="S73">
        <v>3.74</v>
      </c>
      <c r="T73">
        <v>39.369999999999997</v>
      </c>
      <c r="W73" t="s">
        <v>3631</v>
      </c>
      <c r="X73" t="s">
        <v>3603</v>
      </c>
      <c r="AA73" s="2">
        <v>44013</v>
      </c>
      <c r="AB73" t="s">
        <v>3607</v>
      </c>
      <c r="AC73">
        <v>1</v>
      </c>
      <c r="AD73" t="s">
        <v>3607</v>
      </c>
      <c r="AE73" s="3">
        <v>45992.941863407672</v>
      </c>
    </row>
    <row r="74" spans="2:31" x14ac:dyDescent="0.25">
      <c r="B74" t="s">
        <v>214</v>
      </c>
      <c r="C74">
        <v>1</v>
      </c>
      <c r="D74">
        <v>2020</v>
      </c>
      <c r="F74">
        <v>2024</v>
      </c>
      <c r="H74">
        <v>0.88500000000000001</v>
      </c>
      <c r="J74">
        <v>3.55</v>
      </c>
      <c r="K74">
        <v>16.55</v>
      </c>
      <c r="L74">
        <v>2.58</v>
      </c>
      <c r="O74">
        <v>1.1100000000000001</v>
      </c>
      <c r="P74">
        <v>46</v>
      </c>
      <c r="R74">
        <v>2.14</v>
      </c>
      <c r="S74">
        <v>2.74</v>
      </c>
      <c r="T74">
        <v>70.63</v>
      </c>
      <c r="W74" t="s">
        <v>3632</v>
      </c>
      <c r="X74" t="s">
        <v>3603</v>
      </c>
      <c r="AA74" s="2">
        <v>44013</v>
      </c>
      <c r="AB74" t="s">
        <v>3607</v>
      </c>
      <c r="AC74">
        <v>1</v>
      </c>
      <c r="AD74" t="s">
        <v>3607</v>
      </c>
      <c r="AE74" s="3">
        <v>45992.941863407672</v>
      </c>
    </row>
    <row r="75" spans="2:31" x14ac:dyDescent="0.25">
      <c r="B75" t="s">
        <v>218</v>
      </c>
      <c r="C75">
        <v>1</v>
      </c>
      <c r="D75">
        <v>2020</v>
      </c>
      <c r="F75">
        <v>2024</v>
      </c>
      <c r="H75">
        <v>0.71799999999999997</v>
      </c>
      <c r="J75">
        <v>4.21</v>
      </c>
      <c r="K75">
        <v>9.2100000000000009</v>
      </c>
      <c r="L75">
        <v>3.21</v>
      </c>
      <c r="O75">
        <v>0.75</v>
      </c>
      <c r="P75">
        <v>51</v>
      </c>
      <c r="R75">
        <v>0.08</v>
      </c>
      <c r="S75">
        <v>0.1</v>
      </c>
      <c r="T75">
        <v>0.5</v>
      </c>
      <c r="W75" t="s">
        <v>3633</v>
      </c>
      <c r="X75" t="s">
        <v>3603</v>
      </c>
      <c r="AA75" s="2">
        <v>44013</v>
      </c>
      <c r="AB75" t="s">
        <v>3607</v>
      </c>
      <c r="AC75">
        <v>1</v>
      </c>
      <c r="AD75" t="s">
        <v>3607</v>
      </c>
      <c r="AE75" s="3">
        <v>45992.941863407672</v>
      </c>
    </row>
    <row r="76" spans="2:31" x14ac:dyDescent="0.25">
      <c r="B76" t="s">
        <v>221</v>
      </c>
      <c r="C76">
        <v>1</v>
      </c>
      <c r="D76">
        <v>2020</v>
      </c>
      <c r="F76">
        <v>2024</v>
      </c>
      <c r="H76">
        <v>0.24</v>
      </c>
      <c r="J76">
        <v>4.78</v>
      </c>
      <c r="K76">
        <v>12.99</v>
      </c>
      <c r="L76">
        <v>3.1</v>
      </c>
      <c r="O76">
        <v>1</v>
      </c>
      <c r="P76">
        <v>32</v>
      </c>
      <c r="R76">
        <v>0.6</v>
      </c>
      <c r="S76">
        <v>0.81</v>
      </c>
      <c r="T76">
        <v>10.71</v>
      </c>
      <c r="W76" t="s">
        <v>3739</v>
      </c>
      <c r="X76" t="s">
        <v>3603</v>
      </c>
      <c r="AA76" s="2">
        <v>44013</v>
      </c>
      <c r="AB76" t="s">
        <v>3607</v>
      </c>
      <c r="AC76">
        <v>1</v>
      </c>
      <c r="AD76" t="s">
        <v>3607</v>
      </c>
      <c r="AE76" s="3">
        <v>45992.941863407672</v>
      </c>
    </row>
    <row r="77" spans="2:31" x14ac:dyDescent="0.25">
      <c r="B77" t="s">
        <v>225</v>
      </c>
      <c r="C77">
        <v>1</v>
      </c>
      <c r="D77">
        <v>2020</v>
      </c>
      <c r="F77">
        <v>2024</v>
      </c>
      <c r="H77">
        <v>0.94699999999999995</v>
      </c>
      <c r="J77">
        <v>4.5199999999999996</v>
      </c>
      <c r="K77">
        <v>21.81</v>
      </c>
      <c r="L77">
        <v>3.44</v>
      </c>
      <c r="O77">
        <v>0.87</v>
      </c>
      <c r="P77">
        <v>162</v>
      </c>
      <c r="R77">
        <v>1.69</v>
      </c>
      <c r="S77">
        <v>2.11</v>
      </c>
      <c r="T77">
        <v>169.24</v>
      </c>
      <c r="W77" t="s">
        <v>3634</v>
      </c>
      <c r="X77" t="s">
        <v>3603</v>
      </c>
      <c r="AA77" s="2">
        <v>44013</v>
      </c>
      <c r="AB77" t="s">
        <v>3607</v>
      </c>
      <c r="AC77">
        <v>1</v>
      </c>
      <c r="AD77" t="s">
        <v>3607</v>
      </c>
      <c r="AE77" s="3">
        <v>45992.941863407672</v>
      </c>
    </row>
    <row r="78" spans="2:31" x14ac:dyDescent="0.25">
      <c r="B78" t="s">
        <v>228</v>
      </c>
      <c r="C78">
        <v>1</v>
      </c>
      <c r="D78">
        <v>2020</v>
      </c>
      <c r="F78">
        <v>2024</v>
      </c>
      <c r="H78">
        <v>0.82699999999999996</v>
      </c>
      <c r="J78">
        <v>3.11</v>
      </c>
      <c r="K78">
        <v>11.24</v>
      </c>
      <c r="L78">
        <v>2.98</v>
      </c>
      <c r="O78">
        <v>0.72</v>
      </c>
      <c r="P78">
        <v>65</v>
      </c>
      <c r="R78">
        <v>0.84</v>
      </c>
      <c r="S78">
        <v>1.1399999999999999</v>
      </c>
      <c r="T78">
        <v>46.08</v>
      </c>
      <c r="W78" t="s">
        <v>3635</v>
      </c>
      <c r="X78" t="s">
        <v>3603</v>
      </c>
      <c r="AA78" s="2">
        <v>44013</v>
      </c>
      <c r="AB78" t="s">
        <v>3607</v>
      </c>
      <c r="AC78">
        <v>1</v>
      </c>
      <c r="AD78" t="s">
        <v>3607</v>
      </c>
      <c r="AE78" s="3">
        <v>45992.941863407672</v>
      </c>
    </row>
    <row r="79" spans="2:31" hidden="1" x14ac:dyDescent="0.25">
      <c r="B79" t="s">
        <v>232</v>
      </c>
      <c r="C79">
        <v>0</v>
      </c>
      <c r="H79">
        <v>0.95</v>
      </c>
      <c r="AB79" t="s">
        <v>3787</v>
      </c>
      <c r="AC79">
        <v>1</v>
      </c>
    </row>
    <row r="80" spans="2:31" x14ac:dyDescent="0.25">
      <c r="B80" t="s">
        <v>235</v>
      </c>
      <c r="C80">
        <v>1</v>
      </c>
      <c r="D80">
        <v>2020</v>
      </c>
      <c r="F80">
        <v>2024</v>
      </c>
      <c r="H80">
        <v>0.75700000000000001</v>
      </c>
      <c r="J80">
        <v>5.34</v>
      </c>
      <c r="K80">
        <v>24.8</v>
      </c>
      <c r="L80">
        <v>4.26</v>
      </c>
      <c r="O80">
        <v>0.85</v>
      </c>
      <c r="P80">
        <v>137</v>
      </c>
      <c r="R80">
        <v>4.29</v>
      </c>
      <c r="S80">
        <v>4.74</v>
      </c>
      <c r="T80">
        <v>554</v>
      </c>
      <c r="W80" t="s">
        <v>3637</v>
      </c>
      <c r="X80" t="s">
        <v>3603</v>
      </c>
      <c r="AA80" s="2">
        <v>44013</v>
      </c>
      <c r="AB80" t="s">
        <v>3607</v>
      </c>
      <c r="AC80">
        <v>1</v>
      </c>
      <c r="AD80" t="s">
        <v>3607</v>
      </c>
      <c r="AE80" s="3">
        <v>45992.941863407672</v>
      </c>
    </row>
    <row r="81" spans="2:31" x14ac:dyDescent="0.25">
      <c r="B81" t="s">
        <v>238</v>
      </c>
      <c r="C81">
        <v>1</v>
      </c>
      <c r="D81">
        <v>2020</v>
      </c>
      <c r="F81">
        <v>2024</v>
      </c>
      <c r="H81">
        <v>0.57999999999999996</v>
      </c>
      <c r="J81">
        <v>4.43</v>
      </c>
      <c r="K81">
        <v>10.7</v>
      </c>
      <c r="L81">
        <v>3.18</v>
      </c>
      <c r="O81">
        <v>1.24</v>
      </c>
      <c r="P81">
        <v>65</v>
      </c>
      <c r="R81">
        <v>1.0900000000000001</v>
      </c>
      <c r="S81">
        <v>1.32</v>
      </c>
      <c r="T81">
        <v>26.11</v>
      </c>
      <c r="W81" t="s">
        <v>3645</v>
      </c>
      <c r="X81" t="s">
        <v>3603</v>
      </c>
      <c r="AA81" s="2">
        <v>44013</v>
      </c>
      <c r="AB81" t="s">
        <v>3607</v>
      </c>
      <c r="AC81">
        <v>1</v>
      </c>
      <c r="AD81" t="s">
        <v>3607</v>
      </c>
      <c r="AE81" s="3">
        <v>45992.941863407672</v>
      </c>
    </row>
    <row r="82" spans="2:31" x14ac:dyDescent="0.25">
      <c r="B82" t="s">
        <v>241</v>
      </c>
      <c r="C82">
        <v>1</v>
      </c>
      <c r="D82">
        <v>2021</v>
      </c>
      <c r="E82" t="s">
        <v>3792</v>
      </c>
      <c r="F82">
        <v>2021</v>
      </c>
      <c r="G82" s="2">
        <v>44197</v>
      </c>
      <c r="H82">
        <v>1</v>
      </c>
      <c r="I82">
        <v>13.74</v>
      </c>
      <c r="J82">
        <v>5.33</v>
      </c>
      <c r="K82">
        <v>13.7</v>
      </c>
      <c r="L82">
        <v>5.03</v>
      </c>
      <c r="N82">
        <v>0.24</v>
      </c>
      <c r="O82">
        <v>0.11</v>
      </c>
      <c r="P82">
        <v>94</v>
      </c>
      <c r="R82">
        <v>11.98</v>
      </c>
      <c r="S82">
        <v>4.0199999999999996</v>
      </c>
      <c r="T82">
        <v>1126.23</v>
      </c>
      <c r="W82" t="s">
        <v>3793</v>
      </c>
      <c r="X82" t="s">
        <v>3603</v>
      </c>
      <c r="Y82">
        <v>94</v>
      </c>
      <c r="Z82">
        <v>0</v>
      </c>
      <c r="AA82" s="2">
        <v>44378</v>
      </c>
      <c r="AB82" t="s">
        <v>3604</v>
      </c>
      <c r="AC82">
        <v>1</v>
      </c>
    </row>
    <row r="83" spans="2:31" hidden="1" x14ac:dyDescent="0.25">
      <c r="B83" t="s">
        <v>244</v>
      </c>
      <c r="C83">
        <v>0</v>
      </c>
      <c r="AB83" t="s">
        <v>3787</v>
      </c>
      <c r="AC83">
        <v>1</v>
      </c>
    </row>
    <row r="84" spans="2:31" hidden="1" x14ac:dyDescent="0.25">
      <c r="B84" t="s">
        <v>245</v>
      </c>
      <c r="C84">
        <v>0</v>
      </c>
      <c r="H84">
        <v>0</v>
      </c>
      <c r="AB84" t="s">
        <v>3830</v>
      </c>
      <c r="AC84">
        <v>1</v>
      </c>
    </row>
    <row r="85" spans="2:31" x14ac:dyDescent="0.25">
      <c r="B85" t="s">
        <v>249</v>
      </c>
      <c r="C85">
        <v>1</v>
      </c>
      <c r="D85">
        <v>2021</v>
      </c>
      <c r="E85" t="s">
        <v>3621</v>
      </c>
      <c r="F85">
        <v>2025</v>
      </c>
      <c r="G85" s="2">
        <v>45680</v>
      </c>
      <c r="H85">
        <v>0.97140000000000004</v>
      </c>
      <c r="I85">
        <v>21.92</v>
      </c>
      <c r="J85">
        <v>1.8</v>
      </c>
      <c r="K85">
        <v>15.41</v>
      </c>
      <c r="L85">
        <v>2.2000000000000002</v>
      </c>
      <c r="N85">
        <v>6.39</v>
      </c>
      <c r="O85">
        <v>1.37</v>
      </c>
      <c r="P85">
        <v>91</v>
      </c>
      <c r="R85">
        <v>7.91</v>
      </c>
      <c r="S85">
        <v>6.17</v>
      </c>
      <c r="T85">
        <v>751.47</v>
      </c>
      <c r="W85" t="s">
        <v>3643</v>
      </c>
      <c r="X85" t="s">
        <v>3603</v>
      </c>
      <c r="Y85">
        <v>105</v>
      </c>
      <c r="Z85">
        <v>2.86E-2</v>
      </c>
      <c r="AA85" s="2">
        <v>44378</v>
      </c>
      <c r="AB85" t="s">
        <v>3604</v>
      </c>
      <c r="AC85">
        <v>1</v>
      </c>
      <c r="AD85" t="s">
        <v>3605</v>
      </c>
      <c r="AE85" s="3">
        <v>45994.037509884307</v>
      </c>
    </row>
    <row r="86" spans="2:31" x14ac:dyDescent="0.25">
      <c r="B86" t="s">
        <v>252</v>
      </c>
      <c r="C86">
        <v>1</v>
      </c>
      <c r="D86">
        <v>2021</v>
      </c>
      <c r="E86" t="s">
        <v>3621</v>
      </c>
      <c r="F86">
        <v>2025</v>
      </c>
      <c r="G86" s="2">
        <v>45680</v>
      </c>
      <c r="H86">
        <v>0.71430000000000005</v>
      </c>
      <c r="I86">
        <v>19.600000000000001</v>
      </c>
      <c r="J86">
        <v>3.51</v>
      </c>
      <c r="K86">
        <v>10.42</v>
      </c>
      <c r="L86">
        <v>3.06</v>
      </c>
      <c r="N86">
        <v>5.21</v>
      </c>
      <c r="O86">
        <v>1.27</v>
      </c>
      <c r="P86">
        <v>110</v>
      </c>
      <c r="R86">
        <v>2.4300000000000002</v>
      </c>
      <c r="S86">
        <v>1.88</v>
      </c>
      <c r="T86">
        <v>216.03</v>
      </c>
      <c r="W86" t="s">
        <v>3644</v>
      </c>
      <c r="X86" t="s">
        <v>3603</v>
      </c>
      <c r="Y86">
        <v>154</v>
      </c>
      <c r="Z86">
        <v>0.28570000000000001</v>
      </c>
      <c r="AA86" s="2">
        <v>44378</v>
      </c>
      <c r="AB86" t="s">
        <v>3604</v>
      </c>
      <c r="AC86">
        <v>1</v>
      </c>
      <c r="AD86" t="s">
        <v>3605</v>
      </c>
      <c r="AE86" s="3">
        <v>45994.037509884307</v>
      </c>
    </row>
    <row r="87" spans="2:31" x14ac:dyDescent="0.25">
      <c r="B87" t="s">
        <v>256</v>
      </c>
      <c r="C87">
        <v>1</v>
      </c>
      <c r="D87">
        <v>2021</v>
      </c>
      <c r="E87" t="s">
        <v>3621</v>
      </c>
      <c r="F87">
        <v>2025</v>
      </c>
      <c r="G87" s="2">
        <v>45684</v>
      </c>
      <c r="H87">
        <v>0.78569999999999995</v>
      </c>
      <c r="I87">
        <v>21.88</v>
      </c>
      <c r="J87">
        <v>4.62</v>
      </c>
      <c r="K87">
        <v>12.91</v>
      </c>
      <c r="L87">
        <v>3.59</v>
      </c>
      <c r="N87">
        <v>3.64</v>
      </c>
      <c r="O87">
        <v>1.03</v>
      </c>
      <c r="P87">
        <v>77</v>
      </c>
      <c r="R87">
        <v>0.54</v>
      </c>
      <c r="S87">
        <v>0.79</v>
      </c>
      <c r="T87">
        <v>13.52</v>
      </c>
      <c r="W87" t="s">
        <v>3628</v>
      </c>
      <c r="X87" t="s">
        <v>3603</v>
      </c>
      <c r="Y87">
        <v>98</v>
      </c>
      <c r="Z87">
        <v>0.21429999999999999</v>
      </c>
      <c r="AA87" s="2">
        <v>44378</v>
      </c>
      <c r="AB87" t="s">
        <v>3604</v>
      </c>
      <c r="AC87">
        <v>1</v>
      </c>
      <c r="AD87" t="s">
        <v>3605</v>
      </c>
      <c r="AE87" s="3">
        <v>45994.037509884307</v>
      </c>
    </row>
    <row r="88" spans="2:31" x14ac:dyDescent="0.25">
      <c r="B88" t="s">
        <v>259</v>
      </c>
      <c r="C88">
        <v>1</v>
      </c>
      <c r="D88">
        <v>2021</v>
      </c>
      <c r="E88" t="s">
        <v>3626</v>
      </c>
      <c r="F88">
        <v>2025</v>
      </c>
      <c r="G88" s="2">
        <v>45307</v>
      </c>
      <c r="H88">
        <v>0.99260000000000004</v>
      </c>
      <c r="I88">
        <v>27.88</v>
      </c>
      <c r="J88">
        <v>3.55</v>
      </c>
      <c r="K88">
        <v>11.95</v>
      </c>
      <c r="L88">
        <v>2.8</v>
      </c>
      <c r="N88">
        <v>6.21</v>
      </c>
      <c r="O88">
        <v>1.04</v>
      </c>
      <c r="P88">
        <v>132</v>
      </c>
      <c r="R88">
        <v>4.8099999999999996</v>
      </c>
      <c r="S88">
        <v>3.53</v>
      </c>
      <c r="T88">
        <v>620.23</v>
      </c>
      <c r="W88" t="s">
        <v>3627</v>
      </c>
      <c r="X88" t="s">
        <v>3603</v>
      </c>
      <c r="Y88">
        <v>135</v>
      </c>
      <c r="Z88">
        <v>7.4000000000000003E-3</v>
      </c>
      <c r="AA88" s="2">
        <v>44378</v>
      </c>
      <c r="AB88" t="s">
        <v>3604</v>
      </c>
      <c r="AC88">
        <v>1</v>
      </c>
      <c r="AD88" t="s">
        <v>3605</v>
      </c>
      <c r="AE88" s="3">
        <v>45994.037509884307</v>
      </c>
    </row>
    <row r="89" spans="2:31" x14ac:dyDescent="0.25">
      <c r="B89" t="s">
        <v>262</v>
      </c>
      <c r="C89">
        <v>1</v>
      </c>
      <c r="D89">
        <v>2021</v>
      </c>
      <c r="E89" t="s">
        <v>3619</v>
      </c>
      <c r="F89">
        <v>2025</v>
      </c>
      <c r="G89" s="2">
        <v>45687</v>
      </c>
      <c r="H89">
        <v>0.70409999999999995</v>
      </c>
      <c r="I89">
        <v>10.199999999999999</v>
      </c>
      <c r="J89">
        <v>11.88</v>
      </c>
      <c r="K89">
        <v>4.3</v>
      </c>
      <c r="L89">
        <v>5.18</v>
      </c>
      <c r="N89">
        <v>6.02</v>
      </c>
      <c r="O89">
        <v>1.1399999999999999</v>
      </c>
      <c r="P89">
        <v>67</v>
      </c>
      <c r="R89">
        <v>2.29</v>
      </c>
      <c r="S89">
        <v>2.4</v>
      </c>
      <c r="T89">
        <v>66.42</v>
      </c>
      <c r="W89" t="s">
        <v>3625</v>
      </c>
      <c r="X89" t="s">
        <v>3603</v>
      </c>
      <c r="Y89">
        <v>98</v>
      </c>
      <c r="Z89">
        <v>0.2959</v>
      </c>
      <c r="AA89" s="2">
        <v>44378</v>
      </c>
      <c r="AB89" t="s">
        <v>3604</v>
      </c>
      <c r="AC89">
        <v>1</v>
      </c>
      <c r="AD89" t="s">
        <v>3605</v>
      </c>
      <c r="AE89" s="3">
        <v>45994.037509884307</v>
      </c>
    </row>
    <row r="90" spans="2:31" x14ac:dyDescent="0.25">
      <c r="B90" t="s">
        <v>265</v>
      </c>
      <c r="C90">
        <v>1</v>
      </c>
      <c r="D90">
        <v>2021</v>
      </c>
      <c r="E90" t="s">
        <v>3619</v>
      </c>
      <c r="F90">
        <v>2025</v>
      </c>
      <c r="G90" s="2">
        <v>45691</v>
      </c>
      <c r="H90">
        <v>0.98780000000000001</v>
      </c>
      <c r="I90">
        <v>23.51</v>
      </c>
      <c r="J90">
        <v>2.04</v>
      </c>
      <c r="K90">
        <v>14.25</v>
      </c>
      <c r="L90">
        <v>2.33</v>
      </c>
      <c r="N90">
        <v>5.21</v>
      </c>
      <c r="O90">
        <v>0.9</v>
      </c>
      <c r="P90">
        <v>81</v>
      </c>
      <c r="R90">
        <v>2.08</v>
      </c>
      <c r="S90">
        <v>1.9</v>
      </c>
      <c r="T90">
        <v>157.76</v>
      </c>
      <c r="W90" t="s">
        <v>3624</v>
      </c>
      <c r="X90" t="s">
        <v>3603</v>
      </c>
      <c r="Y90">
        <v>82</v>
      </c>
      <c r="Z90">
        <v>1.2200000000000001E-2</v>
      </c>
      <c r="AA90" s="2">
        <v>44378</v>
      </c>
      <c r="AB90" t="s">
        <v>3604</v>
      </c>
      <c r="AC90">
        <v>1</v>
      </c>
      <c r="AD90" t="s">
        <v>3605</v>
      </c>
      <c r="AE90" s="3">
        <v>45994.037509884307</v>
      </c>
    </row>
    <row r="91" spans="2:31" hidden="1" x14ac:dyDescent="0.25">
      <c r="B91" t="s">
        <v>268</v>
      </c>
      <c r="C91">
        <v>0</v>
      </c>
      <c r="AB91" t="s">
        <v>3787</v>
      </c>
      <c r="AC91">
        <v>1</v>
      </c>
    </row>
    <row r="92" spans="2:31" hidden="1" x14ac:dyDescent="0.25">
      <c r="B92" t="s">
        <v>271</v>
      </c>
      <c r="C92">
        <v>0</v>
      </c>
      <c r="AB92" t="s">
        <v>3787</v>
      </c>
      <c r="AC92">
        <v>1</v>
      </c>
    </row>
    <row r="93" spans="2:31" x14ac:dyDescent="0.25">
      <c r="B93" t="s">
        <v>274</v>
      </c>
      <c r="C93">
        <v>1</v>
      </c>
      <c r="D93">
        <v>2019</v>
      </c>
      <c r="E93" t="s">
        <v>3626</v>
      </c>
      <c r="F93">
        <v>2022</v>
      </c>
      <c r="G93" s="2">
        <v>44562</v>
      </c>
      <c r="H93">
        <v>0.27600000000000002</v>
      </c>
      <c r="I93">
        <v>3.04</v>
      </c>
      <c r="J93">
        <v>5.58</v>
      </c>
      <c r="K93">
        <v>0.35</v>
      </c>
      <c r="L93">
        <v>2.21</v>
      </c>
      <c r="N93">
        <v>0.63</v>
      </c>
      <c r="O93">
        <v>1.1499999999999999</v>
      </c>
      <c r="P93">
        <v>250</v>
      </c>
      <c r="R93">
        <v>0.55000000000000004</v>
      </c>
      <c r="S93">
        <v>1.07</v>
      </c>
      <c r="T93">
        <v>136.99</v>
      </c>
      <c r="W93" t="s">
        <v>3794</v>
      </c>
      <c r="X93" t="s">
        <v>3603</v>
      </c>
      <c r="Y93">
        <v>250</v>
      </c>
      <c r="Z93">
        <v>0.72399999999999998</v>
      </c>
      <c r="AA93" s="2">
        <v>43647</v>
      </c>
      <c r="AB93" t="s">
        <v>3604</v>
      </c>
      <c r="AC93">
        <v>1</v>
      </c>
    </row>
    <row r="94" spans="2:31" x14ac:dyDescent="0.25">
      <c r="B94" t="s">
        <v>278</v>
      </c>
      <c r="C94">
        <v>1</v>
      </c>
      <c r="D94">
        <v>2019</v>
      </c>
      <c r="E94" t="s">
        <v>3626</v>
      </c>
      <c r="F94">
        <v>2022</v>
      </c>
      <c r="G94" s="2">
        <v>44562</v>
      </c>
      <c r="H94">
        <v>0.5917</v>
      </c>
      <c r="I94">
        <v>7.37</v>
      </c>
      <c r="J94">
        <v>7.8</v>
      </c>
      <c r="K94">
        <v>1.5</v>
      </c>
      <c r="L94">
        <v>4.79</v>
      </c>
      <c r="N94">
        <v>1.5</v>
      </c>
      <c r="O94">
        <v>1.7</v>
      </c>
      <c r="P94">
        <v>120</v>
      </c>
      <c r="R94">
        <v>1.5</v>
      </c>
      <c r="S94">
        <v>1.97</v>
      </c>
      <c r="T94">
        <v>179.9</v>
      </c>
      <c r="W94" t="s">
        <v>3795</v>
      </c>
      <c r="X94" t="s">
        <v>3603</v>
      </c>
      <c r="Y94">
        <v>120</v>
      </c>
      <c r="Z94">
        <v>0.4083</v>
      </c>
      <c r="AA94" s="2">
        <v>43647</v>
      </c>
      <c r="AB94" t="s">
        <v>3604</v>
      </c>
      <c r="AC94">
        <v>1</v>
      </c>
    </row>
    <row r="95" spans="2:31" hidden="1" x14ac:dyDescent="0.25">
      <c r="B95" t="s">
        <v>282</v>
      </c>
      <c r="C95">
        <v>0</v>
      </c>
      <c r="AB95" t="s">
        <v>3787</v>
      </c>
      <c r="AC95">
        <v>1</v>
      </c>
    </row>
    <row r="96" spans="2:31" x14ac:dyDescent="0.25">
      <c r="B96" t="s">
        <v>283</v>
      </c>
      <c r="C96">
        <v>1</v>
      </c>
      <c r="D96">
        <v>2019</v>
      </c>
      <c r="E96" t="s">
        <v>3646</v>
      </c>
      <c r="F96">
        <v>2021</v>
      </c>
      <c r="G96" s="2">
        <v>44197</v>
      </c>
      <c r="H96">
        <v>0.55630000000000002</v>
      </c>
      <c r="I96">
        <v>33.97</v>
      </c>
      <c r="J96">
        <v>17.309999999999999</v>
      </c>
      <c r="N96">
        <v>0.74</v>
      </c>
      <c r="O96">
        <v>0.38</v>
      </c>
      <c r="P96">
        <v>160</v>
      </c>
      <c r="R96">
        <v>20.64</v>
      </c>
      <c r="S96">
        <v>7.83</v>
      </c>
      <c r="T96">
        <v>3302.33</v>
      </c>
      <c r="W96" t="s">
        <v>3796</v>
      </c>
      <c r="X96" t="s">
        <v>3603</v>
      </c>
      <c r="Y96">
        <v>160</v>
      </c>
      <c r="Z96">
        <v>0.44379999999999997</v>
      </c>
      <c r="AA96" s="2">
        <v>43647</v>
      </c>
      <c r="AB96" t="s">
        <v>3604</v>
      </c>
      <c r="AC96">
        <v>1</v>
      </c>
    </row>
    <row r="97" spans="2:31" hidden="1" x14ac:dyDescent="0.25">
      <c r="B97" t="s">
        <v>286</v>
      </c>
      <c r="C97">
        <v>0</v>
      </c>
      <c r="AB97" t="s">
        <v>3787</v>
      </c>
      <c r="AC97">
        <v>1</v>
      </c>
    </row>
    <row r="98" spans="2:31" x14ac:dyDescent="0.25">
      <c r="B98" t="s">
        <v>287</v>
      </c>
      <c r="C98">
        <v>1</v>
      </c>
      <c r="D98">
        <v>2019</v>
      </c>
      <c r="F98">
        <v>2024</v>
      </c>
      <c r="H98">
        <v>0</v>
      </c>
      <c r="J98">
        <v>4.16</v>
      </c>
      <c r="K98">
        <v>9.59</v>
      </c>
      <c r="L98">
        <v>2.78</v>
      </c>
      <c r="O98">
        <v>0.96</v>
      </c>
      <c r="P98">
        <v>81</v>
      </c>
      <c r="R98">
        <v>0.49</v>
      </c>
      <c r="S98">
        <v>0.65</v>
      </c>
      <c r="T98">
        <v>5.87</v>
      </c>
      <c r="W98" t="s">
        <v>3638</v>
      </c>
      <c r="X98" t="s">
        <v>3603</v>
      </c>
      <c r="AA98" s="2">
        <v>43647</v>
      </c>
      <c r="AB98" t="s">
        <v>3607</v>
      </c>
      <c r="AC98">
        <v>1</v>
      </c>
      <c r="AD98" t="s">
        <v>3607</v>
      </c>
      <c r="AE98" s="3">
        <v>45992.941863407672</v>
      </c>
    </row>
    <row r="99" spans="2:31" x14ac:dyDescent="0.25">
      <c r="B99" t="s">
        <v>291</v>
      </c>
      <c r="C99">
        <v>1</v>
      </c>
      <c r="D99">
        <v>2019</v>
      </c>
      <c r="F99">
        <v>2024</v>
      </c>
      <c r="H99">
        <v>0.6</v>
      </c>
      <c r="J99">
        <v>4.21</v>
      </c>
      <c r="K99">
        <v>9.83</v>
      </c>
      <c r="L99">
        <v>2.84</v>
      </c>
      <c r="O99">
        <v>1.24</v>
      </c>
      <c r="P99">
        <v>223</v>
      </c>
      <c r="R99">
        <v>1.19</v>
      </c>
      <c r="S99">
        <v>2.12</v>
      </c>
      <c r="T99">
        <v>71.489999999999995</v>
      </c>
      <c r="W99" t="s">
        <v>3639</v>
      </c>
      <c r="X99" t="s">
        <v>3603</v>
      </c>
      <c r="AA99" s="2">
        <v>43647</v>
      </c>
      <c r="AB99" t="s">
        <v>3607</v>
      </c>
      <c r="AC99">
        <v>1</v>
      </c>
      <c r="AD99" t="s">
        <v>3607</v>
      </c>
      <c r="AE99" s="3">
        <v>45992.941863407672</v>
      </c>
    </row>
    <row r="100" spans="2:31" x14ac:dyDescent="0.25">
      <c r="B100" t="s">
        <v>295</v>
      </c>
      <c r="C100">
        <v>1</v>
      </c>
      <c r="D100">
        <v>2019</v>
      </c>
      <c r="E100" t="s">
        <v>3646</v>
      </c>
      <c r="F100">
        <v>2021</v>
      </c>
      <c r="G100" s="2">
        <v>44197</v>
      </c>
      <c r="H100">
        <v>0.41670000000000001</v>
      </c>
      <c r="I100">
        <v>33.409999999999997</v>
      </c>
      <c r="J100">
        <v>17.420000000000002</v>
      </c>
      <c r="N100">
        <v>0.68</v>
      </c>
      <c r="O100">
        <v>0.37</v>
      </c>
      <c r="P100">
        <v>96</v>
      </c>
      <c r="R100">
        <v>21.15</v>
      </c>
      <c r="S100">
        <v>8.19</v>
      </c>
      <c r="T100">
        <v>2030.52</v>
      </c>
      <c r="W100" t="s">
        <v>3797</v>
      </c>
      <c r="X100" t="s">
        <v>3603</v>
      </c>
      <c r="Y100">
        <v>96</v>
      </c>
      <c r="Z100">
        <v>0.58330000000000004</v>
      </c>
      <c r="AA100" s="2">
        <v>43647</v>
      </c>
      <c r="AB100" t="s">
        <v>3604</v>
      </c>
      <c r="AC100">
        <v>1</v>
      </c>
    </row>
    <row r="101" spans="2:31" x14ac:dyDescent="0.25">
      <c r="B101" t="s">
        <v>299</v>
      </c>
      <c r="C101">
        <v>1</v>
      </c>
      <c r="D101">
        <v>2019</v>
      </c>
      <c r="F101">
        <v>2024</v>
      </c>
      <c r="H101">
        <v>0.70532954987550567</v>
      </c>
      <c r="J101">
        <v>4.42</v>
      </c>
      <c r="K101">
        <v>10.57</v>
      </c>
      <c r="L101">
        <v>3.57</v>
      </c>
      <c r="O101">
        <v>0.8</v>
      </c>
      <c r="P101">
        <v>101</v>
      </c>
      <c r="R101">
        <v>0.31</v>
      </c>
      <c r="S101">
        <v>0.55000000000000004</v>
      </c>
      <c r="T101">
        <v>7.63</v>
      </c>
      <c r="W101" t="s">
        <v>3640</v>
      </c>
      <c r="X101" t="s">
        <v>3603</v>
      </c>
      <c r="AA101" s="2">
        <v>43647</v>
      </c>
      <c r="AB101" t="s">
        <v>3607</v>
      </c>
      <c r="AC101">
        <v>1</v>
      </c>
      <c r="AD101" t="s">
        <v>3607</v>
      </c>
      <c r="AE101" s="3">
        <v>45992.941863407672</v>
      </c>
    </row>
    <row r="102" spans="2:31" hidden="1" x14ac:dyDescent="0.25">
      <c r="B102" t="s">
        <v>302</v>
      </c>
      <c r="C102">
        <v>0</v>
      </c>
      <c r="AB102" t="s">
        <v>3787</v>
      </c>
      <c r="AC102">
        <v>1</v>
      </c>
    </row>
    <row r="103" spans="2:31" hidden="1" x14ac:dyDescent="0.25">
      <c r="B103" t="s">
        <v>305</v>
      </c>
      <c r="C103">
        <v>0</v>
      </c>
      <c r="AB103" t="s">
        <v>3787</v>
      </c>
      <c r="AC103">
        <v>1</v>
      </c>
    </row>
    <row r="104" spans="2:31" x14ac:dyDescent="0.25">
      <c r="B104" t="s">
        <v>308</v>
      </c>
      <c r="C104">
        <v>1</v>
      </c>
      <c r="D104">
        <v>2021</v>
      </c>
      <c r="E104" t="s">
        <v>3619</v>
      </c>
      <c r="F104">
        <v>2025</v>
      </c>
      <c r="G104" s="2">
        <v>45691</v>
      </c>
      <c r="H104">
        <v>0.88460000000000005</v>
      </c>
      <c r="I104">
        <v>22.56</v>
      </c>
      <c r="J104">
        <v>7.48</v>
      </c>
      <c r="K104">
        <v>13.17</v>
      </c>
      <c r="L104">
        <v>5.47</v>
      </c>
      <c r="N104">
        <v>3.73</v>
      </c>
      <c r="O104">
        <v>1.1000000000000001</v>
      </c>
      <c r="P104">
        <v>69</v>
      </c>
      <c r="R104">
        <v>0.66</v>
      </c>
      <c r="S104">
        <v>0.66</v>
      </c>
      <c r="T104">
        <v>18.350000000000001</v>
      </c>
      <c r="W104" t="s">
        <v>3726</v>
      </c>
      <c r="X104" t="s">
        <v>3603</v>
      </c>
      <c r="Y104">
        <v>78</v>
      </c>
      <c r="Z104">
        <v>0.1154</v>
      </c>
      <c r="AA104" s="2">
        <v>44378</v>
      </c>
      <c r="AB104" t="s">
        <v>3604</v>
      </c>
      <c r="AC104">
        <v>1</v>
      </c>
      <c r="AD104" t="s">
        <v>3605</v>
      </c>
      <c r="AE104" s="3">
        <v>45994.037509884307</v>
      </c>
    </row>
    <row r="105" spans="2:31" hidden="1" x14ac:dyDescent="0.25">
      <c r="B105" t="s">
        <v>311</v>
      </c>
      <c r="C105">
        <v>0</v>
      </c>
      <c r="AB105" t="s">
        <v>3787</v>
      </c>
      <c r="AC105">
        <v>1</v>
      </c>
    </row>
    <row r="106" spans="2:31" hidden="1" x14ac:dyDescent="0.25">
      <c r="B106" t="s">
        <v>315</v>
      </c>
      <c r="C106">
        <v>0</v>
      </c>
      <c r="AB106" t="s">
        <v>3787</v>
      </c>
      <c r="AC106">
        <v>1</v>
      </c>
    </row>
    <row r="107" spans="2:31" hidden="1" x14ac:dyDescent="0.25">
      <c r="B107" t="s">
        <v>319</v>
      </c>
      <c r="C107">
        <v>0</v>
      </c>
      <c r="AB107" t="s">
        <v>3787</v>
      </c>
      <c r="AC107">
        <v>1</v>
      </c>
    </row>
    <row r="108" spans="2:31" hidden="1" x14ac:dyDescent="0.25">
      <c r="B108" t="s">
        <v>323</v>
      </c>
      <c r="C108">
        <v>0</v>
      </c>
      <c r="AB108" t="s">
        <v>3787</v>
      </c>
      <c r="AC108">
        <v>1</v>
      </c>
    </row>
    <row r="109" spans="2:31" hidden="1" x14ac:dyDescent="0.25">
      <c r="B109" t="s">
        <v>326</v>
      </c>
      <c r="C109">
        <v>0</v>
      </c>
      <c r="AB109" t="s">
        <v>3787</v>
      </c>
      <c r="AC109">
        <v>1</v>
      </c>
    </row>
    <row r="110" spans="2:31" x14ac:dyDescent="0.25">
      <c r="B110" t="s">
        <v>329</v>
      </c>
      <c r="C110">
        <v>1</v>
      </c>
      <c r="D110">
        <v>2022</v>
      </c>
      <c r="F110">
        <v>2024</v>
      </c>
      <c r="H110">
        <v>0.98</v>
      </c>
      <c r="J110">
        <v>2.0099999999999998</v>
      </c>
      <c r="K110">
        <v>16.86</v>
      </c>
      <c r="L110">
        <v>1.84</v>
      </c>
      <c r="O110">
        <v>0.7</v>
      </c>
      <c r="P110">
        <v>165</v>
      </c>
      <c r="R110">
        <v>0.56000000000000005</v>
      </c>
      <c r="S110">
        <v>0.98</v>
      </c>
      <c r="T110">
        <v>37.74</v>
      </c>
      <c r="W110" t="s">
        <v>3641</v>
      </c>
      <c r="X110" t="s">
        <v>3603</v>
      </c>
      <c r="AA110" s="2">
        <v>44743</v>
      </c>
      <c r="AB110" t="s">
        <v>3607</v>
      </c>
      <c r="AC110">
        <v>1</v>
      </c>
      <c r="AD110" t="s">
        <v>3607</v>
      </c>
      <c r="AE110" s="3">
        <v>45992.941863407672</v>
      </c>
    </row>
    <row r="111" spans="2:31" x14ac:dyDescent="0.25">
      <c r="B111" t="s">
        <v>333</v>
      </c>
      <c r="C111">
        <v>1</v>
      </c>
      <c r="D111">
        <v>2022</v>
      </c>
      <c r="F111">
        <v>2024</v>
      </c>
      <c r="H111">
        <v>0.89270000000000005</v>
      </c>
      <c r="P111">
        <v>0</v>
      </c>
      <c r="T111">
        <v>0</v>
      </c>
      <c r="W111" t="s">
        <v>3642</v>
      </c>
      <c r="X111" t="s">
        <v>3603</v>
      </c>
      <c r="AA111" s="2">
        <v>44743</v>
      </c>
      <c r="AB111" t="s">
        <v>3605</v>
      </c>
      <c r="AC111">
        <v>1</v>
      </c>
      <c r="AD111" t="s">
        <v>3605</v>
      </c>
      <c r="AE111" s="3">
        <v>45992.941863407672</v>
      </c>
    </row>
    <row r="112" spans="2:31" x14ac:dyDescent="0.25">
      <c r="B112" t="s">
        <v>336</v>
      </c>
      <c r="C112">
        <v>1</v>
      </c>
      <c r="D112">
        <v>2023</v>
      </c>
      <c r="E112" t="s">
        <v>3727</v>
      </c>
      <c r="F112">
        <v>2025</v>
      </c>
      <c r="G112" s="2">
        <v>45691</v>
      </c>
      <c r="H112">
        <v>0.94569999999999999</v>
      </c>
      <c r="I112">
        <v>21.82</v>
      </c>
      <c r="J112">
        <v>1.66</v>
      </c>
      <c r="K112">
        <v>11.89</v>
      </c>
      <c r="L112">
        <v>1.65</v>
      </c>
      <c r="N112">
        <v>5</v>
      </c>
      <c r="O112">
        <v>0.64</v>
      </c>
      <c r="P112">
        <v>121</v>
      </c>
      <c r="R112">
        <v>1.18</v>
      </c>
      <c r="S112">
        <v>0.87</v>
      </c>
      <c r="T112">
        <v>127.08</v>
      </c>
      <c r="W112" t="s">
        <v>3728</v>
      </c>
      <c r="X112" t="s">
        <v>3603</v>
      </c>
      <c r="Y112">
        <v>129</v>
      </c>
      <c r="Z112">
        <v>5.4300000000000001E-2</v>
      </c>
      <c r="AA112" s="2">
        <v>45108</v>
      </c>
      <c r="AB112" t="s">
        <v>3604</v>
      </c>
      <c r="AC112">
        <v>1</v>
      </c>
      <c r="AD112" t="s">
        <v>3605</v>
      </c>
      <c r="AE112" s="3">
        <v>45994.037509884307</v>
      </c>
    </row>
    <row r="113" spans="2:31" x14ac:dyDescent="0.25">
      <c r="B113" t="s">
        <v>340</v>
      </c>
      <c r="C113">
        <v>1</v>
      </c>
      <c r="F113">
        <v>2024</v>
      </c>
      <c r="H113">
        <v>1</v>
      </c>
      <c r="AB113" t="s">
        <v>3607</v>
      </c>
      <c r="AC113">
        <v>1</v>
      </c>
      <c r="AD113" t="s">
        <v>3607</v>
      </c>
      <c r="AE113" s="3">
        <v>45992.941863407672</v>
      </c>
    </row>
    <row r="114" spans="2:31" x14ac:dyDescent="0.25">
      <c r="B114" t="s">
        <v>344</v>
      </c>
      <c r="C114">
        <v>1</v>
      </c>
      <c r="D114">
        <v>2023</v>
      </c>
      <c r="E114" t="s">
        <v>3646</v>
      </c>
      <c r="F114">
        <v>2025</v>
      </c>
      <c r="G114" s="2">
        <v>45685</v>
      </c>
      <c r="H114">
        <v>0.84399999999999997</v>
      </c>
      <c r="I114">
        <v>22.16</v>
      </c>
      <c r="J114">
        <v>2.82</v>
      </c>
      <c r="K114">
        <v>13.18</v>
      </c>
      <c r="L114">
        <v>2.2599999999999998</v>
      </c>
      <c r="N114">
        <v>4.28</v>
      </c>
      <c r="O114">
        <v>1.1200000000000001</v>
      </c>
      <c r="P114">
        <v>119</v>
      </c>
      <c r="R114">
        <v>1.47</v>
      </c>
      <c r="S114">
        <v>1.95</v>
      </c>
      <c r="T114">
        <v>103.1</v>
      </c>
      <c r="W114" t="s">
        <v>3729</v>
      </c>
      <c r="X114" t="s">
        <v>3603</v>
      </c>
      <c r="Y114">
        <v>141</v>
      </c>
      <c r="Z114">
        <v>0.156</v>
      </c>
      <c r="AA114" s="2">
        <v>45108</v>
      </c>
      <c r="AB114" t="s">
        <v>3604</v>
      </c>
      <c r="AC114">
        <v>1</v>
      </c>
      <c r="AD114" t="s">
        <v>3605</v>
      </c>
      <c r="AE114" s="3">
        <v>45994.037509884307</v>
      </c>
    </row>
    <row r="115" spans="2:31" hidden="1" x14ac:dyDescent="0.25">
      <c r="B115" t="s">
        <v>348</v>
      </c>
      <c r="C115">
        <v>0</v>
      </c>
      <c r="H115">
        <v>1</v>
      </c>
      <c r="Z115">
        <v>0</v>
      </c>
      <c r="AC115">
        <v>1</v>
      </c>
    </row>
    <row r="116" spans="2:31" x14ac:dyDescent="0.25">
      <c r="B116" t="s">
        <v>352</v>
      </c>
      <c r="C116">
        <v>1</v>
      </c>
      <c r="D116">
        <v>2023</v>
      </c>
      <c r="F116">
        <v>2025</v>
      </c>
      <c r="H116">
        <v>0.94569999999999999</v>
      </c>
      <c r="J116">
        <v>5.38</v>
      </c>
      <c r="K116">
        <v>12.64</v>
      </c>
      <c r="L116">
        <v>2.77</v>
      </c>
      <c r="O116">
        <v>0.84</v>
      </c>
      <c r="P116">
        <v>174</v>
      </c>
      <c r="R116">
        <v>1.43</v>
      </c>
      <c r="S116">
        <v>1.28</v>
      </c>
      <c r="T116">
        <v>248.06</v>
      </c>
      <c r="W116" t="s">
        <v>3856</v>
      </c>
      <c r="X116" t="s">
        <v>3603</v>
      </c>
      <c r="AA116" s="2">
        <v>45108</v>
      </c>
      <c r="AB116" t="s">
        <v>3605</v>
      </c>
      <c r="AC116">
        <v>1</v>
      </c>
      <c r="AD116" t="s">
        <v>3605</v>
      </c>
      <c r="AE116" s="3">
        <v>45992.941863407672</v>
      </c>
    </row>
    <row r="117" spans="2:31" x14ac:dyDescent="0.25">
      <c r="B117" t="s">
        <v>356</v>
      </c>
      <c r="C117">
        <v>1</v>
      </c>
      <c r="F117">
        <v>2024</v>
      </c>
      <c r="H117">
        <v>1</v>
      </c>
      <c r="AB117" t="s">
        <v>3607</v>
      </c>
      <c r="AC117">
        <v>1</v>
      </c>
      <c r="AD117" t="s">
        <v>3607</v>
      </c>
      <c r="AE117" s="3">
        <v>45992.941863407672</v>
      </c>
    </row>
    <row r="118" spans="2:31" hidden="1" x14ac:dyDescent="0.25">
      <c r="B118" t="s">
        <v>359</v>
      </c>
      <c r="C118">
        <v>0</v>
      </c>
      <c r="H118">
        <v>1</v>
      </c>
      <c r="Z118">
        <v>0</v>
      </c>
      <c r="AC118">
        <v>1</v>
      </c>
    </row>
    <row r="119" spans="2:31" x14ac:dyDescent="0.25">
      <c r="B119" t="s">
        <v>362</v>
      </c>
      <c r="C119">
        <v>1</v>
      </c>
      <c r="D119">
        <v>2024</v>
      </c>
      <c r="E119" t="s">
        <v>3730</v>
      </c>
      <c r="F119">
        <v>2025</v>
      </c>
      <c r="G119" s="2">
        <v>45673</v>
      </c>
      <c r="H119">
        <v>0.84340000000000004</v>
      </c>
      <c r="I119">
        <v>14.69</v>
      </c>
      <c r="J119">
        <v>6.61</v>
      </c>
      <c r="K119">
        <v>7.54</v>
      </c>
      <c r="L119">
        <v>4.1100000000000003</v>
      </c>
      <c r="N119">
        <v>2.57</v>
      </c>
      <c r="O119">
        <v>1.1599999999999999</v>
      </c>
      <c r="P119">
        <v>139</v>
      </c>
      <c r="R119">
        <v>0.04</v>
      </c>
      <c r="S119">
        <v>0.09</v>
      </c>
      <c r="T119">
        <v>0.3</v>
      </c>
      <c r="W119" t="s">
        <v>3731</v>
      </c>
      <c r="X119" t="s">
        <v>3603</v>
      </c>
      <c r="Y119">
        <v>166</v>
      </c>
      <c r="Z119">
        <v>0.15659999999999999</v>
      </c>
      <c r="AA119" s="2">
        <v>45474</v>
      </c>
      <c r="AB119" t="s">
        <v>3604</v>
      </c>
      <c r="AC119">
        <v>1</v>
      </c>
      <c r="AD119" t="s">
        <v>3605</v>
      </c>
      <c r="AE119" s="3">
        <v>45994.037509884307</v>
      </c>
    </row>
    <row r="120" spans="2:31" hidden="1" x14ac:dyDescent="0.25">
      <c r="B120" t="s">
        <v>365</v>
      </c>
      <c r="C120">
        <v>0</v>
      </c>
      <c r="H120">
        <v>1</v>
      </c>
      <c r="Z120">
        <v>0</v>
      </c>
      <c r="AC120">
        <v>1</v>
      </c>
    </row>
    <row r="121" spans="2:31" hidden="1" x14ac:dyDescent="0.25">
      <c r="B121" t="s">
        <v>369</v>
      </c>
      <c r="C121">
        <v>0</v>
      </c>
      <c r="H121">
        <v>1</v>
      </c>
      <c r="Z121">
        <v>0</v>
      </c>
      <c r="AC121">
        <v>1</v>
      </c>
    </row>
    <row r="122" spans="2:31" hidden="1" x14ac:dyDescent="0.25">
      <c r="B122" t="s">
        <v>372</v>
      </c>
      <c r="C122">
        <v>0</v>
      </c>
      <c r="H122">
        <v>1</v>
      </c>
      <c r="Z122">
        <v>0</v>
      </c>
      <c r="AC122">
        <v>1</v>
      </c>
    </row>
    <row r="123" spans="2:31" hidden="1" x14ac:dyDescent="0.25">
      <c r="B123" t="s">
        <v>373</v>
      </c>
      <c r="C123">
        <v>0</v>
      </c>
      <c r="H123">
        <v>1</v>
      </c>
      <c r="Z123">
        <v>0</v>
      </c>
      <c r="AC123">
        <v>1</v>
      </c>
    </row>
    <row r="124" spans="2:31" hidden="1" x14ac:dyDescent="0.25">
      <c r="B124" t="s">
        <v>376</v>
      </c>
      <c r="C124">
        <v>0</v>
      </c>
      <c r="H124">
        <v>1</v>
      </c>
      <c r="Z124">
        <v>0</v>
      </c>
      <c r="AC124">
        <v>1</v>
      </c>
    </row>
    <row r="125" spans="2:31" x14ac:dyDescent="0.25">
      <c r="B125" t="s">
        <v>380</v>
      </c>
      <c r="C125">
        <v>1</v>
      </c>
      <c r="D125">
        <v>2019</v>
      </c>
      <c r="F125">
        <v>2024</v>
      </c>
      <c r="H125">
        <v>1</v>
      </c>
      <c r="J125">
        <v>9.6999999999999993</v>
      </c>
      <c r="O125">
        <v>0.98</v>
      </c>
      <c r="P125">
        <v>23</v>
      </c>
      <c r="R125">
        <v>0.22</v>
      </c>
      <c r="T125">
        <v>0.22</v>
      </c>
      <c r="W125" t="s">
        <v>3606</v>
      </c>
      <c r="X125" t="s">
        <v>3603</v>
      </c>
      <c r="AA125" s="2">
        <v>43647</v>
      </c>
      <c r="AB125" t="s">
        <v>3607</v>
      </c>
      <c r="AC125">
        <v>1</v>
      </c>
      <c r="AD125" t="s">
        <v>3607</v>
      </c>
      <c r="AE125" s="3">
        <v>45992.941863407672</v>
      </c>
    </row>
    <row r="126" spans="2:31" hidden="1" x14ac:dyDescent="0.25">
      <c r="B126" t="s">
        <v>383</v>
      </c>
      <c r="C126">
        <v>0</v>
      </c>
      <c r="AB126" t="s">
        <v>3787</v>
      </c>
      <c r="AC126">
        <v>1</v>
      </c>
    </row>
    <row r="127" spans="2:31" hidden="1" x14ac:dyDescent="0.25">
      <c r="B127" t="s">
        <v>386</v>
      </c>
      <c r="C127">
        <v>0</v>
      </c>
      <c r="AB127" t="s">
        <v>3787</v>
      </c>
      <c r="AC127">
        <v>1</v>
      </c>
    </row>
    <row r="128" spans="2:31" hidden="1" x14ac:dyDescent="0.25">
      <c r="B128" t="s">
        <v>389</v>
      </c>
      <c r="C128">
        <v>0</v>
      </c>
      <c r="AB128" t="s">
        <v>3787</v>
      </c>
      <c r="AC128">
        <v>1</v>
      </c>
    </row>
    <row r="129" spans="2:31" hidden="1" x14ac:dyDescent="0.25">
      <c r="B129" t="s">
        <v>392</v>
      </c>
      <c r="C129">
        <v>0</v>
      </c>
      <c r="AB129" t="s">
        <v>3787</v>
      </c>
      <c r="AC129">
        <v>1</v>
      </c>
    </row>
    <row r="130" spans="2:31" x14ac:dyDescent="0.25">
      <c r="B130" t="s">
        <v>395</v>
      </c>
      <c r="C130">
        <v>1</v>
      </c>
      <c r="D130">
        <v>2019</v>
      </c>
      <c r="E130" t="s">
        <v>3626</v>
      </c>
      <c r="F130">
        <v>2022</v>
      </c>
      <c r="G130" s="2">
        <v>44562</v>
      </c>
      <c r="H130">
        <v>0.75109999999999999</v>
      </c>
      <c r="I130">
        <v>10.53</v>
      </c>
      <c r="J130">
        <v>7.73</v>
      </c>
      <c r="K130">
        <v>3.95</v>
      </c>
      <c r="L130">
        <v>6.14</v>
      </c>
      <c r="N130">
        <v>1.79</v>
      </c>
      <c r="O130">
        <v>1.74</v>
      </c>
      <c r="P130">
        <v>229</v>
      </c>
      <c r="R130">
        <v>2.58</v>
      </c>
      <c r="S130">
        <v>3.32</v>
      </c>
      <c r="T130">
        <v>590.72</v>
      </c>
      <c r="W130" t="s">
        <v>3798</v>
      </c>
      <c r="X130" t="s">
        <v>3603</v>
      </c>
      <c r="Y130">
        <v>229</v>
      </c>
      <c r="Z130">
        <v>0.24890000000000001</v>
      </c>
      <c r="AA130" s="2">
        <v>43647</v>
      </c>
      <c r="AB130" t="s">
        <v>3604</v>
      </c>
      <c r="AC130">
        <v>1</v>
      </c>
    </row>
    <row r="131" spans="2:31" x14ac:dyDescent="0.25">
      <c r="B131" t="s">
        <v>398</v>
      </c>
      <c r="C131">
        <v>1</v>
      </c>
      <c r="D131">
        <v>2019</v>
      </c>
      <c r="E131" t="s">
        <v>3626</v>
      </c>
      <c r="F131">
        <v>2022</v>
      </c>
      <c r="G131" s="2">
        <v>44562</v>
      </c>
      <c r="H131">
        <v>0.86670000000000003</v>
      </c>
      <c r="I131">
        <v>10.91</v>
      </c>
      <c r="J131">
        <v>10.14</v>
      </c>
      <c r="K131">
        <v>0</v>
      </c>
      <c r="L131">
        <v>0</v>
      </c>
      <c r="N131">
        <v>1.53</v>
      </c>
      <c r="O131">
        <v>1.2</v>
      </c>
      <c r="P131">
        <v>30</v>
      </c>
      <c r="R131">
        <v>3.62</v>
      </c>
      <c r="S131">
        <v>8.5399999999999991</v>
      </c>
      <c r="T131">
        <v>108.74</v>
      </c>
      <c r="W131" t="s">
        <v>3799</v>
      </c>
      <c r="X131" t="s">
        <v>3603</v>
      </c>
      <c r="Y131">
        <v>30</v>
      </c>
      <c r="Z131">
        <v>0.1333</v>
      </c>
      <c r="AA131" s="2">
        <v>43647</v>
      </c>
      <c r="AB131" t="s">
        <v>3604</v>
      </c>
      <c r="AC131">
        <v>1</v>
      </c>
    </row>
    <row r="132" spans="2:31" hidden="1" x14ac:dyDescent="0.25">
      <c r="B132" t="s">
        <v>401</v>
      </c>
      <c r="C132">
        <v>0</v>
      </c>
      <c r="AB132" t="s">
        <v>3787</v>
      </c>
      <c r="AC132">
        <v>1</v>
      </c>
    </row>
    <row r="133" spans="2:31" x14ac:dyDescent="0.25">
      <c r="B133" t="s">
        <v>404</v>
      </c>
      <c r="C133">
        <v>1</v>
      </c>
      <c r="D133">
        <v>2019</v>
      </c>
      <c r="E133" t="s">
        <v>3626</v>
      </c>
      <c r="F133">
        <v>2022</v>
      </c>
      <c r="G133" s="2">
        <v>44562</v>
      </c>
      <c r="H133">
        <v>0.8125</v>
      </c>
      <c r="I133">
        <v>6.34</v>
      </c>
      <c r="J133">
        <v>4.7300000000000004</v>
      </c>
      <c r="K133">
        <v>0</v>
      </c>
      <c r="L133">
        <v>0</v>
      </c>
      <c r="N133">
        <v>0.91</v>
      </c>
      <c r="O133">
        <v>0.89</v>
      </c>
      <c r="P133">
        <v>32</v>
      </c>
      <c r="R133">
        <v>2.71</v>
      </c>
      <c r="S133">
        <v>1.76</v>
      </c>
      <c r="T133">
        <v>86.73</v>
      </c>
      <c r="W133" t="s">
        <v>3800</v>
      </c>
      <c r="X133" t="s">
        <v>3603</v>
      </c>
      <c r="Y133">
        <v>32</v>
      </c>
      <c r="Z133">
        <v>0.1875</v>
      </c>
      <c r="AA133" s="2">
        <v>43647</v>
      </c>
      <c r="AB133" t="s">
        <v>3604</v>
      </c>
      <c r="AC133">
        <v>1</v>
      </c>
    </row>
    <row r="134" spans="2:31" hidden="1" x14ac:dyDescent="0.25">
      <c r="B134" t="s">
        <v>407</v>
      </c>
      <c r="C134">
        <v>0</v>
      </c>
      <c r="AB134" t="s">
        <v>3787</v>
      </c>
      <c r="AC134">
        <v>1</v>
      </c>
    </row>
    <row r="135" spans="2:31" x14ac:dyDescent="0.25">
      <c r="B135" t="s">
        <v>410</v>
      </c>
      <c r="C135">
        <v>1</v>
      </c>
      <c r="D135">
        <v>2019</v>
      </c>
      <c r="E135" t="s">
        <v>3626</v>
      </c>
      <c r="F135">
        <v>2022</v>
      </c>
      <c r="G135" s="2">
        <v>44562</v>
      </c>
      <c r="H135">
        <v>0.61760000000000004</v>
      </c>
      <c r="I135">
        <v>3.36</v>
      </c>
      <c r="J135">
        <v>2.36</v>
      </c>
      <c r="K135">
        <v>0</v>
      </c>
      <c r="L135">
        <v>0</v>
      </c>
      <c r="N135">
        <v>0.31</v>
      </c>
      <c r="O135">
        <v>0.41</v>
      </c>
      <c r="P135">
        <v>34</v>
      </c>
      <c r="R135">
        <v>2.59</v>
      </c>
      <c r="S135">
        <v>1.59</v>
      </c>
      <c r="T135">
        <v>88.18</v>
      </c>
      <c r="W135" t="s">
        <v>3801</v>
      </c>
      <c r="X135" t="s">
        <v>3603</v>
      </c>
      <c r="Y135">
        <v>34</v>
      </c>
      <c r="Z135">
        <v>0.38240000000000002</v>
      </c>
      <c r="AA135" s="2">
        <v>43647</v>
      </c>
      <c r="AB135" t="s">
        <v>3604</v>
      </c>
      <c r="AC135">
        <v>1</v>
      </c>
    </row>
    <row r="136" spans="2:31" x14ac:dyDescent="0.25">
      <c r="B136" t="s">
        <v>414</v>
      </c>
      <c r="C136">
        <v>1</v>
      </c>
      <c r="D136">
        <v>2020</v>
      </c>
      <c r="E136" t="s">
        <v>3730</v>
      </c>
      <c r="F136">
        <v>2021</v>
      </c>
      <c r="G136" s="2">
        <v>44197</v>
      </c>
      <c r="H136">
        <v>0.74360000000000004</v>
      </c>
      <c r="I136">
        <v>4.16</v>
      </c>
      <c r="J136">
        <v>1.67</v>
      </c>
      <c r="N136">
        <v>0.48</v>
      </c>
      <c r="O136">
        <v>0.2</v>
      </c>
      <c r="P136">
        <v>195</v>
      </c>
      <c r="R136">
        <v>3.12</v>
      </c>
      <c r="S136">
        <v>0.87</v>
      </c>
      <c r="T136">
        <v>607.78</v>
      </c>
      <c r="W136" t="s">
        <v>3802</v>
      </c>
      <c r="X136" t="s">
        <v>3603</v>
      </c>
      <c r="Y136">
        <v>195</v>
      </c>
      <c r="Z136">
        <v>0.25640000000000002</v>
      </c>
      <c r="AA136" s="2">
        <v>44013</v>
      </c>
      <c r="AB136" t="s">
        <v>3604</v>
      </c>
      <c r="AC136">
        <v>1</v>
      </c>
    </row>
    <row r="137" spans="2:31" x14ac:dyDescent="0.25">
      <c r="B137" t="s">
        <v>417</v>
      </c>
      <c r="C137">
        <v>1</v>
      </c>
      <c r="D137">
        <v>2020</v>
      </c>
      <c r="E137" t="s">
        <v>3730</v>
      </c>
      <c r="F137">
        <v>2021</v>
      </c>
      <c r="G137" s="2">
        <v>44197</v>
      </c>
      <c r="H137">
        <v>0.63870000000000005</v>
      </c>
      <c r="I137">
        <v>2.84</v>
      </c>
      <c r="J137">
        <v>1.41</v>
      </c>
      <c r="N137">
        <v>0.39</v>
      </c>
      <c r="O137">
        <v>0</v>
      </c>
      <c r="P137">
        <v>119</v>
      </c>
      <c r="R137">
        <v>2.31</v>
      </c>
      <c r="S137">
        <v>1.1499999999999999</v>
      </c>
      <c r="T137">
        <v>274.68</v>
      </c>
      <c r="W137" t="s">
        <v>3803</v>
      </c>
      <c r="X137" t="s">
        <v>3603</v>
      </c>
      <c r="Y137">
        <v>119</v>
      </c>
      <c r="Z137">
        <v>0.36130000000000001</v>
      </c>
      <c r="AA137" s="2">
        <v>44013</v>
      </c>
      <c r="AB137" t="s">
        <v>3604</v>
      </c>
      <c r="AC137">
        <v>1</v>
      </c>
    </row>
    <row r="138" spans="2:31" x14ac:dyDescent="0.25">
      <c r="B138" t="s">
        <v>421</v>
      </c>
      <c r="C138">
        <v>1</v>
      </c>
      <c r="D138">
        <v>2020</v>
      </c>
      <c r="F138">
        <v>2024</v>
      </c>
      <c r="H138">
        <v>0.93</v>
      </c>
      <c r="J138">
        <v>3.9</v>
      </c>
      <c r="O138">
        <v>0.84</v>
      </c>
      <c r="P138">
        <v>415</v>
      </c>
      <c r="R138">
        <v>0.48</v>
      </c>
      <c r="T138">
        <v>0.48</v>
      </c>
      <c r="W138" t="s">
        <v>3608</v>
      </c>
      <c r="X138" t="s">
        <v>3603</v>
      </c>
      <c r="AA138" s="2">
        <v>44013</v>
      </c>
      <c r="AB138" t="s">
        <v>3607</v>
      </c>
      <c r="AC138">
        <v>1</v>
      </c>
      <c r="AD138" t="s">
        <v>3607</v>
      </c>
      <c r="AE138" s="3">
        <v>45992.941863407672</v>
      </c>
    </row>
    <row r="139" spans="2:31" hidden="1" x14ac:dyDescent="0.25">
      <c r="B139" t="s">
        <v>425</v>
      </c>
      <c r="C139">
        <v>0</v>
      </c>
      <c r="AB139" t="s">
        <v>3787</v>
      </c>
      <c r="AC139">
        <v>1</v>
      </c>
    </row>
    <row r="140" spans="2:31" x14ac:dyDescent="0.25">
      <c r="B140" t="s">
        <v>428</v>
      </c>
      <c r="C140">
        <v>1</v>
      </c>
      <c r="D140">
        <v>2020</v>
      </c>
      <c r="E140" t="s">
        <v>3730</v>
      </c>
      <c r="F140">
        <v>2021</v>
      </c>
      <c r="G140" s="2">
        <v>44197</v>
      </c>
      <c r="H140">
        <v>0.83579999999999999</v>
      </c>
      <c r="I140">
        <v>7.2</v>
      </c>
      <c r="J140">
        <v>4.05</v>
      </c>
      <c r="N140">
        <v>0.86</v>
      </c>
      <c r="O140">
        <v>0.56999999999999995</v>
      </c>
      <c r="P140">
        <v>67</v>
      </c>
      <c r="R140">
        <v>3.8</v>
      </c>
      <c r="S140">
        <v>1.29</v>
      </c>
      <c r="T140">
        <v>254.45</v>
      </c>
      <c r="W140" t="s">
        <v>3804</v>
      </c>
      <c r="X140" t="s">
        <v>3603</v>
      </c>
      <c r="Y140">
        <v>67</v>
      </c>
      <c r="Z140">
        <v>0.16420000000000001</v>
      </c>
      <c r="AA140" s="2">
        <v>44013</v>
      </c>
      <c r="AB140" t="s">
        <v>3604</v>
      </c>
      <c r="AC140">
        <v>1</v>
      </c>
    </row>
    <row r="141" spans="2:31" x14ac:dyDescent="0.25">
      <c r="B141" t="s">
        <v>432</v>
      </c>
      <c r="C141">
        <v>1</v>
      </c>
      <c r="D141">
        <v>2020</v>
      </c>
      <c r="E141" t="s">
        <v>3730</v>
      </c>
      <c r="F141">
        <v>2021</v>
      </c>
      <c r="G141" s="2">
        <v>44197</v>
      </c>
      <c r="H141">
        <v>0.76</v>
      </c>
      <c r="I141">
        <v>3.54</v>
      </c>
      <c r="J141">
        <v>0.89</v>
      </c>
      <c r="N141">
        <v>0.43</v>
      </c>
      <c r="O141">
        <v>0.11</v>
      </c>
      <c r="P141">
        <v>100</v>
      </c>
      <c r="R141">
        <v>2.79</v>
      </c>
      <c r="S141">
        <v>0.43</v>
      </c>
      <c r="T141">
        <v>278.64999999999998</v>
      </c>
      <c r="W141" t="s">
        <v>3805</v>
      </c>
      <c r="X141" t="s">
        <v>3603</v>
      </c>
      <c r="Y141">
        <v>100</v>
      </c>
      <c r="Z141">
        <v>0.24</v>
      </c>
      <c r="AA141" s="2">
        <v>44013</v>
      </c>
      <c r="AB141" t="s">
        <v>3604</v>
      </c>
      <c r="AC141">
        <v>1</v>
      </c>
    </row>
    <row r="142" spans="2:31" x14ac:dyDescent="0.25">
      <c r="B142" t="s">
        <v>435</v>
      </c>
      <c r="C142">
        <v>1</v>
      </c>
      <c r="D142">
        <v>2020</v>
      </c>
      <c r="F142">
        <v>2024</v>
      </c>
      <c r="H142">
        <v>0.94099999999999995</v>
      </c>
      <c r="J142">
        <v>5.85</v>
      </c>
      <c r="K142">
        <v>9.35</v>
      </c>
      <c r="L142">
        <v>4.8</v>
      </c>
      <c r="O142">
        <v>1.31</v>
      </c>
      <c r="P142">
        <v>208</v>
      </c>
      <c r="R142">
        <v>1.28</v>
      </c>
      <c r="S142">
        <v>3.01</v>
      </c>
      <c r="T142">
        <v>7.7</v>
      </c>
      <c r="W142" t="s">
        <v>3609</v>
      </c>
      <c r="X142" t="s">
        <v>3603</v>
      </c>
      <c r="AA142" s="2">
        <v>44013</v>
      </c>
      <c r="AB142" t="s">
        <v>3607</v>
      </c>
      <c r="AC142">
        <v>1</v>
      </c>
      <c r="AD142" t="s">
        <v>3607</v>
      </c>
      <c r="AE142" s="3">
        <v>45992.941863407672</v>
      </c>
    </row>
    <row r="143" spans="2:31" hidden="1" x14ac:dyDescent="0.25">
      <c r="B143" t="s">
        <v>439</v>
      </c>
      <c r="C143">
        <v>0</v>
      </c>
      <c r="AB143" t="s">
        <v>3787</v>
      </c>
      <c r="AC143">
        <v>1</v>
      </c>
    </row>
    <row r="144" spans="2:31" hidden="1" x14ac:dyDescent="0.25">
      <c r="B144" t="s">
        <v>443</v>
      </c>
      <c r="C144">
        <v>0</v>
      </c>
      <c r="AB144" t="s">
        <v>3787</v>
      </c>
      <c r="AC144">
        <v>1</v>
      </c>
    </row>
    <row r="145" spans="2:31" x14ac:dyDescent="0.25">
      <c r="B145" t="s">
        <v>446</v>
      </c>
      <c r="C145">
        <v>1</v>
      </c>
      <c r="D145">
        <v>2020</v>
      </c>
      <c r="E145" t="s">
        <v>3730</v>
      </c>
      <c r="F145">
        <v>2021</v>
      </c>
      <c r="G145" s="2">
        <v>44197</v>
      </c>
      <c r="H145">
        <v>0.82950000000000002</v>
      </c>
      <c r="I145">
        <v>4.1900000000000004</v>
      </c>
      <c r="J145">
        <v>1.85</v>
      </c>
      <c r="N145">
        <v>0.51</v>
      </c>
      <c r="O145">
        <v>0.24</v>
      </c>
      <c r="P145">
        <v>176</v>
      </c>
      <c r="R145">
        <v>3.03</v>
      </c>
      <c r="S145">
        <v>0.71</v>
      </c>
      <c r="T145">
        <v>533.76</v>
      </c>
      <c r="W145" t="s">
        <v>3806</v>
      </c>
      <c r="X145" t="s">
        <v>3603</v>
      </c>
      <c r="Y145">
        <v>176</v>
      </c>
      <c r="Z145">
        <v>0.17050000000000001</v>
      </c>
      <c r="AA145" s="2">
        <v>44013</v>
      </c>
      <c r="AB145" t="s">
        <v>3604</v>
      </c>
      <c r="AC145">
        <v>1</v>
      </c>
    </row>
    <row r="146" spans="2:31" hidden="1" x14ac:dyDescent="0.25">
      <c r="B146" t="s">
        <v>449</v>
      </c>
      <c r="C146">
        <v>0</v>
      </c>
      <c r="AB146" t="s">
        <v>3787</v>
      </c>
      <c r="AC146">
        <v>1</v>
      </c>
    </row>
    <row r="147" spans="2:31" x14ac:dyDescent="0.25">
      <c r="B147" t="s">
        <v>450</v>
      </c>
      <c r="C147">
        <v>1</v>
      </c>
      <c r="D147">
        <v>2020</v>
      </c>
      <c r="E147" t="s">
        <v>3730</v>
      </c>
      <c r="F147">
        <v>2021</v>
      </c>
      <c r="G147" s="2">
        <v>44197</v>
      </c>
      <c r="H147">
        <v>0.68940000000000001</v>
      </c>
      <c r="I147">
        <v>2.83</v>
      </c>
      <c r="J147">
        <v>1.71</v>
      </c>
      <c r="N147">
        <v>0.43</v>
      </c>
      <c r="O147">
        <v>0.16</v>
      </c>
      <c r="P147">
        <v>132</v>
      </c>
      <c r="R147">
        <v>2.2000000000000002</v>
      </c>
      <c r="S147">
        <v>1.1299999999999999</v>
      </c>
      <c r="T147">
        <v>289.83999999999997</v>
      </c>
      <c r="W147" t="s">
        <v>3807</v>
      </c>
      <c r="X147" t="s">
        <v>3603</v>
      </c>
      <c r="Y147">
        <v>132</v>
      </c>
      <c r="Z147">
        <v>0.31059999999999999</v>
      </c>
      <c r="AA147" s="2">
        <v>44013</v>
      </c>
      <c r="AB147" t="s">
        <v>3604</v>
      </c>
      <c r="AC147">
        <v>1</v>
      </c>
    </row>
    <row r="148" spans="2:31" hidden="1" x14ac:dyDescent="0.25">
      <c r="B148" t="s">
        <v>453</v>
      </c>
      <c r="C148">
        <v>0</v>
      </c>
      <c r="H148">
        <v>0.82858216683583918</v>
      </c>
      <c r="AB148" t="s">
        <v>3830</v>
      </c>
      <c r="AC148">
        <v>1</v>
      </c>
    </row>
    <row r="149" spans="2:31" x14ac:dyDescent="0.25">
      <c r="B149" t="s">
        <v>456</v>
      </c>
      <c r="C149">
        <v>1</v>
      </c>
      <c r="D149">
        <v>2021</v>
      </c>
      <c r="E149" t="s">
        <v>3655</v>
      </c>
      <c r="F149">
        <v>2025</v>
      </c>
      <c r="G149" s="2">
        <v>45705</v>
      </c>
      <c r="H149">
        <v>0.74439999999999995</v>
      </c>
      <c r="I149">
        <v>7.35</v>
      </c>
      <c r="J149">
        <v>3.71</v>
      </c>
      <c r="K149">
        <v>13.12</v>
      </c>
      <c r="N149">
        <v>1.1000000000000001</v>
      </c>
      <c r="O149">
        <v>0.57999999999999996</v>
      </c>
      <c r="P149">
        <v>67</v>
      </c>
      <c r="R149">
        <v>3.35</v>
      </c>
      <c r="S149">
        <v>1.08</v>
      </c>
      <c r="T149">
        <v>224.15</v>
      </c>
      <c r="W149" t="s">
        <v>3808</v>
      </c>
      <c r="X149" t="s">
        <v>3603</v>
      </c>
      <c r="Y149">
        <v>67</v>
      </c>
      <c r="Z149">
        <v>0.25559999999999999</v>
      </c>
      <c r="AA149" s="2">
        <v>44378</v>
      </c>
      <c r="AB149" t="s">
        <v>3604</v>
      </c>
      <c r="AC149">
        <v>1</v>
      </c>
    </row>
    <row r="150" spans="2:31" x14ac:dyDescent="0.25">
      <c r="B150" t="s">
        <v>457</v>
      </c>
      <c r="C150">
        <v>1</v>
      </c>
      <c r="D150">
        <v>2020</v>
      </c>
      <c r="E150" t="s">
        <v>3646</v>
      </c>
      <c r="F150">
        <v>2022</v>
      </c>
      <c r="G150" s="2">
        <v>44562</v>
      </c>
      <c r="H150">
        <v>0.59309999999999996</v>
      </c>
      <c r="I150">
        <v>5.54</v>
      </c>
      <c r="J150">
        <v>4.8099999999999996</v>
      </c>
      <c r="K150">
        <v>0</v>
      </c>
      <c r="L150">
        <v>0</v>
      </c>
      <c r="N150">
        <v>0</v>
      </c>
      <c r="O150">
        <v>0</v>
      </c>
      <c r="P150">
        <v>408</v>
      </c>
      <c r="R150">
        <v>5.54</v>
      </c>
      <c r="S150">
        <v>4.8099999999999996</v>
      </c>
      <c r="T150">
        <v>2259.6799999999998</v>
      </c>
      <c r="W150" t="s">
        <v>3809</v>
      </c>
      <c r="X150" t="s">
        <v>3603</v>
      </c>
      <c r="Y150">
        <v>408</v>
      </c>
      <c r="Z150">
        <v>0.40689999999999998</v>
      </c>
      <c r="AA150" s="2">
        <v>44013</v>
      </c>
      <c r="AB150" t="s">
        <v>3604</v>
      </c>
      <c r="AC150">
        <v>1</v>
      </c>
    </row>
    <row r="151" spans="2:31" hidden="1" x14ac:dyDescent="0.25">
      <c r="B151" t="s">
        <v>460</v>
      </c>
      <c r="C151">
        <v>0</v>
      </c>
      <c r="AB151" t="s">
        <v>3787</v>
      </c>
      <c r="AC151">
        <v>1</v>
      </c>
    </row>
    <row r="152" spans="2:31" x14ac:dyDescent="0.25">
      <c r="B152" t="s">
        <v>464</v>
      </c>
      <c r="C152">
        <v>1</v>
      </c>
      <c r="D152">
        <v>2020</v>
      </c>
      <c r="E152" t="s">
        <v>3646</v>
      </c>
      <c r="F152">
        <v>2022</v>
      </c>
      <c r="G152" s="2">
        <v>44562</v>
      </c>
      <c r="H152">
        <v>0.99350000000000005</v>
      </c>
      <c r="I152">
        <v>4.12</v>
      </c>
      <c r="J152">
        <v>1.93</v>
      </c>
      <c r="K152">
        <v>0</v>
      </c>
      <c r="L152">
        <v>0</v>
      </c>
      <c r="N152">
        <v>0.39</v>
      </c>
      <c r="O152">
        <v>0.56000000000000005</v>
      </c>
      <c r="P152">
        <v>153</v>
      </c>
      <c r="R152">
        <v>3.13</v>
      </c>
      <c r="S152">
        <v>1.1499999999999999</v>
      </c>
      <c r="T152">
        <v>479.11</v>
      </c>
      <c r="W152" t="s">
        <v>3810</v>
      </c>
      <c r="X152" t="s">
        <v>3603</v>
      </c>
      <c r="Y152">
        <v>153</v>
      </c>
      <c r="Z152">
        <v>6.4999999999999997E-3</v>
      </c>
      <c r="AA152" s="2">
        <v>44013</v>
      </c>
      <c r="AB152" t="s">
        <v>3604</v>
      </c>
      <c r="AC152">
        <v>1</v>
      </c>
    </row>
    <row r="153" spans="2:31" x14ac:dyDescent="0.25">
      <c r="B153" t="s">
        <v>468</v>
      </c>
      <c r="C153">
        <v>1</v>
      </c>
      <c r="D153">
        <v>2020</v>
      </c>
      <c r="E153" t="s">
        <v>3646</v>
      </c>
      <c r="F153">
        <v>2022</v>
      </c>
      <c r="G153" s="2">
        <v>44562</v>
      </c>
      <c r="H153">
        <v>0.91180000000000005</v>
      </c>
      <c r="I153">
        <v>5.93</v>
      </c>
      <c r="J153">
        <v>2.5499999999999998</v>
      </c>
      <c r="K153">
        <v>0</v>
      </c>
      <c r="L153">
        <v>0</v>
      </c>
      <c r="N153">
        <v>0.43</v>
      </c>
      <c r="O153">
        <v>0.49</v>
      </c>
      <c r="P153">
        <v>34</v>
      </c>
      <c r="R153">
        <v>4.34</v>
      </c>
      <c r="S153">
        <v>0.94</v>
      </c>
      <c r="T153">
        <v>147.43</v>
      </c>
      <c r="W153" t="s">
        <v>3811</v>
      </c>
      <c r="X153" t="s">
        <v>3603</v>
      </c>
      <c r="Y153">
        <v>34</v>
      </c>
      <c r="Z153">
        <v>8.8200000000000001E-2</v>
      </c>
      <c r="AA153" s="2">
        <v>44013</v>
      </c>
      <c r="AB153" t="s">
        <v>3604</v>
      </c>
      <c r="AC153">
        <v>1</v>
      </c>
    </row>
    <row r="154" spans="2:31" x14ac:dyDescent="0.25">
      <c r="B154" t="s">
        <v>471</v>
      </c>
      <c r="C154">
        <v>1</v>
      </c>
      <c r="D154">
        <v>2021</v>
      </c>
      <c r="E154" t="s">
        <v>3619</v>
      </c>
      <c r="F154">
        <v>2025</v>
      </c>
      <c r="G154" s="2">
        <v>45713</v>
      </c>
      <c r="H154">
        <v>0.8</v>
      </c>
      <c r="I154">
        <v>16.100000000000001</v>
      </c>
      <c r="J154">
        <v>6.19</v>
      </c>
      <c r="K154">
        <v>1.96</v>
      </c>
      <c r="L154">
        <v>4.75</v>
      </c>
      <c r="N154">
        <v>3.05</v>
      </c>
      <c r="O154">
        <v>1.44</v>
      </c>
      <c r="P154">
        <v>132</v>
      </c>
      <c r="R154">
        <v>2.0499999999999998</v>
      </c>
      <c r="S154">
        <v>3.44</v>
      </c>
      <c r="T154">
        <v>28.66</v>
      </c>
      <c r="W154" t="s">
        <v>3620</v>
      </c>
      <c r="X154" t="s">
        <v>3603</v>
      </c>
      <c r="Y154">
        <v>165</v>
      </c>
      <c r="Z154">
        <v>0.2</v>
      </c>
      <c r="AA154" s="2">
        <v>44378</v>
      </c>
      <c r="AB154" t="s">
        <v>3604</v>
      </c>
      <c r="AC154">
        <v>1</v>
      </c>
      <c r="AD154" t="s">
        <v>3605</v>
      </c>
      <c r="AE154" s="3">
        <v>45994.037509884307</v>
      </c>
    </row>
    <row r="155" spans="2:31" x14ac:dyDescent="0.25">
      <c r="B155" t="s">
        <v>472</v>
      </c>
      <c r="C155">
        <v>1</v>
      </c>
      <c r="D155">
        <v>2021</v>
      </c>
      <c r="E155" t="s">
        <v>3621</v>
      </c>
      <c r="F155">
        <v>2025</v>
      </c>
      <c r="G155" s="2">
        <v>45686</v>
      </c>
      <c r="H155">
        <v>0.9032</v>
      </c>
      <c r="I155">
        <v>27.52</v>
      </c>
      <c r="J155">
        <v>8.49</v>
      </c>
      <c r="K155">
        <v>18.899999999999999</v>
      </c>
      <c r="L155">
        <v>7.02</v>
      </c>
      <c r="N155">
        <v>3.84</v>
      </c>
      <c r="O155">
        <v>1.56</v>
      </c>
      <c r="P155">
        <v>112</v>
      </c>
      <c r="R155">
        <v>3.1</v>
      </c>
      <c r="S155">
        <v>4.16</v>
      </c>
      <c r="T155">
        <v>158.03</v>
      </c>
      <c r="W155" t="s">
        <v>3622</v>
      </c>
      <c r="X155" t="s">
        <v>3603</v>
      </c>
      <c r="Y155">
        <v>124</v>
      </c>
      <c r="Z155">
        <v>9.6799999999999997E-2</v>
      </c>
      <c r="AA155" s="2">
        <v>44378</v>
      </c>
      <c r="AB155" t="s">
        <v>3604</v>
      </c>
      <c r="AC155">
        <v>1</v>
      </c>
      <c r="AD155" t="s">
        <v>3605</v>
      </c>
      <c r="AE155" s="3">
        <v>45994.037509884307</v>
      </c>
    </row>
    <row r="156" spans="2:31" x14ac:dyDescent="0.25">
      <c r="B156" t="s">
        <v>473</v>
      </c>
      <c r="C156">
        <v>1</v>
      </c>
      <c r="D156">
        <v>2021</v>
      </c>
      <c r="E156" t="s">
        <v>3652</v>
      </c>
      <c r="F156">
        <v>2025</v>
      </c>
      <c r="G156" s="2">
        <v>45733</v>
      </c>
      <c r="H156">
        <v>0.75149999999999995</v>
      </c>
      <c r="I156">
        <v>8.18</v>
      </c>
      <c r="J156">
        <v>5.44</v>
      </c>
      <c r="K156">
        <v>12.38</v>
      </c>
      <c r="L156">
        <v>3.46</v>
      </c>
      <c r="N156">
        <v>1.33</v>
      </c>
      <c r="O156">
        <v>1.18</v>
      </c>
      <c r="P156">
        <v>505</v>
      </c>
      <c r="R156">
        <v>3.28</v>
      </c>
      <c r="S156">
        <v>2.4700000000000002</v>
      </c>
      <c r="T156">
        <v>1664.62</v>
      </c>
      <c r="W156" t="s">
        <v>3812</v>
      </c>
      <c r="X156" t="s">
        <v>3603</v>
      </c>
      <c r="Y156">
        <v>507</v>
      </c>
      <c r="Z156">
        <v>0.2485</v>
      </c>
      <c r="AA156" s="2">
        <v>44378</v>
      </c>
      <c r="AB156" t="s">
        <v>3604</v>
      </c>
      <c r="AC156">
        <v>1</v>
      </c>
    </row>
    <row r="157" spans="2:31" x14ac:dyDescent="0.25">
      <c r="B157" t="s">
        <v>477</v>
      </c>
      <c r="C157">
        <v>1</v>
      </c>
      <c r="D157">
        <v>2022</v>
      </c>
      <c r="E157" t="s">
        <v>3813</v>
      </c>
      <c r="F157">
        <v>2024</v>
      </c>
      <c r="G157" s="2">
        <v>45568</v>
      </c>
      <c r="H157">
        <v>0.82230000000000003</v>
      </c>
      <c r="I157">
        <v>9.73</v>
      </c>
      <c r="J157">
        <v>6.52</v>
      </c>
      <c r="N157">
        <v>1.54</v>
      </c>
      <c r="O157">
        <v>1.1499999999999999</v>
      </c>
      <c r="P157">
        <v>287</v>
      </c>
      <c r="R157">
        <v>2.62</v>
      </c>
      <c r="S157">
        <v>1.39</v>
      </c>
      <c r="T157">
        <v>751.97</v>
      </c>
      <c r="W157" t="s">
        <v>3814</v>
      </c>
      <c r="X157" t="s">
        <v>3603</v>
      </c>
      <c r="Y157">
        <v>287</v>
      </c>
      <c r="Z157">
        <v>0.1777</v>
      </c>
      <c r="AA157" s="2">
        <v>44743</v>
      </c>
      <c r="AB157" t="s">
        <v>3604</v>
      </c>
      <c r="AC157">
        <v>1</v>
      </c>
    </row>
    <row r="158" spans="2:31" hidden="1" x14ac:dyDescent="0.25">
      <c r="B158" t="s">
        <v>478</v>
      </c>
      <c r="C158">
        <v>0</v>
      </c>
      <c r="H158">
        <v>1</v>
      </c>
      <c r="Z158">
        <v>0</v>
      </c>
      <c r="AC158">
        <v>1</v>
      </c>
    </row>
    <row r="159" spans="2:31" x14ac:dyDescent="0.25">
      <c r="B159" t="s">
        <v>479</v>
      </c>
      <c r="C159">
        <v>1</v>
      </c>
      <c r="D159">
        <v>2021</v>
      </c>
      <c r="E159" t="s">
        <v>3792</v>
      </c>
      <c r="F159">
        <v>2021</v>
      </c>
      <c r="G159" s="2">
        <v>44197</v>
      </c>
      <c r="H159">
        <v>0.87129999999999996</v>
      </c>
      <c r="I159">
        <v>2.66</v>
      </c>
      <c r="J159">
        <v>1.29</v>
      </c>
      <c r="N159">
        <v>0.39</v>
      </c>
      <c r="O159">
        <v>0</v>
      </c>
      <c r="P159">
        <v>101</v>
      </c>
      <c r="R159">
        <v>2.17</v>
      </c>
      <c r="S159">
        <v>1.05</v>
      </c>
      <c r="T159">
        <v>218.68</v>
      </c>
      <c r="W159" t="s">
        <v>3815</v>
      </c>
      <c r="X159" t="s">
        <v>3603</v>
      </c>
      <c r="Y159">
        <v>101</v>
      </c>
      <c r="Z159">
        <v>0.12870000000000001</v>
      </c>
      <c r="AA159" s="2">
        <v>44378</v>
      </c>
      <c r="AB159" t="s">
        <v>3604</v>
      </c>
      <c r="AC159">
        <v>1</v>
      </c>
    </row>
    <row r="160" spans="2:31" x14ac:dyDescent="0.25">
      <c r="B160" t="s">
        <v>480</v>
      </c>
      <c r="C160">
        <v>1</v>
      </c>
      <c r="D160">
        <v>2021</v>
      </c>
      <c r="E160" t="s">
        <v>3621</v>
      </c>
      <c r="F160">
        <v>2025</v>
      </c>
      <c r="G160" s="2">
        <v>45685</v>
      </c>
      <c r="H160">
        <v>0.74490000000000001</v>
      </c>
      <c r="I160">
        <v>22.45</v>
      </c>
      <c r="J160">
        <v>7.78</v>
      </c>
      <c r="K160">
        <v>8.41</v>
      </c>
      <c r="L160">
        <v>7.89</v>
      </c>
      <c r="N160">
        <v>3.62</v>
      </c>
      <c r="O160">
        <v>1.74</v>
      </c>
      <c r="P160">
        <v>72</v>
      </c>
      <c r="R160">
        <v>5.7</v>
      </c>
      <c r="S160">
        <v>8.1999999999999993</v>
      </c>
      <c r="T160">
        <v>113.93</v>
      </c>
      <c r="W160" t="s">
        <v>3623</v>
      </c>
      <c r="X160" t="s">
        <v>3603</v>
      </c>
      <c r="Y160">
        <v>98</v>
      </c>
      <c r="Z160">
        <v>0.25509999999999999</v>
      </c>
      <c r="AA160" s="2">
        <v>44378</v>
      </c>
      <c r="AB160" t="s">
        <v>3604</v>
      </c>
      <c r="AC160">
        <v>1</v>
      </c>
      <c r="AD160" t="s">
        <v>3605</v>
      </c>
      <c r="AE160" s="3">
        <v>45994.037509884307</v>
      </c>
    </row>
    <row r="161" spans="2:31" x14ac:dyDescent="0.25">
      <c r="B161" t="s">
        <v>481</v>
      </c>
      <c r="C161">
        <v>1</v>
      </c>
      <c r="D161">
        <v>2021</v>
      </c>
      <c r="E161" t="s">
        <v>3655</v>
      </c>
      <c r="F161">
        <v>2025</v>
      </c>
      <c r="G161" s="2">
        <v>45738</v>
      </c>
      <c r="H161">
        <v>0.92859999999999998</v>
      </c>
      <c r="I161">
        <v>21.03</v>
      </c>
      <c r="J161">
        <v>9.35</v>
      </c>
      <c r="K161">
        <v>7.95</v>
      </c>
      <c r="L161">
        <v>7.17</v>
      </c>
      <c r="N161">
        <v>5.19</v>
      </c>
      <c r="O161">
        <v>3.1</v>
      </c>
      <c r="P161">
        <v>29</v>
      </c>
      <c r="R161">
        <v>14.13</v>
      </c>
      <c r="S161">
        <v>8.89</v>
      </c>
      <c r="T161">
        <v>282.67</v>
      </c>
      <c r="W161" t="s">
        <v>3740</v>
      </c>
      <c r="X161" t="s">
        <v>3603</v>
      </c>
      <c r="Y161">
        <v>42</v>
      </c>
      <c r="Z161">
        <v>7.1400000000000005E-2</v>
      </c>
      <c r="AA161" s="2">
        <v>44378</v>
      </c>
      <c r="AB161" t="s">
        <v>3604</v>
      </c>
      <c r="AC161">
        <v>1</v>
      </c>
      <c r="AD161" t="s">
        <v>3605</v>
      </c>
      <c r="AE161" s="3">
        <v>45994.037509884307</v>
      </c>
    </row>
    <row r="162" spans="2:31" x14ac:dyDescent="0.25">
      <c r="B162" t="s">
        <v>484</v>
      </c>
      <c r="C162">
        <v>1</v>
      </c>
      <c r="D162">
        <v>2021</v>
      </c>
      <c r="E162" t="s">
        <v>3619</v>
      </c>
      <c r="F162">
        <v>2025</v>
      </c>
      <c r="G162" s="2">
        <v>45691</v>
      </c>
      <c r="H162">
        <v>0.91779999999999995</v>
      </c>
      <c r="I162">
        <v>14.83</v>
      </c>
      <c r="J162">
        <v>5.33</v>
      </c>
      <c r="K162">
        <v>5.36</v>
      </c>
      <c r="L162">
        <v>6.51</v>
      </c>
      <c r="N162">
        <v>2.38</v>
      </c>
      <c r="O162">
        <v>0.91</v>
      </c>
      <c r="P162">
        <v>67</v>
      </c>
      <c r="R162">
        <v>0.28000000000000003</v>
      </c>
      <c r="S162">
        <v>0.32</v>
      </c>
      <c r="T162">
        <v>0.83</v>
      </c>
      <c r="W162" t="s">
        <v>3741</v>
      </c>
      <c r="X162" t="s">
        <v>3603</v>
      </c>
      <c r="Y162">
        <v>73</v>
      </c>
      <c r="Z162">
        <v>8.2199999999999995E-2</v>
      </c>
      <c r="AA162" s="2">
        <v>44378</v>
      </c>
      <c r="AB162" t="s">
        <v>3604</v>
      </c>
      <c r="AC162">
        <v>1</v>
      </c>
      <c r="AD162" t="s">
        <v>3605</v>
      </c>
      <c r="AE162" s="3">
        <v>45994.037509884307</v>
      </c>
    </row>
    <row r="163" spans="2:31" x14ac:dyDescent="0.25">
      <c r="B163" t="s">
        <v>488</v>
      </c>
      <c r="C163">
        <v>1</v>
      </c>
      <c r="D163">
        <v>2021</v>
      </c>
      <c r="E163" t="s">
        <v>3621</v>
      </c>
      <c r="F163">
        <v>2025</v>
      </c>
      <c r="G163" s="2">
        <v>45678</v>
      </c>
      <c r="H163">
        <v>0.91669999999999996</v>
      </c>
      <c r="I163">
        <v>10.18</v>
      </c>
      <c r="J163">
        <v>5.26</v>
      </c>
      <c r="K163">
        <v>0.08</v>
      </c>
      <c r="L163">
        <v>1.08</v>
      </c>
      <c r="N163">
        <v>1.97</v>
      </c>
      <c r="O163">
        <v>1.27</v>
      </c>
      <c r="P163">
        <v>187</v>
      </c>
      <c r="T163">
        <v>0</v>
      </c>
      <c r="W163" t="s">
        <v>3636</v>
      </c>
      <c r="X163" t="s">
        <v>3603</v>
      </c>
      <c r="Y163">
        <v>204</v>
      </c>
      <c r="Z163">
        <v>8.3299999999999999E-2</v>
      </c>
      <c r="AA163" s="2">
        <v>44378</v>
      </c>
      <c r="AB163" t="s">
        <v>3604</v>
      </c>
      <c r="AC163">
        <v>1</v>
      </c>
      <c r="AD163" t="s">
        <v>3605</v>
      </c>
      <c r="AE163" s="3">
        <v>45994.037509884307</v>
      </c>
    </row>
    <row r="164" spans="2:31" x14ac:dyDescent="0.25">
      <c r="B164" t="s">
        <v>492</v>
      </c>
      <c r="C164">
        <v>1</v>
      </c>
      <c r="D164">
        <v>2021</v>
      </c>
      <c r="E164" t="s">
        <v>3655</v>
      </c>
      <c r="F164">
        <v>2025</v>
      </c>
      <c r="G164" s="2">
        <v>45727</v>
      </c>
      <c r="H164">
        <v>0.9577</v>
      </c>
      <c r="I164">
        <v>8.1</v>
      </c>
      <c r="J164">
        <v>4.08</v>
      </c>
      <c r="K164">
        <v>0</v>
      </c>
      <c r="L164">
        <v>0</v>
      </c>
      <c r="N164">
        <v>1.02</v>
      </c>
      <c r="O164">
        <v>0.52</v>
      </c>
      <c r="P164">
        <v>68</v>
      </c>
      <c r="T164">
        <v>0</v>
      </c>
      <c r="W164" t="s">
        <v>3742</v>
      </c>
      <c r="X164" t="s">
        <v>3603</v>
      </c>
      <c r="Y164">
        <v>71</v>
      </c>
      <c r="Z164">
        <v>4.2299999999999997E-2</v>
      </c>
      <c r="AA164" s="2">
        <v>44378</v>
      </c>
      <c r="AB164" t="s">
        <v>3604</v>
      </c>
      <c r="AC164">
        <v>1</v>
      </c>
      <c r="AD164" t="s">
        <v>3605</v>
      </c>
      <c r="AE164" s="3">
        <v>45994.037509884307</v>
      </c>
    </row>
    <row r="165" spans="2:31" x14ac:dyDescent="0.25">
      <c r="B165" t="s">
        <v>495</v>
      </c>
      <c r="C165">
        <v>1</v>
      </c>
      <c r="D165">
        <v>2021</v>
      </c>
      <c r="E165" t="s">
        <v>3619</v>
      </c>
      <c r="F165">
        <v>2025</v>
      </c>
      <c r="G165" s="2">
        <v>45706</v>
      </c>
      <c r="H165">
        <v>0.79620000000000002</v>
      </c>
      <c r="I165">
        <v>17.149999999999999</v>
      </c>
      <c r="J165">
        <v>6.5</v>
      </c>
      <c r="K165">
        <v>14.05</v>
      </c>
      <c r="L165">
        <v>6.75</v>
      </c>
      <c r="N165">
        <v>2.99</v>
      </c>
      <c r="O165">
        <v>1.3</v>
      </c>
      <c r="P165">
        <v>125</v>
      </c>
      <c r="R165">
        <v>0.71</v>
      </c>
      <c r="S165">
        <v>1.1299999999999999</v>
      </c>
      <c r="T165">
        <v>21.18</v>
      </c>
      <c r="W165" t="s">
        <v>3743</v>
      </c>
      <c r="X165" t="s">
        <v>3603</v>
      </c>
      <c r="Y165">
        <v>157</v>
      </c>
      <c r="Z165">
        <v>0.20380000000000001</v>
      </c>
      <c r="AA165" s="2">
        <v>44378</v>
      </c>
      <c r="AB165" t="s">
        <v>3604</v>
      </c>
      <c r="AC165">
        <v>1</v>
      </c>
      <c r="AD165" t="s">
        <v>3605</v>
      </c>
      <c r="AE165" s="3">
        <v>45994.037509884307</v>
      </c>
    </row>
    <row r="166" spans="2:31" x14ac:dyDescent="0.25">
      <c r="B166" t="s">
        <v>496</v>
      </c>
      <c r="C166">
        <v>1</v>
      </c>
      <c r="D166">
        <v>2021</v>
      </c>
      <c r="E166" t="s">
        <v>3730</v>
      </c>
      <c r="F166">
        <v>2022</v>
      </c>
      <c r="G166" s="2">
        <v>44562</v>
      </c>
      <c r="H166">
        <v>0.59309999999999996</v>
      </c>
      <c r="I166">
        <v>5.54</v>
      </c>
      <c r="J166">
        <v>4.8099999999999996</v>
      </c>
      <c r="K166">
        <v>0</v>
      </c>
      <c r="L166">
        <v>0</v>
      </c>
      <c r="N166">
        <v>0</v>
      </c>
      <c r="O166">
        <v>0</v>
      </c>
      <c r="P166">
        <v>408</v>
      </c>
      <c r="R166">
        <v>5.54</v>
      </c>
      <c r="S166">
        <v>4.8099999999999996</v>
      </c>
      <c r="T166">
        <v>2259.6799999999998</v>
      </c>
      <c r="W166" t="s">
        <v>3816</v>
      </c>
      <c r="X166" t="s">
        <v>3603</v>
      </c>
      <c r="Y166">
        <v>408</v>
      </c>
      <c r="Z166">
        <v>0.40689999999999998</v>
      </c>
      <c r="AA166" s="2">
        <v>44378</v>
      </c>
      <c r="AB166" t="s">
        <v>3604</v>
      </c>
      <c r="AC166">
        <v>1</v>
      </c>
    </row>
    <row r="167" spans="2:31" x14ac:dyDescent="0.25">
      <c r="B167" t="s">
        <v>497</v>
      </c>
      <c r="C167">
        <v>1</v>
      </c>
      <c r="D167">
        <v>2021</v>
      </c>
      <c r="E167" t="s">
        <v>3655</v>
      </c>
      <c r="F167">
        <v>2025</v>
      </c>
      <c r="G167" s="2">
        <v>45728</v>
      </c>
      <c r="H167">
        <v>1</v>
      </c>
      <c r="I167">
        <v>24.93</v>
      </c>
      <c r="J167">
        <v>4.72</v>
      </c>
      <c r="K167">
        <v>10.9</v>
      </c>
      <c r="L167">
        <v>3.32</v>
      </c>
      <c r="N167">
        <v>5</v>
      </c>
      <c r="O167">
        <v>1.39</v>
      </c>
      <c r="P167">
        <v>31</v>
      </c>
      <c r="R167">
        <v>2.0499999999999998</v>
      </c>
      <c r="S167">
        <v>2.11</v>
      </c>
      <c r="T167">
        <v>53.31</v>
      </c>
      <c r="W167" t="s">
        <v>3732</v>
      </c>
      <c r="X167" t="s">
        <v>3603</v>
      </c>
      <c r="Y167">
        <v>31</v>
      </c>
      <c r="Z167">
        <v>0</v>
      </c>
      <c r="AA167" s="2">
        <v>44378</v>
      </c>
      <c r="AB167" t="s">
        <v>3604</v>
      </c>
      <c r="AC167">
        <v>1</v>
      </c>
      <c r="AD167" t="s">
        <v>3605</v>
      </c>
      <c r="AE167" s="3">
        <v>45994.037509884307</v>
      </c>
    </row>
    <row r="168" spans="2:31" x14ac:dyDescent="0.25">
      <c r="B168" t="s">
        <v>498</v>
      </c>
      <c r="C168">
        <v>1</v>
      </c>
      <c r="D168">
        <v>2022</v>
      </c>
      <c r="F168">
        <v>2024</v>
      </c>
      <c r="H168">
        <v>0.93500000000000005</v>
      </c>
      <c r="J168">
        <v>2.37</v>
      </c>
      <c r="O168">
        <v>0.57999999999999996</v>
      </c>
      <c r="P168">
        <v>75</v>
      </c>
      <c r="R168">
        <v>0.09</v>
      </c>
      <c r="T168">
        <v>0.09</v>
      </c>
      <c r="W168" t="s">
        <v>3610</v>
      </c>
      <c r="X168" t="s">
        <v>3603</v>
      </c>
      <c r="AA168" s="2">
        <v>44743</v>
      </c>
      <c r="AB168" t="s">
        <v>3607</v>
      </c>
      <c r="AC168">
        <v>1</v>
      </c>
      <c r="AD168" t="s">
        <v>3607</v>
      </c>
      <c r="AE168" s="3">
        <v>45992.941863407672</v>
      </c>
    </row>
    <row r="169" spans="2:31" x14ac:dyDescent="0.25">
      <c r="B169" t="s">
        <v>502</v>
      </c>
      <c r="C169">
        <v>1</v>
      </c>
      <c r="D169">
        <v>2022</v>
      </c>
      <c r="F169">
        <v>2024</v>
      </c>
      <c r="H169">
        <v>0.85499999999999998</v>
      </c>
      <c r="J169">
        <v>5.17</v>
      </c>
      <c r="O169">
        <v>1.03</v>
      </c>
      <c r="P169">
        <v>229</v>
      </c>
      <c r="R169">
        <v>1.22</v>
      </c>
      <c r="T169">
        <v>1.22</v>
      </c>
      <c r="W169" t="s">
        <v>3611</v>
      </c>
      <c r="X169" t="s">
        <v>3603</v>
      </c>
      <c r="AA169" s="2">
        <v>44743</v>
      </c>
      <c r="AB169" t="s">
        <v>3607</v>
      </c>
      <c r="AC169">
        <v>1</v>
      </c>
      <c r="AD169" t="s">
        <v>3607</v>
      </c>
      <c r="AE169" s="3">
        <v>45992.941863407672</v>
      </c>
    </row>
    <row r="170" spans="2:31" x14ac:dyDescent="0.25">
      <c r="B170" t="s">
        <v>503</v>
      </c>
      <c r="C170">
        <v>1</v>
      </c>
      <c r="D170">
        <v>2022</v>
      </c>
      <c r="F170">
        <v>2024</v>
      </c>
      <c r="H170">
        <v>0.97599999999999998</v>
      </c>
      <c r="J170">
        <v>3.04</v>
      </c>
      <c r="O170">
        <v>0.5</v>
      </c>
      <c r="P170">
        <v>161</v>
      </c>
      <c r="T170">
        <v>0</v>
      </c>
      <c r="W170" t="s">
        <v>3612</v>
      </c>
      <c r="X170" t="s">
        <v>3603</v>
      </c>
      <c r="AA170" s="2">
        <v>44743</v>
      </c>
      <c r="AB170" t="s">
        <v>3607</v>
      </c>
      <c r="AC170">
        <v>1</v>
      </c>
      <c r="AD170" t="s">
        <v>3607</v>
      </c>
      <c r="AE170" s="3">
        <v>45992.941863407672</v>
      </c>
    </row>
    <row r="171" spans="2:31" x14ac:dyDescent="0.25">
      <c r="B171" t="s">
        <v>504</v>
      </c>
      <c r="C171">
        <v>1</v>
      </c>
      <c r="D171">
        <v>2023</v>
      </c>
      <c r="E171" t="s">
        <v>3646</v>
      </c>
      <c r="F171">
        <v>2025</v>
      </c>
      <c r="G171" s="2">
        <v>45671</v>
      </c>
      <c r="H171">
        <v>0.875</v>
      </c>
      <c r="I171">
        <v>22.37</v>
      </c>
      <c r="J171">
        <v>8.65</v>
      </c>
      <c r="K171">
        <v>10.57</v>
      </c>
      <c r="L171">
        <v>6.51</v>
      </c>
      <c r="N171">
        <v>3.29</v>
      </c>
      <c r="O171">
        <v>1.32</v>
      </c>
      <c r="P171">
        <v>49</v>
      </c>
      <c r="R171">
        <v>1.08</v>
      </c>
      <c r="S171">
        <v>1.39</v>
      </c>
      <c r="T171">
        <v>12.92</v>
      </c>
      <c r="W171" t="s">
        <v>3647</v>
      </c>
      <c r="X171" t="s">
        <v>3603</v>
      </c>
      <c r="Y171">
        <v>56</v>
      </c>
      <c r="Z171">
        <v>0.125</v>
      </c>
      <c r="AA171" s="2">
        <v>45108</v>
      </c>
      <c r="AB171" t="s">
        <v>3604</v>
      </c>
      <c r="AC171">
        <v>1</v>
      </c>
      <c r="AD171" t="s">
        <v>3605</v>
      </c>
      <c r="AE171" s="3">
        <v>45994.037509884307</v>
      </c>
    </row>
    <row r="172" spans="2:31" x14ac:dyDescent="0.25">
      <c r="B172" t="s">
        <v>505</v>
      </c>
      <c r="C172">
        <v>1</v>
      </c>
      <c r="D172">
        <v>2023</v>
      </c>
      <c r="E172" t="s">
        <v>3646</v>
      </c>
      <c r="F172">
        <v>2025</v>
      </c>
      <c r="G172" s="2">
        <v>45672</v>
      </c>
      <c r="H172">
        <v>0.77680000000000005</v>
      </c>
      <c r="I172">
        <v>15.01</v>
      </c>
      <c r="J172">
        <v>4.9400000000000004</v>
      </c>
      <c r="K172">
        <v>7.84</v>
      </c>
      <c r="L172">
        <v>5.0999999999999996</v>
      </c>
      <c r="N172">
        <v>3.06</v>
      </c>
      <c r="O172">
        <v>1.26</v>
      </c>
      <c r="P172">
        <v>87</v>
      </c>
      <c r="R172">
        <v>0.72</v>
      </c>
      <c r="S172">
        <v>0.77</v>
      </c>
      <c r="T172">
        <v>12.26</v>
      </c>
      <c r="W172" t="s">
        <v>3648</v>
      </c>
      <c r="X172" t="s">
        <v>3603</v>
      </c>
      <c r="Y172">
        <v>112</v>
      </c>
      <c r="Z172">
        <v>0.22320000000000001</v>
      </c>
      <c r="AA172" s="2">
        <v>45108</v>
      </c>
      <c r="AB172" t="s">
        <v>3604</v>
      </c>
      <c r="AC172">
        <v>1</v>
      </c>
      <c r="AD172" t="s">
        <v>3605</v>
      </c>
      <c r="AE172" s="3">
        <v>45994.037509884307</v>
      </c>
    </row>
    <row r="173" spans="2:31" hidden="1" x14ac:dyDescent="0.25">
      <c r="B173" t="s">
        <v>506</v>
      </c>
      <c r="C173">
        <v>0</v>
      </c>
      <c r="AB173" t="s">
        <v>3787</v>
      </c>
      <c r="AC173">
        <v>1</v>
      </c>
    </row>
    <row r="174" spans="2:31" hidden="1" x14ac:dyDescent="0.25">
      <c r="B174" t="s">
        <v>509</v>
      </c>
      <c r="C174">
        <v>0</v>
      </c>
      <c r="AB174" t="s">
        <v>3787</v>
      </c>
      <c r="AC174">
        <v>1</v>
      </c>
    </row>
    <row r="175" spans="2:31" x14ac:dyDescent="0.25">
      <c r="B175" t="s">
        <v>512</v>
      </c>
      <c r="C175">
        <v>1</v>
      </c>
      <c r="D175">
        <v>2021</v>
      </c>
      <c r="F175">
        <v>2024</v>
      </c>
      <c r="H175">
        <v>0</v>
      </c>
      <c r="J175">
        <v>5.19</v>
      </c>
      <c r="O175">
        <v>0.04</v>
      </c>
      <c r="P175">
        <v>136</v>
      </c>
      <c r="R175">
        <v>6.42</v>
      </c>
      <c r="S175">
        <v>4.0599999999999996</v>
      </c>
      <c r="T175">
        <v>872.5</v>
      </c>
      <c r="W175" t="s">
        <v>3826</v>
      </c>
      <c r="X175" t="s">
        <v>3603</v>
      </c>
      <c r="AA175" s="2">
        <v>44501</v>
      </c>
      <c r="AB175" t="s">
        <v>3607</v>
      </c>
      <c r="AC175">
        <v>1</v>
      </c>
      <c r="AD175" t="s">
        <v>3607</v>
      </c>
      <c r="AE175" s="3">
        <v>45991.880598007949</v>
      </c>
    </row>
    <row r="176" spans="2:31" hidden="1" x14ac:dyDescent="0.25">
      <c r="B176" t="s">
        <v>515</v>
      </c>
      <c r="C176">
        <v>0</v>
      </c>
      <c r="AB176" t="s">
        <v>3787</v>
      </c>
      <c r="AC176">
        <v>1</v>
      </c>
    </row>
    <row r="177" spans="2:31" hidden="1" x14ac:dyDescent="0.25">
      <c r="B177" t="s">
        <v>519</v>
      </c>
      <c r="C177">
        <v>0</v>
      </c>
      <c r="H177">
        <v>0.95</v>
      </c>
      <c r="AB177" t="s">
        <v>3830</v>
      </c>
      <c r="AC177">
        <v>1</v>
      </c>
    </row>
    <row r="178" spans="2:31" hidden="1" x14ac:dyDescent="0.25">
      <c r="B178" t="s">
        <v>522</v>
      </c>
      <c r="C178">
        <v>0</v>
      </c>
      <c r="AB178" t="s">
        <v>3787</v>
      </c>
      <c r="AC178">
        <v>1</v>
      </c>
    </row>
    <row r="179" spans="2:31" hidden="1" x14ac:dyDescent="0.25">
      <c r="B179" t="s">
        <v>525</v>
      </c>
      <c r="C179">
        <v>0</v>
      </c>
      <c r="AB179" t="s">
        <v>3787</v>
      </c>
      <c r="AC179">
        <v>1</v>
      </c>
    </row>
    <row r="180" spans="2:31" hidden="1" x14ac:dyDescent="0.25">
      <c r="B180" t="s">
        <v>526</v>
      </c>
      <c r="C180">
        <v>0</v>
      </c>
      <c r="AB180" t="s">
        <v>3787</v>
      </c>
      <c r="AC180">
        <v>1</v>
      </c>
    </row>
    <row r="181" spans="2:31" x14ac:dyDescent="0.25">
      <c r="B181" t="s">
        <v>530</v>
      </c>
      <c r="C181">
        <v>1</v>
      </c>
      <c r="D181">
        <v>2021</v>
      </c>
      <c r="E181" t="s">
        <v>3817</v>
      </c>
      <c r="F181">
        <v>2022</v>
      </c>
      <c r="G181" s="2">
        <v>44562</v>
      </c>
      <c r="H181">
        <v>0.76859999999999995</v>
      </c>
      <c r="I181">
        <v>3.73</v>
      </c>
      <c r="J181">
        <v>3.53</v>
      </c>
      <c r="K181">
        <v>0</v>
      </c>
      <c r="L181">
        <v>0</v>
      </c>
      <c r="N181">
        <v>0</v>
      </c>
      <c r="O181">
        <v>0</v>
      </c>
      <c r="P181">
        <v>242</v>
      </c>
      <c r="R181">
        <v>3.73</v>
      </c>
      <c r="S181">
        <v>3.53</v>
      </c>
      <c r="T181">
        <v>902.56</v>
      </c>
      <c r="W181" t="s">
        <v>3818</v>
      </c>
      <c r="X181" t="s">
        <v>3603</v>
      </c>
      <c r="Y181">
        <v>242</v>
      </c>
      <c r="Z181">
        <v>0.23139999999999999</v>
      </c>
      <c r="AA181" s="2">
        <v>44501</v>
      </c>
      <c r="AB181" t="s">
        <v>3604</v>
      </c>
      <c r="AC181">
        <v>1</v>
      </c>
    </row>
    <row r="182" spans="2:31" hidden="1" x14ac:dyDescent="0.25">
      <c r="B182" t="s">
        <v>533</v>
      </c>
      <c r="C182">
        <v>0</v>
      </c>
      <c r="AB182" t="s">
        <v>3787</v>
      </c>
      <c r="AC182">
        <v>1</v>
      </c>
    </row>
    <row r="183" spans="2:31" x14ac:dyDescent="0.25">
      <c r="B183" t="s">
        <v>537</v>
      </c>
      <c r="C183">
        <v>1</v>
      </c>
      <c r="D183">
        <v>2020</v>
      </c>
      <c r="E183" t="s">
        <v>3817</v>
      </c>
      <c r="F183">
        <v>2021</v>
      </c>
      <c r="G183" s="2">
        <v>44197</v>
      </c>
      <c r="H183">
        <v>0.74409999999999998</v>
      </c>
      <c r="I183">
        <v>3.29</v>
      </c>
      <c r="J183">
        <v>0.16</v>
      </c>
      <c r="N183">
        <v>0.39</v>
      </c>
      <c r="O183">
        <v>0</v>
      </c>
      <c r="P183">
        <v>439</v>
      </c>
      <c r="R183">
        <v>2.67</v>
      </c>
      <c r="S183">
        <v>0.13</v>
      </c>
      <c r="T183">
        <v>1173.3900000000001</v>
      </c>
      <c r="W183" t="s">
        <v>3819</v>
      </c>
      <c r="X183" t="s">
        <v>3603</v>
      </c>
      <c r="Y183">
        <v>439</v>
      </c>
      <c r="Z183">
        <v>0.25590000000000002</v>
      </c>
      <c r="AA183" s="2">
        <v>44136</v>
      </c>
      <c r="AB183" t="s">
        <v>3604</v>
      </c>
      <c r="AC183">
        <v>1</v>
      </c>
    </row>
    <row r="184" spans="2:31" x14ac:dyDescent="0.25">
      <c r="B184" t="s">
        <v>541</v>
      </c>
      <c r="C184">
        <v>1</v>
      </c>
      <c r="D184">
        <v>2020</v>
      </c>
      <c r="F184">
        <v>2024</v>
      </c>
      <c r="H184">
        <v>0.34</v>
      </c>
      <c r="J184">
        <v>9.5</v>
      </c>
      <c r="O184">
        <v>0.08</v>
      </c>
      <c r="P184">
        <v>412</v>
      </c>
      <c r="R184">
        <v>11.43</v>
      </c>
      <c r="S184">
        <v>7.02</v>
      </c>
      <c r="T184">
        <v>4707.83</v>
      </c>
      <c r="W184" t="s">
        <v>3827</v>
      </c>
      <c r="X184" t="s">
        <v>3603</v>
      </c>
      <c r="AA184" s="2">
        <v>44136</v>
      </c>
      <c r="AB184" t="s">
        <v>3607</v>
      </c>
      <c r="AC184">
        <v>1</v>
      </c>
      <c r="AD184" t="s">
        <v>3607</v>
      </c>
      <c r="AE184" s="3">
        <v>45991.880598007949</v>
      </c>
    </row>
    <row r="185" spans="2:31" x14ac:dyDescent="0.25">
      <c r="B185" t="s">
        <v>544</v>
      </c>
      <c r="C185">
        <v>1</v>
      </c>
      <c r="D185">
        <v>2020</v>
      </c>
      <c r="E185" t="s">
        <v>3817</v>
      </c>
      <c r="F185">
        <v>2021</v>
      </c>
      <c r="G185" s="2">
        <v>44197</v>
      </c>
      <c r="H185">
        <v>0.90590000000000004</v>
      </c>
      <c r="I185">
        <v>11.78</v>
      </c>
      <c r="J185">
        <v>7.84</v>
      </c>
      <c r="N185">
        <v>0.42</v>
      </c>
      <c r="O185">
        <v>7.0000000000000007E-2</v>
      </c>
      <c r="P185">
        <v>183</v>
      </c>
      <c r="R185">
        <v>9.33</v>
      </c>
      <c r="S185">
        <v>5.95</v>
      </c>
      <c r="T185">
        <v>1707.89</v>
      </c>
      <c r="W185" t="s">
        <v>3820</v>
      </c>
      <c r="X185" t="s">
        <v>3603</v>
      </c>
      <c r="Y185">
        <v>183</v>
      </c>
      <c r="Z185">
        <v>9.4100000000000003E-2</v>
      </c>
      <c r="AA185" s="2">
        <v>44136</v>
      </c>
      <c r="AB185" t="s">
        <v>3604</v>
      </c>
      <c r="AC185">
        <v>1</v>
      </c>
    </row>
    <row r="186" spans="2:31" x14ac:dyDescent="0.25">
      <c r="B186" t="s">
        <v>547</v>
      </c>
      <c r="C186">
        <v>1</v>
      </c>
      <c r="D186">
        <v>2020</v>
      </c>
      <c r="E186" t="s">
        <v>3817</v>
      </c>
      <c r="F186">
        <v>2021</v>
      </c>
      <c r="G186" s="2">
        <v>44197</v>
      </c>
      <c r="H186">
        <v>0.57779999999999998</v>
      </c>
      <c r="I186">
        <v>3.74</v>
      </c>
      <c r="J186">
        <v>1.1399999999999999</v>
      </c>
      <c r="N186">
        <v>0.39</v>
      </c>
      <c r="O186">
        <v>0</v>
      </c>
      <c r="P186">
        <v>209</v>
      </c>
      <c r="R186">
        <v>3.04</v>
      </c>
      <c r="S186">
        <v>0.92</v>
      </c>
      <c r="T186">
        <v>634.70000000000005</v>
      </c>
      <c r="W186" t="s">
        <v>3821</v>
      </c>
      <c r="X186" t="s">
        <v>3603</v>
      </c>
      <c r="Y186">
        <v>209</v>
      </c>
      <c r="Z186">
        <v>0.42220000000000002</v>
      </c>
      <c r="AA186" s="2">
        <v>44136</v>
      </c>
      <c r="AB186" t="s">
        <v>3604</v>
      </c>
      <c r="AC186">
        <v>1</v>
      </c>
    </row>
    <row r="187" spans="2:31" hidden="1" x14ac:dyDescent="0.25">
      <c r="B187" t="s">
        <v>551</v>
      </c>
      <c r="C187">
        <v>0</v>
      </c>
      <c r="AB187" t="s">
        <v>3787</v>
      </c>
      <c r="AC187">
        <v>1</v>
      </c>
    </row>
    <row r="188" spans="2:31" hidden="1" x14ac:dyDescent="0.25">
      <c r="B188" t="s">
        <v>554</v>
      </c>
      <c r="C188">
        <v>0</v>
      </c>
      <c r="AB188" t="s">
        <v>3787</v>
      </c>
      <c r="AC188">
        <v>1</v>
      </c>
    </row>
    <row r="189" spans="2:31" hidden="1" x14ac:dyDescent="0.25">
      <c r="B189" t="s">
        <v>557</v>
      </c>
      <c r="C189">
        <v>0</v>
      </c>
      <c r="AB189" t="s">
        <v>3787</v>
      </c>
      <c r="AC189">
        <v>1</v>
      </c>
    </row>
    <row r="190" spans="2:31" x14ac:dyDescent="0.25">
      <c r="B190" t="s">
        <v>560</v>
      </c>
      <c r="C190">
        <v>1</v>
      </c>
      <c r="D190">
        <v>2020</v>
      </c>
      <c r="E190" t="s">
        <v>3817</v>
      </c>
      <c r="F190">
        <v>2021</v>
      </c>
      <c r="G190" s="2">
        <v>44197</v>
      </c>
      <c r="H190">
        <v>0.90680000000000005</v>
      </c>
      <c r="I190">
        <v>3.62</v>
      </c>
      <c r="J190">
        <v>1</v>
      </c>
      <c r="N190">
        <v>0.39</v>
      </c>
      <c r="O190">
        <v>0</v>
      </c>
      <c r="P190">
        <v>107</v>
      </c>
      <c r="R190">
        <v>2.94</v>
      </c>
      <c r="S190">
        <v>0.81</v>
      </c>
      <c r="T190">
        <v>314.68</v>
      </c>
      <c r="W190" t="s">
        <v>3822</v>
      </c>
      <c r="X190" t="s">
        <v>3603</v>
      </c>
      <c r="Y190">
        <v>107</v>
      </c>
      <c r="Z190">
        <v>9.3200000000000005E-2</v>
      </c>
      <c r="AA190" s="2">
        <v>44136</v>
      </c>
      <c r="AB190" t="s">
        <v>3604</v>
      </c>
      <c r="AC190">
        <v>1</v>
      </c>
    </row>
    <row r="191" spans="2:31" x14ac:dyDescent="0.25">
      <c r="B191" t="s">
        <v>563</v>
      </c>
      <c r="C191">
        <v>1</v>
      </c>
      <c r="D191">
        <v>2020</v>
      </c>
      <c r="E191" t="s">
        <v>3817</v>
      </c>
      <c r="F191">
        <v>2021</v>
      </c>
      <c r="G191" s="2">
        <v>44197</v>
      </c>
      <c r="H191">
        <v>0.76649999999999996</v>
      </c>
      <c r="I191">
        <v>10</v>
      </c>
      <c r="J191">
        <v>6.62</v>
      </c>
      <c r="N191">
        <v>0.4</v>
      </c>
      <c r="O191">
        <v>0.04</v>
      </c>
      <c r="P191">
        <v>778</v>
      </c>
      <c r="R191">
        <v>8.0500000000000007</v>
      </c>
      <c r="S191">
        <v>5.21</v>
      </c>
      <c r="T191">
        <v>6261.94</v>
      </c>
      <c r="W191" t="s">
        <v>3823</v>
      </c>
      <c r="X191" t="s">
        <v>3603</v>
      </c>
      <c r="Y191">
        <v>778</v>
      </c>
      <c r="Z191">
        <v>0.23350000000000001</v>
      </c>
      <c r="AA191" s="2">
        <v>44136</v>
      </c>
      <c r="AB191" t="s">
        <v>3604</v>
      </c>
      <c r="AC191">
        <v>1</v>
      </c>
    </row>
    <row r="192" spans="2:31" hidden="1" x14ac:dyDescent="0.25">
      <c r="B192" t="s">
        <v>566</v>
      </c>
      <c r="C192">
        <v>0</v>
      </c>
      <c r="AB192" t="s">
        <v>3787</v>
      </c>
      <c r="AC192">
        <v>1</v>
      </c>
    </row>
    <row r="193" spans="2:31" x14ac:dyDescent="0.25">
      <c r="B193" t="s">
        <v>569</v>
      </c>
      <c r="C193">
        <v>1</v>
      </c>
      <c r="D193">
        <v>2021</v>
      </c>
      <c r="F193">
        <v>2024</v>
      </c>
      <c r="H193">
        <v>0</v>
      </c>
      <c r="J193">
        <v>2.76</v>
      </c>
      <c r="K193">
        <v>0</v>
      </c>
      <c r="L193">
        <v>0</v>
      </c>
      <c r="O193">
        <v>0</v>
      </c>
      <c r="P193">
        <v>295</v>
      </c>
      <c r="R193">
        <v>2.23</v>
      </c>
      <c r="S193">
        <v>2.76</v>
      </c>
      <c r="T193">
        <v>658.79</v>
      </c>
      <c r="W193" t="s">
        <v>3828</v>
      </c>
      <c r="X193" t="s">
        <v>3603</v>
      </c>
      <c r="AA193" s="2">
        <v>44501</v>
      </c>
      <c r="AB193" t="s">
        <v>3607</v>
      </c>
      <c r="AC193">
        <v>1</v>
      </c>
      <c r="AD193" t="s">
        <v>3607</v>
      </c>
      <c r="AE193" s="3">
        <v>45991.880598007949</v>
      </c>
    </row>
    <row r="194" spans="2:31" x14ac:dyDescent="0.25">
      <c r="B194" t="s">
        <v>572</v>
      </c>
      <c r="C194">
        <v>1</v>
      </c>
      <c r="D194">
        <v>2021</v>
      </c>
      <c r="E194" t="s">
        <v>3733</v>
      </c>
      <c r="F194">
        <v>2025</v>
      </c>
      <c r="G194" s="2">
        <v>45739</v>
      </c>
      <c r="H194">
        <v>5.4100000000000002E-2</v>
      </c>
      <c r="I194">
        <v>10.71</v>
      </c>
      <c r="J194">
        <v>6.04</v>
      </c>
      <c r="K194">
        <v>0</v>
      </c>
      <c r="L194">
        <v>0</v>
      </c>
      <c r="N194">
        <v>1.05</v>
      </c>
      <c r="O194">
        <v>0.65</v>
      </c>
      <c r="P194">
        <v>11</v>
      </c>
      <c r="T194">
        <v>0</v>
      </c>
      <c r="W194" t="s">
        <v>3734</v>
      </c>
      <c r="X194" t="s">
        <v>3603</v>
      </c>
      <c r="Y194">
        <v>222</v>
      </c>
      <c r="Z194">
        <v>0.94589999999999996</v>
      </c>
      <c r="AA194" s="2">
        <v>44501</v>
      </c>
      <c r="AB194" t="s">
        <v>3604</v>
      </c>
      <c r="AC194">
        <v>1</v>
      </c>
      <c r="AD194" t="s">
        <v>3605</v>
      </c>
      <c r="AE194" s="3">
        <v>45994.037509884307</v>
      </c>
    </row>
    <row r="195" spans="2:31" x14ac:dyDescent="0.25">
      <c r="B195" t="s">
        <v>575</v>
      </c>
      <c r="C195">
        <v>1</v>
      </c>
      <c r="D195">
        <v>2021</v>
      </c>
      <c r="E195" t="s">
        <v>3817</v>
      </c>
      <c r="F195">
        <v>2022</v>
      </c>
      <c r="G195" s="2">
        <v>44562</v>
      </c>
      <c r="H195">
        <v>0.79330000000000001</v>
      </c>
      <c r="I195">
        <v>3.34</v>
      </c>
      <c r="J195">
        <v>3.05</v>
      </c>
      <c r="K195">
        <v>0</v>
      </c>
      <c r="L195">
        <v>0</v>
      </c>
      <c r="N195">
        <v>0</v>
      </c>
      <c r="O195">
        <v>0</v>
      </c>
      <c r="P195">
        <v>208</v>
      </c>
      <c r="R195">
        <v>3.34</v>
      </c>
      <c r="S195">
        <v>3.05</v>
      </c>
      <c r="T195">
        <v>694.32</v>
      </c>
      <c r="W195" t="s">
        <v>3824</v>
      </c>
      <c r="X195" t="s">
        <v>3603</v>
      </c>
      <c r="Y195">
        <v>208</v>
      </c>
      <c r="Z195">
        <v>0.20669999999999999</v>
      </c>
      <c r="AA195" s="2">
        <v>44501</v>
      </c>
      <c r="AB195" t="s">
        <v>3604</v>
      </c>
      <c r="AC195">
        <v>1</v>
      </c>
    </row>
    <row r="196" spans="2:31" x14ac:dyDescent="0.25">
      <c r="B196" t="s">
        <v>578</v>
      </c>
      <c r="C196">
        <v>1</v>
      </c>
      <c r="D196">
        <v>2021</v>
      </c>
      <c r="E196" t="s">
        <v>3817</v>
      </c>
      <c r="F196">
        <v>2022</v>
      </c>
      <c r="G196" s="2">
        <v>44562</v>
      </c>
      <c r="H196">
        <v>0</v>
      </c>
      <c r="I196">
        <v>0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103</v>
      </c>
      <c r="R196">
        <v>0</v>
      </c>
      <c r="S196">
        <v>0</v>
      </c>
      <c r="T196">
        <v>0</v>
      </c>
      <c r="W196" t="s">
        <v>3825</v>
      </c>
      <c r="X196" t="s">
        <v>3603</v>
      </c>
      <c r="Y196">
        <v>103</v>
      </c>
      <c r="Z196">
        <v>1</v>
      </c>
      <c r="AA196" s="2">
        <v>44501</v>
      </c>
      <c r="AB196" t="s">
        <v>3604</v>
      </c>
      <c r="AC196">
        <v>1</v>
      </c>
    </row>
    <row r="197" spans="2:31" x14ac:dyDescent="0.25">
      <c r="B197" t="s">
        <v>582</v>
      </c>
      <c r="C197">
        <v>1</v>
      </c>
      <c r="D197">
        <v>2021</v>
      </c>
      <c r="F197">
        <v>2024</v>
      </c>
      <c r="H197">
        <v>0</v>
      </c>
      <c r="J197">
        <v>1.42</v>
      </c>
      <c r="K197">
        <v>0</v>
      </c>
      <c r="L197">
        <v>0</v>
      </c>
      <c r="O197">
        <v>0</v>
      </c>
      <c r="P197">
        <v>302</v>
      </c>
      <c r="R197">
        <v>0.53</v>
      </c>
      <c r="S197">
        <v>1.42</v>
      </c>
      <c r="T197">
        <v>161.41999999999999</v>
      </c>
      <c r="W197" t="s">
        <v>3829</v>
      </c>
      <c r="X197" t="s">
        <v>3603</v>
      </c>
      <c r="AA197" s="2">
        <v>44501</v>
      </c>
      <c r="AB197" t="s">
        <v>3607</v>
      </c>
      <c r="AC197">
        <v>1</v>
      </c>
      <c r="AD197" t="s">
        <v>3607</v>
      </c>
      <c r="AE197" s="3">
        <v>45991.880598007949</v>
      </c>
    </row>
    <row r="198" spans="2:31" x14ac:dyDescent="0.25">
      <c r="B198" t="s">
        <v>586</v>
      </c>
      <c r="C198">
        <v>1</v>
      </c>
      <c r="D198">
        <v>2022</v>
      </c>
      <c r="F198">
        <v>2024</v>
      </c>
      <c r="H198">
        <v>0.94299999999999995</v>
      </c>
      <c r="J198">
        <v>2.58</v>
      </c>
      <c r="K198">
        <v>10.87</v>
      </c>
      <c r="L198">
        <v>1.22</v>
      </c>
      <c r="O198">
        <v>1.05</v>
      </c>
      <c r="P198">
        <v>8</v>
      </c>
      <c r="R198">
        <v>0.23</v>
      </c>
      <c r="S198">
        <v>0.2</v>
      </c>
      <c r="T198">
        <v>0.47</v>
      </c>
      <c r="W198" t="s">
        <v>3613</v>
      </c>
      <c r="X198" t="s">
        <v>3603</v>
      </c>
      <c r="AA198" s="2">
        <v>44866</v>
      </c>
      <c r="AB198" t="s">
        <v>3607</v>
      </c>
      <c r="AC198">
        <v>1</v>
      </c>
      <c r="AD198" t="s">
        <v>3607</v>
      </c>
      <c r="AE198" s="3">
        <v>45992.941863407672</v>
      </c>
    </row>
    <row r="199" spans="2:31" x14ac:dyDescent="0.25">
      <c r="B199" t="s">
        <v>589</v>
      </c>
      <c r="C199">
        <v>1</v>
      </c>
      <c r="D199">
        <v>2022</v>
      </c>
      <c r="F199">
        <v>2024</v>
      </c>
      <c r="H199">
        <v>0.97699999999999998</v>
      </c>
      <c r="J199">
        <v>2.81</v>
      </c>
      <c r="P199">
        <v>0</v>
      </c>
      <c r="T199">
        <v>0</v>
      </c>
      <c r="W199" t="s">
        <v>3777</v>
      </c>
      <c r="X199" t="s">
        <v>3603</v>
      </c>
      <c r="AA199" s="2">
        <v>44866</v>
      </c>
      <c r="AB199" t="s">
        <v>3607</v>
      </c>
      <c r="AC199">
        <v>1</v>
      </c>
      <c r="AD199" t="s">
        <v>3607</v>
      </c>
      <c r="AE199" s="3">
        <v>45992.941863407672</v>
      </c>
    </row>
    <row r="200" spans="2:31" x14ac:dyDescent="0.25">
      <c r="B200" t="s">
        <v>592</v>
      </c>
      <c r="C200">
        <v>1</v>
      </c>
      <c r="D200">
        <v>2022</v>
      </c>
      <c r="F200">
        <v>2024</v>
      </c>
      <c r="H200">
        <v>0.96199999999999997</v>
      </c>
      <c r="J200">
        <v>3.04</v>
      </c>
      <c r="P200">
        <v>0</v>
      </c>
      <c r="T200">
        <v>0</v>
      </c>
      <c r="W200" t="s">
        <v>3778</v>
      </c>
      <c r="X200" t="s">
        <v>3603</v>
      </c>
      <c r="AA200" s="2">
        <v>44866</v>
      </c>
      <c r="AB200" t="s">
        <v>3607</v>
      </c>
      <c r="AC200">
        <v>1</v>
      </c>
      <c r="AD200" t="s">
        <v>3607</v>
      </c>
      <c r="AE200" s="3">
        <v>45992.941863407672</v>
      </c>
    </row>
    <row r="201" spans="2:31" x14ac:dyDescent="0.25">
      <c r="B201" t="s">
        <v>595</v>
      </c>
      <c r="C201">
        <v>1</v>
      </c>
      <c r="D201">
        <v>2022</v>
      </c>
      <c r="F201">
        <v>2024</v>
      </c>
      <c r="H201">
        <v>0.80800000000000005</v>
      </c>
      <c r="K201">
        <v>13.68</v>
      </c>
      <c r="P201">
        <v>1</v>
      </c>
      <c r="T201">
        <v>0</v>
      </c>
      <c r="W201" t="s">
        <v>3614</v>
      </c>
      <c r="X201" t="s">
        <v>3603</v>
      </c>
      <c r="AA201" s="2">
        <v>44866</v>
      </c>
      <c r="AB201" t="s">
        <v>3607</v>
      </c>
      <c r="AC201">
        <v>1</v>
      </c>
      <c r="AD201" t="s">
        <v>3607</v>
      </c>
      <c r="AE201" s="3">
        <v>45992.941863407672</v>
      </c>
    </row>
    <row r="202" spans="2:31" x14ac:dyDescent="0.25">
      <c r="B202" t="s">
        <v>598</v>
      </c>
      <c r="C202">
        <v>1</v>
      </c>
      <c r="D202">
        <v>2022</v>
      </c>
      <c r="F202">
        <v>2024</v>
      </c>
      <c r="H202">
        <v>0.246</v>
      </c>
      <c r="J202">
        <v>0.68</v>
      </c>
      <c r="P202">
        <v>0</v>
      </c>
      <c r="T202">
        <v>0</v>
      </c>
      <c r="W202" t="s">
        <v>3779</v>
      </c>
      <c r="X202" t="s">
        <v>3603</v>
      </c>
      <c r="AA202" s="2">
        <v>44866</v>
      </c>
      <c r="AB202" t="s">
        <v>3607</v>
      </c>
      <c r="AC202">
        <v>1</v>
      </c>
      <c r="AD202" t="s">
        <v>3607</v>
      </c>
      <c r="AE202" s="3">
        <v>45992.941863407672</v>
      </c>
    </row>
    <row r="203" spans="2:31" x14ac:dyDescent="0.25">
      <c r="B203" t="s">
        <v>602</v>
      </c>
      <c r="C203">
        <v>1</v>
      </c>
      <c r="D203">
        <v>2022</v>
      </c>
      <c r="F203">
        <v>2024</v>
      </c>
      <c r="H203">
        <v>0.97199999999999998</v>
      </c>
      <c r="J203">
        <v>1.4</v>
      </c>
      <c r="O203">
        <v>0.24</v>
      </c>
      <c r="P203">
        <v>4</v>
      </c>
      <c r="T203">
        <v>0</v>
      </c>
      <c r="W203" t="s">
        <v>3615</v>
      </c>
      <c r="X203" t="s">
        <v>3603</v>
      </c>
      <c r="AA203" s="2">
        <v>44866</v>
      </c>
      <c r="AB203" t="s">
        <v>3607</v>
      </c>
      <c r="AC203">
        <v>1</v>
      </c>
      <c r="AD203" t="s">
        <v>3607</v>
      </c>
      <c r="AE203" s="3">
        <v>45992.941863407672</v>
      </c>
    </row>
    <row r="204" spans="2:31" x14ac:dyDescent="0.25">
      <c r="B204" t="s">
        <v>605</v>
      </c>
      <c r="C204">
        <v>1</v>
      </c>
      <c r="D204">
        <v>2022</v>
      </c>
      <c r="F204">
        <v>2024</v>
      </c>
      <c r="H204">
        <v>0.88200000000000001</v>
      </c>
      <c r="J204">
        <v>4.47</v>
      </c>
      <c r="K204">
        <v>9.14</v>
      </c>
      <c r="L204">
        <v>1.33</v>
      </c>
      <c r="O204">
        <v>0.77</v>
      </c>
      <c r="P204">
        <v>71</v>
      </c>
      <c r="R204">
        <v>0.28999999999999998</v>
      </c>
      <c r="S204">
        <v>0.39</v>
      </c>
      <c r="T204">
        <v>13.53</v>
      </c>
      <c r="W204" t="s">
        <v>3616</v>
      </c>
      <c r="X204" t="s">
        <v>3603</v>
      </c>
      <c r="AA204" s="2">
        <v>44866</v>
      </c>
      <c r="AB204" t="s">
        <v>3607</v>
      </c>
      <c r="AC204">
        <v>1</v>
      </c>
      <c r="AD204" t="s">
        <v>3607</v>
      </c>
      <c r="AE204" s="3">
        <v>45992.941863407672</v>
      </c>
    </row>
    <row r="205" spans="2:31" x14ac:dyDescent="0.25">
      <c r="B205" t="s">
        <v>608</v>
      </c>
      <c r="C205">
        <v>1</v>
      </c>
      <c r="D205">
        <v>2022</v>
      </c>
      <c r="F205">
        <v>2024</v>
      </c>
      <c r="H205">
        <v>0.93899999999999995</v>
      </c>
      <c r="J205">
        <v>3.97</v>
      </c>
      <c r="P205">
        <v>0</v>
      </c>
      <c r="T205">
        <v>0</v>
      </c>
      <c r="W205" t="s">
        <v>3780</v>
      </c>
      <c r="X205" t="s">
        <v>3603</v>
      </c>
      <c r="AA205" s="2">
        <v>44866</v>
      </c>
      <c r="AB205" t="s">
        <v>3607</v>
      </c>
      <c r="AC205">
        <v>1</v>
      </c>
      <c r="AD205" t="s">
        <v>3607</v>
      </c>
      <c r="AE205" s="3">
        <v>45992.941863407672</v>
      </c>
    </row>
    <row r="206" spans="2:31" hidden="1" x14ac:dyDescent="0.25">
      <c r="B206" t="s">
        <v>611</v>
      </c>
      <c r="C206">
        <v>0</v>
      </c>
      <c r="H206">
        <v>0</v>
      </c>
      <c r="AB206" t="s">
        <v>3830</v>
      </c>
      <c r="AC206">
        <v>1</v>
      </c>
    </row>
    <row r="207" spans="2:31" x14ac:dyDescent="0.25">
      <c r="B207" t="s">
        <v>614</v>
      </c>
      <c r="C207">
        <v>1</v>
      </c>
      <c r="D207">
        <v>2022</v>
      </c>
      <c r="F207">
        <v>2024</v>
      </c>
      <c r="H207">
        <v>0.93</v>
      </c>
      <c r="J207">
        <v>2.08</v>
      </c>
      <c r="K207">
        <v>9.81</v>
      </c>
      <c r="L207">
        <v>1.27</v>
      </c>
      <c r="O207">
        <v>0.42</v>
      </c>
      <c r="P207">
        <v>13</v>
      </c>
      <c r="T207">
        <v>0</v>
      </c>
      <c r="W207" t="s">
        <v>3617</v>
      </c>
      <c r="X207" t="s">
        <v>3603</v>
      </c>
      <c r="AA207" s="2">
        <v>44866</v>
      </c>
      <c r="AB207" t="s">
        <v>3607</v>
      </c>
      <c r="AC207">
        <v>1</v>
      </c>
      <c r="AD207" t="s">
        <v>3607</v>
      </c>
      <c r="AE207" s="3">
        <v>45992.941863407672</v>
      </c>
    </row>
    <row r="208" spans="2:31" x14ac:dyDescent="0.25">
      <c r="B208" t="s">
        <v>617</v>
      </c>
      <c r="C208">
        <v>1</v>
      </c>
      <c r="D208">
        <v>2022</v>
      </c>
      <c r="F208">
        <v>2024</v>
      </c>
      <c r="H208">
        <v>0.66</v>
      </c>
      <c r="J208">
        <v>1.1100000000000001</v>
      </c>
      <c r="P208">
        <v>0</v>
      </c>
      <c r="T208">
        <v>0</v>
      </c>
      <c r="W208" t="s">
        <v>3782</v>
      </c>
      <c r="X208" t="s">
        <v>3603</v>
      </c>
      <c r="AA208" s="2">
        <v>44866</v>
      </c>
      <c r="AB208" t="s">
        <v>3607</v>
      </c>
      <c r="AC208">
        <v>1</v>
      </c>
      <c r="AD208" t="s">
        <v>3607</v>
      </c>
      <c r="AE208" s="3">
        <v>45992.941863407672</v>
      </c>
    </row>
    <row r="209" spans="2:31" x14ac:dyDescent="0.25">
      <c r="B209" t="s">
        <v>620</v>
      </c>
      <c r="C209">
        <v>1</v>
      </c>
      <c r="D209">
        <v>2022</v>
      </c>
      <c r="F209">
        <v>2024</v>
      </c>
      <c r="H209">
        <v>0.12</v>
      </c>
      <c r="J209">
        <v>1.48</v>
      </c>
      <c r="P209">
        <v>0</v>
      </c>
      <c r="T209">
        <v>0</v>
      </c>
      <c r="W209" t="s">
        <v>3783</v>
      </c>
      <c r="X209" t="s">
        <v>3603</v>
      </c>
      <c r="AA209" s="2">
        <v>44866</v>
      </c>
      <c r="AB209" t="s">
        <v>3607</v>
      </c>
      <c r="AC209">
        <v>1</v>
      </c>
      <c r="AD209" t="s">
        <v>3607</v>
      </c>
      <c r="AE209" s="3">
        <v>45992.941863407672</v>
      </c>
    </row>
    <row r="210" spans="2:31" x14ac:dyDescent="0.25">
      <c r="B210" t="s">
        <v>623</v>
      </c>
      <c r="C210">
        <v>1</v>
      </c>
      <c r="D210">
        <v>2023</v>
      </c>
      <c r="E210" t="s">
        <v>3700</v>
      </c>
      <c r="F210">
        <v>2025</v>
      </c>
      <c r="G210" s="2">
        <v>45720</v>
      </c>
      <c r="H210">
        <v>0.83330000000000004</v>
      </c>
      <c r="I210">
        <v>8.1999999999999993</v>
      </c>
      <c r="J210">
        <v>3.19</v>
      </c>
      <c r="K210">
        <v>0.55000000000000004</v>
      </c>
      <c r="L210">
        <v>1.92</v>
      </c>
      <c r="N210">
        <v>1.1399999999999999</v>
      </c>
      <c r="O210">
        <v>0.56000000000000005</v>
      </c>
      <c r="P210">
        <v>184</v>
      </c>
      <c r="T210">
        <v>0</v>
      </c>
      <c r="W210" t="s">
        <v>3744</v>
      </c>
      <c r="X210" t="s">
        <v>3603</v>
      </c>
      <c r="Y210">
        <v>246</v>
      </c>
      <c r="Z210">
        <v>0.16669999999999999</v>
      </c>
      <c r="AA210" s="2">
        <v>45231</v>
      </c>
      <c r="AB210" t="s">
        <v>3604</v>
      </c>
      <c r="AC210">
        <v>1</v>
      </c>
      <c r="AD210" t="s">
        <v>3605</v>
      </c>
      <c r="AE210" s="3">
        <v>45994.037509884307</v>
      </c>
    </row>
    <row r="211" spans="2:31" x14ac:dyDescent="0.25">
      <c r="B211" t="s">
        <v>626</v>
      </c>
      <c r="C211">
        <v>1</v>
      </c>
      <c r="D211">
        <v>2023</v>
      </c>
      <c r="E211" t="s">
        <v>3700</v>
      </c>
      <c r="F211">
        <v>2025</v>
      </c>
      <c r="G211" s="2">
        <v>45734</v>
      </c>
      <c r="H211">
        <v>0.24590000000000001</v>
      </c>
      <c r="I211">
        <v>14.88</v>
      </c>
      <c r="J211">
        <v>7.87</v>
      </c>
      <c r="K211">
        <v>3.22</v>
      </c>
      <c r="L211">
        <v>8.15</v>
      </c>
      <c r="N211">
        <v>1.69</v>
      </c>
      <c r="O211">
        <v>1.02</v>
      </c>
      <c r="P211">
        <v>62</v>
      </c>
      <c r="T211">
        <v>0</v>
      </c>
      <c r="W211" t="s">
        <v>3725</v>
      </c>
      <c r="X211" t="s">
        <v>3603</v>
      </c>
      <c r="Y211">
        <v>305</v>
      </c>
      <c r="Z211">
        <v>0.75409999999999999</v>
      </c>
      <c r="AA211" s="2">
        <v>45231</v>
      </c>
      <c r="AB211" t="s">
        <v>3604</v>
      </c>
      <c r="AC211">
        <v>1</v>
      </c>
      <c r="AD211" t="s">
        <v>3605</v>
      </c>
      <c r="AE211" s="3">
        <v>45994.037509884307</v>
      </c>
    </row>
    <row r="212" spans="2:31" x14ac:dyDescent="0.25">
      <c r="B212" t="s">
        <v>629</v>
      </c>
      <c r="C212">
        <v>1</v>
      </c>
      <c r="D212">
        <v>2023</v>
      </c>
      <c r="E212" t="s">
        <v>3700</v>
      </c>
      <c r="F212">
        <v>2025</v>
      </c>
      <c r="G212" s="2">
        <v>45723</v>
      </c>
      <c r="H212">
        <v>0.53439999999999999</v>
      </c>
      <c r="I212">
        <v>10.57</v>
      </c>
      <c r="J212">
        <v>7.48</v>
      </c>
      <c r="K212">
        <v>2.17</v>
      </c>
      <c r="L212">
        <v>5.81</v>
      </c>
      <c r="N212">
        <v>1.1200000000000001</v>
      </c>
      <c r="O212">
        <v>1.01</v>
      </c>
      <c r="P212">
        <v>110</v>
      </c>
      <c r="T212">
        <v>0</v>
      </c>
      <c r="W212" t="s">
        <v>3736</v>
      </c>
      <c r="X212" t="s">
        <v>3603</v>
      </c>
      <c r="Y212">
        <v>247</v>
      </c>
      <c r="Z212">
        <v>0.46560000000000001</v>
      </c>
      <c r="AA212" s="2">
        <v>45231</v>
      </c>
      <c r="AB212" t="s">
        <v>3604</v>
      </c>
      <c r="AC212">
        <v>1</v>
      </c>
      <c r="AD212" t="s">
        <v>3605</v>
      </c>
      <c r="AE212" s="3">
        <v>45994.037509884307</v>
      </c>
    </row>
    <row r="213" spans="2:31" hidden="1" x14ac:dyDescent="0.25">
      <c r="B213" t="s">
        <v>633</v>
      </c>
      <c r="C213">
        <v>0</v>
      </c>
      <c r="H213">
        <v>0</v>
      </c>
      <c r="AB213" t="s">
        <v>3830</v>
      </c>
      <c r="AC213">
        <v>1</v>
      </c>
    </row>
    <row r="214" spans="2:31" x14ac:dyDescent="0.25">
      <c r="B214" t="s">
        <v>636</v>
      </c>
      <c r="C214">
        <v>1</v>
      </c>
      <c r="D214">
        <v>2023</v>
      </c>
      <c r="E214" t="s">
        <v>3700</v>
      </c>
      <c r="F214">
        <v>2025</v>
      </c>
      <c r="G214" s="2">
        <v>45737</v>
      </c>
      <c r="H214">
        <v>0.8</v>
      </c>
      <c r="I214">
        <v>6.58</v>
      </c>
      <c r="J214">
        <v>2.95</v>
      </c>
      <c r="K214">
        <v>1.27</v>
      </c>
      <c r="L214">
        <v>2.75</v>
      </c>
      <c r="N214">
        <v>0.85</v>
      </c>
      <c r="O214">
        <v>0.5</v>
      </c>
      <c r="P214">
        <v>53</v>
      </c>
      <c r="T214">
        <v>0</v>
      </c>
      <c r="W214" t="s">
        <v>3724</v>
      </c>
      <c r="X214" t="s">
        <v>3603</v>
      </c>
      <c r="Y214">
        <v>85</v>
      </c>
      <c r="Z214">
        <v>0.2</v>
      </c>
      <c r="AA214" s="2">
        <v>45231</v>
      </c>
      <c r="AB214" t="s">
        <v>3604</v>
      </c>
      <c r="AC214">
        <v>1</v>
      </c>
      <c r="AD214" t="s">
        <v>3605</v>
      </c>
      <c r="AE214" s="3">
        <v>45994.037509884307</v>
      </c>
    </row>
    <row r="215" spans="2:31" x14ac:dyDescent="0.25">
      <c r="B215" t="s">
        <v>637</v>
      </c>
      <c r="C215">
        <v>1</v>
      </c>
      <c r="D215">
        <v>2023</v>
      </c>
      <c r="E215" t="s">
        <v>3700</v>
      </c>
      <c r="F215">
        <v>2025</v>
      </c>
      <c r="G215" s="2">
        <v>45722</v>
      </c>
      <c r="H215">
        <v>0.94740000000000002</v>
      </c>
      <c r="I215">
        <v>23.76</v>
      </c>
      <c r="J215">
        <v>5.03</v>
      </c>
      <c r="K215">
        <v>0</v>
      </c>
      <c r="L215">
        <v>0</v>
      </c>
      <c r="N215">
        <v>3.3</v>
      </c>
      <c r="O215">
        <v>0.9</v>
      </c>
      <c r="P215">
        <v>71</v>
      </c>
      <c r="T215">
        <v>0</v>
      </c>
      <c r="W215" t="s">
        <v>3735</v>
      </c>
      <c r="X215" t="s">
        <v>3603</v>
      </c>
      <c r="Y215">
        <v>76</v>
      </c>
      <c r="Z215">
        <v>5.2600000000000001E-2</v>
      </c>
      <c r="AA215" s="2">
        <v>45231</v>
      </c>
      <c r="AB215" t="s">
        <v>3604</v>
      </c>
      <c r="AC215">
        <v>1</v>
      </c>
      <c r="AD215" t="s">
        <v>3605</v>
      </c>
      <c r="AE215" s="3">
        <v>45994.037509884307</v>
      </c>
    </row>
    <row r="216" spans="2:31" x14ac:dyDescent="0.25">
      <c r="B216" t="s">
        <v>638</v>
      </c>
      <c r="C216">
        <v>1</v>
      </c>
      <c r="D216">
        <v>2023</v>
      </c>
      <c r="E216" t="s">
        <v>3702</v>
      </c>
      <c r="F216">
        <v>2025</v>
      </c>
      <c r="G216" s="2">
        <v>45711</v>
      </c>
      <c r="H216">
        <v>0.96020000000000005</v>
      </c>
      <c r="I216">
        <v>9.9</v>
      </c>
      <c r="J216">
        <v>5.01</v>
      </c>
      <c r="K216">
        <v>0</v>
      </c>
      <c r="L216">
        <v>0</v>
      </c>
      <c r="N216">
        <v>1.37</v>
      </c>
      <c r="O216">
        <v>0.89</v>
      </c>
      <c r="P216">
        <v>192</v>
      </c>
      <c r="T216">
        <v>0</v>
      </c>
      <c r="W216" t="s">
        <v>3737</v>
      </c>
      <c r="X216" t="s">
        <v>3603</v>
      </c>
      <c r="Y216">
        <v>201</v>
      </c>
      <c r="Z216">
        <v>3.9800000000000002E-2</v>
      </c>
      <c r="AA216" s="2">
        <v>45231</v>
      </c>
      <c r="AB216" t="s">
        <v>3604</v>
      </c>
      <c r="AC216">
        <v>1</v>
      </c>
      <c r="AD216" t="s">
        <v>3605</v>
      </c>
      <c r="AE216" s="3">
        <v>45994.037509884307</v>
      </c>
    </row>
    <row r="217" spans="2:31" hidden="1" x14ac:dyDescent="0.25">
      <c r="B217" t="s">
        <v>641</v>
      </c>
      <c r="C217">
        <v>0</v>
      </c>
      <c r="H217">
        <v>0</v>
      </c>
      <c r="AB217" t="s">
        <v>3830</v>
      </c>
      <c r="AC217">
        <v>1</v>
      </c>
    </row>
    <row r="218" spans="2:31" x14ac:dyDescent="0.25">
      <c r="B218" t="s">
        <v>644</v>
      </c>
      <c r="C218">
        <v>1</v>
      </c>
      <c r="D218">
        <v>2023</v>
      </c>
      <c r="E218" t="s">
        <v>3700</v>
      </c>
      <c r="F218">
        <v>2025</v>
      </c>
      <c r="G218" s="2">
        <v>45735</v>
      </c>
      <c r="H218">
        <v>0.86299999999999999</v>
      </c>
      <c r="I218">
        <v>13.39</v>
      </c>
      <c r="J218">
        <v>4.6399999999999997</v>
      </c>
      <c r="K218">
        <v>0</v>
      </c>
      <c r="L218">
        <v>0</v>
      </c>
      <c r="N218">
        <v>1.99</v>
      </c>
      <c r="O218">
        <v>0.79</v>
      </c>
      <c r="P218">
        <v>61</v>
      </c>
      <c r="T218">
        <v>0</v>
      </c>
      <c r="W218" t="s">
        <v>3745</v>
      </c>
      <c r="X218" t="s">
        <v>3603</v>
      </c>
      <c r="Y218">
        <v>73</v>
      </c>
      <c r="Z218">
        <v>0.13700000000000001</v>
      </c>
      <c r="AA218" s="2">
        <v>45231</v>
      </c>
      <c r="AB218" t="s">
        <v>3604</v>
      </c>
      <c r="AC218">
        <v>1</v>
      </c>
      <c r="AD218" t="s">
        <v>3605</v>
      </c>
      <c r="AE218" s="3">
        <v>45994.037509884307</v>
      </c>
    </row>
    <row r="219" spans="2:31" x14ac:dyDescent="0.25">
      <c r="B219" t="s">
        <v>647</v>
      </c>
      <c r="C219">
        <v>1</v>
      </c>
      <c r="D219">
        <v>2023</v>
      </c>
      <c r="E219" t="s">
        <v>3700</v>
      </c>
      <c r="F219">
        <v>2025</v>
      </c>
      <c r="G219" s="2">
        <v>45722</v>
      </c>
      <c r="H219">
        <v>0.77270000000000005</v>
      </c>
      <c r="I219">
        <v>7.43</v>
      </c>
      <c r="J219">
        <v>3.45</v>
      </c>
      <c r="K219">
        <v>0</v>
      </c>
      <c r="L219">
        <v>0</v>
      </c>
      <c r="N219">
        <v>0.52</v>
      </c>
      <c r="O219">
        <v>0.82</v>
      </c>
      <c r="P219">
        <v>51</v>
      </c>
      <c r="T219">
        <v>0</v>
      </c>
      <c r="W219" t="s">
        <v>3738</v>
      </c>
      <c r="X219" t="s">
        <v>3603</v>
      </c>
      <c r="Y219">
        <v>66</v>
      </c>
      <c r="Z219">
        <v>0.2273</v>
      </c>
      <c r="AA219" s="2">
        <v>45231</v>
      </c>
      <c r="AB219" t="s">
        <v>3604</v>
      </c>
      <c r="AC219">
        <v>1</v>
      </c>
      <c r="AD219" t="s">
        <v>3605</v>
      </c>
      <c r="AE219" s="3">
        <v>45994.037509884307</v>
      </c>
    </row>
    <row r="220" spans="2:31" x14ac:dyDescent="0.25">
      <c r="B220" t="s">
        <v>650</v>
      </c>
      <c r="C220">
        <v>1</v>
      </c>
      <c r="D220">
        <v>2023</v>
      </c>
      <c r="E220" t="s">
        <v>3700</v>
      </c>
      <c r="F220">
        <v>2025</v>
      </c>
      <c r="G220" s="2">
        <v>45723</v>
      </c>
      <c r="H220">
        <v>0.88460000000000005</v>
      </c>
      <c r="I220">
        <v>21.14</v>
      </c>
      <c r="J220">
        <v>9.33</v>
      </c>
      <c r="K220">
        <v>0</v>
      </c>
      <c r="L220">
        <v>0</v>
      </c>
      <c r="N220">
        <v>1.9</v>
      </c>
      <c r="O220">
        <v>1.1299999999999999</v>
      </c>
      <c r="P220">
        <v>92</v>
      </c>
      <c r="T220">
        <v>0</v>
      </c>
      <c r="W220" t="s">
        <v>3710</v>
      </c>
      <c r="X220" t="s">
        <v>3603</v>
      </c>
      <c r="Y220">
        <v>104</v>
      </c>
      <c r="Z220">
        <v>0.1154</v>
      </c>
      <c r="AA220" s="2">
        <v>45231</v>
      </c>
      <c r="AB220" t="s">
        <v>3604</v>
      </c>
      <c r="AC220">
        <v>1</v>
      </c>
      <c r="AD220" t="s">
        <v>3605</v>
      </c>
      <c r="AE220" s="3">
        <v>45994.037509884307</v>
      </c>
    </row>
    <row r="221" spans="2:31" x14ac:dyDescent="0.25">
      <c r="B221" t="s">
        <v>651</v>
      </c>
      <c r="C221">
        <v>1</v>
      </c>
      <c r="D221">
        <v>2023</v>
      </c>
      <c r="E221" t="s">
        <v>3700</v>
      </c>
      <c r="F221">
        <v>2025</v>
      </c>
      <c r="G221" s="2">
        <v>45722</v>
      </c>
      <c r="H221">
        <v>0.88639999999999997</v>
      </c>
      <c r="I221">
        <v>9.94</v>
      </c>
      <c r="J221">
        <v>6.88</v>
      </c>
      <c r="K221">
        <v>0</v>
      </c>
      <c r="L221">
        <v>0</v>
      </c>
      <c r="N221">
        <v>0.99</v>
      </c>
      <c r="O221">
        <v>1.19</v>
      </c>
      <c r="P221">
        <v>39</v>
      </c>
      <c r="T221">
        <v>0</v>
      </c>
      <c r="W221" t="s">
        <v>3701</v>
      </c>
      <c r="X221" t="s">
        <v>3603</v>
      </c>
      <c r="Y221">
        <v>44</v>
      </c>
      <c r="Z221">
        <v>0.11360000000000001</v>
      </c>
      <c r="AA221" s="2">
        <v>45231</v>
      </c>
      <c r="AB221" t="s">
        <v>3604</v>
      </c>
      <c r="AC221">
        <v>1</v>
      </c>
      <c r="AD221" t="s">
        <v>3605</v>
      </c>
      <c r="AE221" s="3">
        <v>45994.037509884307</v>
      </c>
    </row>
    <row r="222" spans="2:31" hidden="1" x14ac:dyDescent="0.25">
      <c r="B222" t="s">
        <v>654</v>
      </c>
      <c r="C222">
        <v>0</v>
      </c>
      <c r="H222">
        <v>1</v>
      </c>
      <c r="Z222">
        <v>0</v>
      </c>
      <c r="AC222">
        <v>1</v>
      </c>
    </row>
    <row r="223" spans="2:31" x14ac:dyDescent="0.25">
      <c r="B223" t="s">
        <v>657</v>
      </c>
      <c r="C223">
        <v>1</v>
      </c>
      <c r="D223">
        <v>2023</v>
      </c>
      <c r="E223" t="s">
        <v>3702</v>
      </c>
      <c r="F223">
        <v>2025</v>
      </c>
      <c r="G223" s="2">
        <v>45713</v>
      </c>
      <c r="H223">
        <v>0.8871</v>
      </c>
      <c r="I223">
        <v>3.84</v>
      </c>
      <c r="J223">
        <v>3.01</v>
      </c>
      <c r="K223">
        <v>0</v>
      </c>
      <c r="L223">
        <v>0</v>
      </c>
      <c r="N223">
        <v>0.3</v>
      </c>
      <c r="O223">
        <v>0.53</v>
      </c>
      <c r="P223">
        <v>556</v>
      </c>
      <c r="T223">
        <v>0</v>
      </c>
      <c r="W223" t="s">
        <v>3703</v>
      </c>
      <c r="X223" t="s">
        <v>3603</v>
      </c>
      <c r="Y223">
        <v>629</v>
      </c>
      <c r="Z223">
        <v>0.1129</v>
      </c>
      <c r="AA223" s="2">
        <v>45231</v>
      </c>
      <c r="AB223" t="s">
        <v>3604</v>
      </c>
      <c r="AC223">
        <v>1</v>
      </c>
      <c r="AD223" t="s">
        <v>3605</v>
      </c>
      <c r="AE223" s="3">
        <v>45994.037509884307</v>
      </c>
    </row>
    <row r="224" spans="2:31" x14ac:dyDescent="0.25">
      <c r="B224" t="s">
        <v>658</v>
      </c>
      <c r="C224">
        <v>1</v>
      </c>
      <c r="D224">
        <v>2023</v>
      </c>
      <c r="E224" t="s">
        <v>3700</v>
      </c>
      <c r="F224">
        <v>2025</v>
      </c>
      <c r="G224" s="2">
        <v>45735</v>
      </c>
      <c r="H224">
        <v>0.71040000000000003</v>
      </c>
      <c r="I224">
        <v>19.350000000000001</v>
      </c>
      <c r="J224">
        <v>4.54</v>
      </c>
      <c r="K224">
        <v>0</v>
      </c>
      <c r="L224">
        <v>0</v>
      </c>
      <c r="N224">
        <v>3.61</v>
      </c>
      <c r="O224">
        <v>1.51</v>
      </c>
      <c r="P224">
        <v>157</v>
      </c>
      <c r="T224">
        <v>0</v>
      </c>
      <c r="W224" t="s">
        <v>3704</v>
      </c>
      <c r="X224" t="s">
        <v>3603</v>
      </c>
      <c r="Y224">
        <v>221</v>
      </c>
      <c r="Z224">
        <v>0.28960000000000002</v>
      </c>
      <c r="AA224" s="2">
        <v>45231</v>
      </c>
      <c r="AB224" t="s">
        <v>3604</v>
      </c>
      <c r="AC224">
        <v>1</v>
      </c>
      <c r="AD224" t="s">
        <v>3605</v>
      </c>
      <c r="AE224" s="3">
        <v>45994.037509884307</v>
      </c>
    </row>
    <row r="225" spans="2:31" hidden="1" x14ac:dyDescent="0.25">
      <c r="B225" t="s">
        <v>661</v>
      </c>
      <c r="C225">
        <v>0</v>
      </c>
      <c r="H225">
        <v>1</v>
      </c>
      <c r="Z225">
        <v>0</v>
      </c>
      <c r="AC225">
        <v>1</v>
      </c>
    </row>
    <row r="226" spans="2:31" hidden="1" x14ac:dyDescent="0.25">
      <c r="B226" t="s">
        <v>664</v>
      </c>
      <c r="C226">
        <v>0</v>
      </c>
      <c r="H226">
        <v>1</v>
      </c>
      <c r="Z226">
        <v>0</v>
      </c>
      <c r="AC226">
        <v>1</v>
      </c>
    </row>
    <row r="227" spans="2:31" hidden="1" x14ac:dyDescent="0.25">
      <c r="B227" t="s">
        <v>667</v>
      </c>
      <c r="C227">
        <v>0</v>
      </c>
      <c r="H227">
        <v>1</v>
      </c>
      <c r="Z227">
        <v>0</v>
      </c>
      <c r="AC227">
        <v>1</v>
      </c>
    </row>
    <row r="228" spans="2:31" hidden="1" x14ac:dyDescent="0.25">
      <c r="B228" t="s">
        <v>671</v>
      </c>
      <c r="C228">
        <v>0</v>
      </c>
      <c r="H228">
        <v>1</v>
      </c>
      <c r="Z228">
        <v>0</v>
      </c>
      <c r="AC228">
        <v>1</v>
      </c>
    </row>
    <row r="229" spans="2:31" hidden="1" x14ac:dyDescent="0.25">
      <c r="B229" t="s">
        <v>674</v>
      </c>
      <c r="C229">
        <v>0</v>
      </c>
      <c r="H229">
        <v>1</v>
      </c>
      <c r="Z229">
        <v>0</v>
      </c>
      <c r="AC229">
        <v>1</v>
      </c>
    </row>
    <row r="230" spans="2:31" hidden="1" x14ac:dyDescent="0.25">
      <c r="B230" t="s">
        <v>677</v>
      </c>
      <c r="C230">
        <v>0</v>
      </c>
      <c r="H230">
        <v>1</v>
      </c>
      <c r="Z230">
        <v>0</v>
      </c>
      <c r="AC230">
        <v>1</v>
      </c>
    </row>
    <row r="231" spans="2:31" hidden="1" x14ac:dyDescent="0.25">
      <c r="B231" t="s">
        <v>680</v>
      </c>
      <c r="C231">
        <v>0</v>
      </c>
      <c r="H231">
        <v>1</v>
      </c>
      <c r="Z231">
        <v>0</v>
      </c>
      <c r="AC231">
        <v>1</v>
      </c>
    </row>
    <row r="232" spans="2:31" hidden="1" x14ac:dyDescent="0.25">
      <c r="B232" t="s">
        <v>683</v>
      </c>
      <c r="C232">
        <v>0</v>
      </c>
      <c r="H232">
        <v>1</v>
      </c>
      <c r="Z232">
        <v>0</v>
      </c>
      <c r="AC232">
        <v>1</v>
      </c>
    </row>
    <row r="233" spans="2:31" hidden="1" x14ac:dyDescent="0.25">
      <c r="B233" t="s">
        <v>684</v>
      </c>
      <c r="C233">
        <v>0</v>
      </c>
      <c r="H233">
        <v>1</v>
      </c>
      <c r="Z233">
        <v>0</v>
      </c>
      <c r="AC233">
        <v>1</v>
      </c>
    </row>
    <row r="234" spans="2:31" hidden="1" x14ac:dyDescent="0.25">
      <c r="B234" t="s">
        <v>686</v>
      </c>
      <c r="C234">
        <v>0</v>
      </c>
      <c r="H234">
        <v>1</v>
      </c>
      <c r="Z234">
        <v>0</v>
      </c>
      <c r="AC234">
        <v>1</v>
      </c>
    </row>
    <row r="235" spans="2:31" hidden="1" x14ac:dyDescent="0.25">
      <c r="B235" t="s">
        <v>690</v>
      </c>
      <c r="C235">
        <v>0</v>
      </c>
      <c r="H235">
        <v>1</v>
      </c>
      <c r="Z235">
        <v>0</v>
      </c>
      <c r="AC235">
        <v>1</v>
      </c>
    </row>
    <row r="236" spans="2:31" x14ac:dyDescent="0.25">
      <c r="B236" t="s">
        <v>693</v>
      </c>
      <c r="C236">
        <v>1</v>
      </c>
      <c r="F236">
        <v>2024</v>
      </c>
      <c r="H236">
        <v>0.4</v>
      </c>
      <c r="AB236" t="s">
        <v>3607</v>
      </c>
      <c r="AC236">
        <v>1</v>
      </c>
      <c r="AD236" t="s">
        <v>3607</v>
      </c>
      <c r="AE236" s="3">
        <v>45991.880598007949</v>
      </c>
    </row>
    <row r="237" spans="2:31" hidden="1" x14ac:dyDescent="0.25">
      <c r="B237" t="s">
        <v>694</v>
      </c>
      <c r="C237">
        <v>0</v>
      </c>
      <c r="H237">
        <v>1</v>
      </c>
      <c r="Z237">
        <v>0</v>
      </c>
      <c r="AC237">
        <v>1</v>
      </c>
    </row>
    <row r="238" spans="2:31" hidden="1" x14ac:dyDescent="0.25">
      <c r="B238" t="s">
        <v>697</v>
      </c>
      <c r="C238">
        <v>0</v>
      </c>
      <c r="H238">
        <v>1</v>
      </c>
      <c r="Z238">
        <v>0</v>
      </c>
      <c r="AC238">
        <v>1</v>
      </c>
    </row>
    <row r="239" spans="2:31" hidden="1" x14ac:dyDescent="0.25">
      <c r="B239" t="s">
        <v>700</v>
      </c>
      <c r="C239">
        <v>0</v>
      </c>
      <c r="H239">
        <v>1</v>
      </c>
      <c r="Z239">
        <v>0</v>
      </c>
      <c r="AC239">
        <v>1</v>
      </c>
    </row>
    <row r="240" spans="2:31" hidden="1" x14ac:dyDescent="0.25">
      <c r="B240" t="s">
        <v>703</v>
      </c>
      <c r="C240">
        <v>0</v>
      </c>
      <c r="H240">
        <v>1</v>
      </c>
      <c r="Z240">
        <v>0</v>
      </c>
      <c r="AC240">
        <v>1</v>
      </c>
    </row>
    <row r="241" spans="2:31" hidden="1" x14ac:dyDescent="0.25">
      <c r="B241" t="s">
        <v>706</v>
      </c>
      <c r="C241">
        <v>0</v>
      </c>
      <c r="H241">
        <v>1</v>
      </c>
      <c r="Z241">
        <v>0</v>
      </c>
      <c r="AC241">
        <v>1</v>
      </c>
    </row>
    <row r="242" spans="2:31" hidden="1" x14ac:dyDescent="0.25">
      <c r="B242" t="s">
        <v>707</v>
      </c>
      <c r="C242">
        <v>0</v>
      </c>
      <c r="H242">
        <v>1</v>
      </c>
      <c r="Z242">
        <v>0</v>
      </c>
      <c r="AC242">
        <v>1</v>
      </c>
    </row>
    <row r="243" spans="2:31" x14ac:dyDescent="0.25">
      <c r="B243" t="s">
        <v>710</v>
      </c>
      <c r="C243">
        <v>1</v>
      </c>
      <c r="F243">
        <v>2024</v>
      </c>
      <c r="H243">
        <v>0.66666666666666663</v>
      </c>
      <c r="AB243" t="s">
        <v>3607</v>
      </c>
      <c r="AC243">
        <v>1</v>
      </c>
      <c r="AD243" t="s">
        <v>3607</v>
      </c>
      <c r="AE243" s="3">
        <v>45991.880598007949</v>
      </c>
    </row>
    <row r="244" spans="2:31" hidden="1" x14ac:dyDescent="0.25">
      <c r="B244" t="s">
        <v>713</v>
      </c>
      <c r="C244">
        <v>0</v>
      </c>
      <c r="H244">
        <v>1</v>
      </c>
      <c r="Z244">
        <v>0</v>
      </c>
      <c r="AC244">
        <v>1</v>
      </c>
    </row>
    <row r="245" spans="2:31" hidden="1" x14ac:dyDescent="0.25">
      <c r="B245" t="s">
        <v>716</v>
      </c>
      <c r="C245">
        <v>0</v>
      </c>
      <c r="H245">
        <v>1</v>
      </c>
      <c r="Z245">
        <v>0</v>
      </c>
      <c r="AC245">
        <v>1</v>
      </c>
    </row>
    <row r="246" spans="2:31" hidden="1" x14ac:dyDescent="0.25">
      <c r="B246" t="s">
        <v>717</v>
      </c>
      <c r="C246">
        <v>0</v>
      </c>
      <c r="H246">
        <v>1</v>
      </c>
      <c r="Z246">
        <v>0</v>
      </c>
      <c r="AC246">
        <v>1</v>
      </c>
    </row>
    <row r="247" spans="2:31" hidden="1" x14ac:dyDescent="0.25">
      <c r="B247" t="s">
        <v>720</v>
      </c>
      <c r="C247">
        <v>0</v>
      </c>
      <c r="H247">
        <v>1</v>
      </c>
      <c r="Z247">
        <v>0</v>
      </c>
      <c r="AC247">
        <v>1</v>
      </c>
    </row>
    <row r="248" spans="2:31" hidden="1" x14ac:dyDescent="0.25">
      <c r="B248" t="s">
        <v>723</v>
      </c>
      <c r="C248">
        <v>0</v>
      </c>
      <c r="H248">
        <v>1</v>
      </c>
      <c r="Z248">
        <v>0</v>
      </c>
      <c r="AC248">
        <v>1</v>
      </c>
    </row>
    <row r="249" spans="2:31" hidden="1" x14ac:dyDescent="0.25">
      <c r="B249" t="s">
        <v>726</v>
      </c>
      <c r="C249">
        <v>0</v>
      </c>
      <c r="H249">
        <v>1</v>
      </c>
      <c r="Z249">
        <v>0</v>
      </c>
      <c r="AC249">
        <v>1</v>
      </c>
    </row>
    <row r="250" spans="2:31" hidden="1" x14ac:dyDescent="0.25">
      <c r="B250" t="s">
        <v>730</v>
      </c>
      <c r="C250">
        <v>0</v>
      </c>
      <c r="H250">
        <v>1</v>
      </c>
      <c r="Z250">
        <v>0</v>
      </c>
      <c r="AC250">
        <v>1</v>
      </c>
    </row>
    <row r="251" spans="2:31" hidden="1" x14ac:dyDescent="0.25">
      <c r="B251" t="s">
        <v>733</v>
      </c>
      <c r="C251">
        <v>0</v>
      </c>
      <c r="H251">
        <v>1</v>
      </c>
      <c r="Z251">
        <v>0</v>
      </c>
      <c r="AC251">
        <v>1</v>
      </c>
    </row>
    <row r="252" spans="2:31" hidden="1" x14ac:dyDescent="0.25">
      <c r="B252" t="s">
        <v>736</v>
      </c>
      <c r="C252">
        <v>0</v>
      </c>
      <c r="H252">
        <v>1</v>
      </c>
      <c r="Z252">
        <v>0</v>
      </c>
      <c r="AC252">
        <v>1</v>
      </c>
    </row>
    <row r="253" spans="2:31" hidden="1" x14ac:dyDescent="0.25">
      <c r="B253" t="s">
        <v>740</v>
      </c>
      <c r="C253">
        <v>0</v>
      </c>
      <c r="H253">
        <v>1</v>
      </c>
      <c r="Z253">
        <v>0</v>
      </c>
      <c r="AC253">
        <v>1</v>
      </c>
    </row>
    <row r="254" spans="2:31" hidden="1" x14ac:dyDescent="0.25">
      <c r="B254" t="s">
        <v>743</v>
      </c>
      <c r="C254">
        <v>0</v>
      </c>
      <c r="H254">
        <v>1</v>
      </c>
      <c r="Z254">
        <v>0</v>
      </c>
      <c r="AC254">
        <v>1</v>
      </c>
    </row>
    <row r="255" spans="2:31" hidden="1" x14ac:dyDescent="0.25">
      <c r="B255" t="s">
        <v>746</v>
      </c>
      <c r="C255">
        <v>0</v>
      </c>
      <c r="H255">
        <v>1</v>
      </c>
      <c r="Z255">
        <v>0</v>
      </c>
      <c r="AC255">
        <v>1</v>
      </c>
    </row>
    <row r="256" spans="2:31" hidden="1" x14ac:dyDescent="0.25">
      <c r="B256" t="s">
        <v>750</v>
      </c>
      <c r="C256">
        <v>0</v>
      </c>
      <c r="H256">
        <v>1</v>
      </c>
      <c r="Z256">
        <v>0</v>
      </c>
      <c r="AC256">
        <v>1</v>
      </c>
    </row>
    <row r="257" spans="2:31" hidden="1" x14ac:dyDescent="0.25">
      <c r="B257" t="s">
        <v>751</v>
      </c>
      <c r="C257">
        <v>0</v>
      </c>
      <c r="H257">
        <v>1</v>
      </c>
      <c r="Z257">
        <v>0</v>
      </c>
      <c r="AC257">
        <v>1</v>
      </c>
    </row>
    <row r="258" spans="2:31" hidden="1" x14ac:dyDescent="0.25">
      <c r="B258" t="s">
        <v>755</v>
      </c>
      <c r="C258">
        <v>0</v>
      </c>
      <c r="H258">
        <v>1</v>
      </c>
      <c r="Z258">
        <v>0</v>
      </c>
      <c r="AC258">
        <v>1</v>
      </c>
    </row>
    <row r="259" spans="2:31" x14ac:dyDescent="0.25">
      <c r="B259" t="s">
        <v>758</v>
      </c>
      <c r="C259">
        <v>1</v>
      </c>
      <c r="F259">
        <v>2024</v>
      </c>
      <c r="H259">
        <v>0.63</v>
      </c>
      <c r="AB259" t="s">
        <v>3607</v>
      </c>
      <c r="AC259">
        <v>1</v>
      </c>
      <c r="AD259" t="s">
        <v>3607</v>
      </c>
      <c r="AE259" s="3">
        <v>45991.880598007949</v>
      </c>
    </row>
    <row r="260" spans="2:31" x14ac:dyDescent="0.25">
      <c r="B260" t="s">
        <v>761</v>
      </c>
      <c r="C260">
        <v>1</v>
      </c>
      <c r="F260">
        <v>2024</v>
      </c>
      <c r="H260">
        <v>0.4</v>
      </c>
      <c r="AB260" t="s">
        <v>3607</v>
      </c>
      <c r="AC260">
        <v>1</v>
      </c>
      <c r="AD260" t="s">
        <v>3607</v>
      </c>
      <c r="AE260" s="3">
        <v>45991.880598007949</v>
      </c>
    </row>
    <row r="261" spans="2:31" hidden="1" x14ac:dyDescent="0.25">
      <c r="B261" t="s">
        <v>764</v>
      </c>
      <c r="C261">
        <v>0</v>
      </c>
      <c r="H261">
        <v>1</v>
      </c>
      <c r="Z261">
        <v>0</v>
      </c>
      <c r="AC261">
        <v>1</v>
      </c>
    </row>
    <row r="262" spans="2:31" hidden="1" x14ac:dyDescent="0.25">
      <c r="B262" t="s">
        <v>767</v>
      </c>
      <c r="C262">
        <v>0</v>
      </c>
      <c r="H262">
        <v>1</v>
      </c>
      <c r="Z262">
        <v>0</v>
      </c>
      <c r="AC262">
        <v>1</v>
      </c>
    </row>
    <row r="263" spans="2:31" hidden="1" x14ac:dyDescent="0.25">
      <c r="B263" t="s">
        <v>770</v>
      </c>
      <c r="C263">
        <v>0</v>
      </c>
      <c r="H263">
        <v>1</v>
      </c>
      <c r="Z263">
        <v>0</v>
      </c>
      <c r="AC263">
        <v>1</v>
      </c>
    </row>
    <row r="264" spans="2:31" x14ac:dyDescent="0.25">
      <c r="B264" t="s">
        <v>773</v>
      </c>
      <c r="C264">
        <v>1</v>
      </c>
      <c r="F264">
        <v>2024</v>
      </c>
      <c r="H264">
        <v>0.61</v>
      </c>
      <c r="AB264" t="s">
        <v>3607</v>
      </c>
      <c r="AC264">
        <v>1</v>
      </c>
      <c r="AD264" t="s">
        <v>3607</v>
      </c>
      <c r="AE264" s="3">
        <v>45991.880598007949</v>
      </c>
    </row>
    <row r="265" spans="2:31" x14ac:dyDescent="0.25">
      <c r="B265" t="s">
        <v>776</v>
      </c>
      <c r="C265">
        <v>1</v>
      </c>
      <c r="F265">
        <v>2024</v>
      </c>
      <c r="H265">
        <v>0.76363636363636367</v>
      </c>
      <c r="AB265" t="s">
        <v>3607</v>
      </c>
      <c r="AC265">
        <v>1</v>
      </c>
      <c r="AD265" t="s">
        <v>3607</v>
      </c>
      <c r="AE265" s="3">
        <v>45991.880598007949</v>
      </c>
    </row>
    <row r="266" spans="2:31" x14ac:dyDescent="0.25">
      <c r="B266" t="s">
        <v>779</v>
      </c>
      <c r="C266">
        <v>1</v>
      </c>
      <c r="F266">
        <v>2024</v>
      </c>
      <c r="H266">
        <v>0.91</v>
      </c>
      <c r="AB266" t="s">
        <v>3607</v>
      </c>
      <c r="AC266">
        <v>1</v>
      </c>
      <c r="AD266" t="s">
        <v>3607</v>
      </c>
      <c r="AE266" s="3">
        <v>45991.880598007949</v>
      </c>
    </row>
    <row r="267" spans="2:31" hidden="1" x14ac:dyDescent="0.25">
      <c r="B267" t="s">
        <v>782</v>
      </c>
      <c r="C267">
        <v>0</v>
      </c>
      <c r="H267">
        <v>1</v>
      </c>
      <c r="Z267">
        <v>0</v>
      </c>
      <c r="AC267">
        <v>1</v>
      </c>
    </row>
    <row r="268" spans="2:31" hidden="1" x14ac:dyDescent="0.25">
      <c r="B268" t="s">
        <v>785</v>
      </c>
      <c r="C268">
        <v>0</v>
      </c>
      <c r="H268">
        <v>1</v>
      </c>
      <c r="Z268">
        <v>0</v>
      </c>
      <c r="AC268">
        <v>1</v>
      </c>
    </row>
    <row r="269" spans="2:31" hidden="1" x14ac:dyDescent="0.25">
      <c r="B269" t="s">
        <v>786</v>
      </c>
      <c r="C269">
        <v>0</v>
      </c>
      <c r="H269">
        <v>1</v>
      </c>
      <c r="Z269">
        <v>0</v>
      </c>
      <c r="AC269">
        <v>1</v>
      </c>
    </row>
    <row r="270" spans="2:31" hidden="1" x14ac:dyDescent="0.25">
      <c r="B270" t="s">
        <v>789</v>
      </c>
      <c r="C270">
        <v>0</v>
      </c>
      <c r="H270">
        <v>1</v>
      </c>
      <c r="Z270">
        <v>0</v>
      </c>
      <c r="AC270">
        <v>1</v>
      </c>
    </row>
    <row r="271" spans="2:31" hidden="1" x14ac:dyDescent="0.25">
      <c r="B271" t="s">
        <v>792</v>
      </c>
      <c r="C271">
        <v>0</v>
      </c>
      <c r="AB271" t="s">
        <v>3839</v>
      </c>
      <c r="AC271">
        <v>1</v>
      </c>
    </row>
    <row r="272" spans="2:31" hidden="1" x14ac:dyDescent="0.25">
      <c r="B272" t="s">
        <v>796</v>
      </c>
      <c r="C272">
        <v>0</v>
      </c>
      <c r="AB272" t="s">
        <v>3839</v>
      </c>
      <c r="AC272">
        <v>1</v>
      </c>
    </row>
    <row r="273" spans="2:29" hidden="1" x14ac:dyDescent="0.25">
      <c r="B273" t="s">
        <v>797</v>
      </c>
      <c r="C273">
        <v>0</v>
      </c>
      <c r="AB273" t="s">
        <v>3839</v>
      </c>
      <c r="AC273">
        <v>1</v>
      </c>
    </row>
    <row r="274" spans="2:29" hidden="1" x14ac:dyDescent="0.25">
      <c r="B274" t="s">
        <v>798</v>
      </c>
      <c r="C274">
        <v>0</v>
      </c>
      <c r="AB274" t="s">
        <v>3839</v>
      </c>
      <c r="AC274">
        <v>1</v>
      </c>
    </row>
    <row r="275" spans="2:29" hidden="1" x14ac:dyDescent="0.25">
      <c r="B275" t="s">
        <v>801</v>
      </c>
      <c r="C275">
        <v>0</v>
      </c>
      <c r="AB275" t="s">
        <v>3839</v>
      </c>
      <c r="AC275">
        <v>1</v>
      </c>
    </row>
    <row r="276" spans="2:29" hidden="1" x14ac:dyDescent="0.25">
      <c r="B276" t="s">
        <v>802</v>
      </c>
      <c r="C276">
        <v>0</v>
      </c>
      <c r="AB276" t="s">
        <v>3839</v>
      </c>
      <c r="AC276">
        <v>1</v>
      </c>
    </row>
    <row r="277" spans="2:29" hidden="1" x14ac:dyDescent="0.25">
      <c r="B277" t="s">
        <v>805</v>
      </c>
      <c r="C277">
        <v>0</v>
      </c>
      <c r="AB277" t="s">
        <v>3839</v>
      </c>
      <c r="AC277">
        <v>1</v>
      </c>
    </row>
    <row r="278" spans="2:29" hidden="1" x14ac:dyDescent="0.25">
      <c r="B278" t="s">
        <v>808</v>
      </c>
      <c r="C278">
        <v>0</v>
      </c>
      <c r="AB278" t="s">
        <v>3839</v>
      </c>
      <c r="AC278">
        <v>1</v>
      </c>
    </row>
    <row r="279" spans="2:29" hidden="1" x14ac:dyDescent="0.25">
      <c r="B279" t="s">
        <v>813</v>
      </c>
      <c r="C279">
        <v>0</v>
      </c>
      <c r="AB279" t="s">
        <v>3839</v>
      </c>
      <c r="AC279">
        <v>1</v>
      </c>
    </row>
    <row r="280" spans="2:29" hidden="1" x14ac:dyDescent="0.25">
      <c r="B280" t="s">
        <v>814</v>
      </c>
      <c r="C280">
        <v>0</v>
      </c>
      <c r="AB280" t="s">
        <v>3839</v>
      </c>
      <c r="AC280">
        <v>1</v>
      </c>
    </row>
    <row r="281" spans="2:29" hidden="1" x14ac:dyDescent="0.25">
      <c r="B281" t="s">
        <v>815</v>
      </c>
      <c r="C281">
        <v>0</v>
      </c>
      <c r="AB281" t="s">
        <v>3839</v>
      </c>
      <c r="AC281">
        <v>1</v>
      </c>
    </row>
    <row r="282" spans="2:29" hidden="1" x14ac:dyDescent="0.25">
      <c r="B282" t="s">
        <v>816</v>
      </c>
      <c r="C282">
        <v>0</v>
      </c>
      <c r="AB282" t="s">
        <v>3839</v>
      </c>
      <c r="AC282">
        <v>1</v>
      </c>
    </row>
    <row r="283" spans="2:29" hidden="1" x14ac:dyDescent="0.25">
      <c r="B283" t="s">
        <v>817</v>
      </c>
      <c r="C283">
        <v>0</v>
      </c>
      <c r="AB283" t="s">
        <v>3839</v>
      </c>
      <c r="AC283">
        <v>1</v>
      </c>
    </row>
    <row r="284" spans="2:29" hidden="1" x14ac:dyDescent="0.25">
      <c r="B284" t="s">
        <v>820</v>
      </c>
      <c r="C284">
        <v>0</v>
      </c>
      <c r="AB284" t="s">
        <v>3839</v>
      </c>
      <c r="AC284">
        <v>1</v>
      </c>
    </row>
    <row r="285" spans="2:29" hidden="1" x14ac:dyDescent="0.25">
      <c r="B285" t="s">
        <v>823</v>
      </c>
      <c r="C285">
        <v>0</v>
      </c>
      <c r="AB285" t="s">
        <v>3839</v>
      </c>
      <c r="AC285">
        <v>1</v>
      </c>
    </row>
    <row r="286" spans="2:29" hidden="1" x14ac:dyDescent="0.25">
      <c r="B286" t="s">
        <v>826</v>
      </c>
      <c r="C286">
        <v>0</v>
      </c>
      <c r="AB286" t="s">
        <v>3839</v>
      </c>
      <c r="AC286">
        <v>1</v>
      </c>
    </row>
    <row r="287" spans="2:29" hidden="1" x14ac:dyDescent="0.25">
      <c r="B287" t="s">
        <v>830</v>
      </c>
      <c r="C287">
        <v>0</v>
      </c>
      <c r="AB287" t="s">
        <v>3839</v>
      </c>
      <c r="AC287">
        <v>1</v>
      </c>
    </row>
    <row r="288" spans="2:29" hidden="1" x14ac:dyDescent="0.25">
      <c r="B288" t="s">
        <v>833</v>
      </c>
      <c r="C288">
        <v>0</v>
      </c>
      <c r="AB288" t="s">
        <v>3839</v>
      </c>
      <c r="AC288">
        <v>1</v>
      </c>
    </row>
    <row r="289" spans="2:31" hidden="1" x14ac:dyDescent="0.25">
      <c r="B289" t="s">
        <v>837</v>
      </c>
      <c r="C289">
        <v>0</v>
      </c>
      <c r="AB289" t="s">
        <v>3839</v>
      </c>
      <c r="AC289">
        <v>1</v>
      </c>
    </row>
    <row r="290" spans="2:31" hidden="1" x14ac:dyDescent="0.25">
      <c r="B290" t="s">
        <v>840</v>
      </c>
      <c r="C290">
        <v>0</v>
      </c>
      <c r="AB290" t="s">
        <v>3839</v>
      </c>
      <c r="AC290">
        <v>1</v>
      </c>
    </row>
    <row r="291" spans="2:31" hidden="1" x14ac:dyDescent="0.25">
      <c r="B291" t="s">
        <v>843</v>
      </c>
      <c r="C291">
        <v>0</v>
      </c>
      <c r="AB291" t="s">
        <v>3839</v>
      </c>
      <c r="AC291">
        <v>1</v>
      </c>
    </row>
    <row r="292" spans="2:31" hidden="1" x14ac:dyDescent="0.25">
      <c r="B292" t="s">
        <v>846</v>
      </c>
      <c r="C292">
        <v>0</v>
      </c>
      <c r="AB292" t="s">
        <v>3839</v>
      </c>
      <c r="AC292">
        <v>1</v>
      </c>
    </row>
    <row r="293" spans="2:31" hidden="1" x14ac:dyDescent="0.25">
      <c r="B293" t="s">
        <v>849</v>
      </c>
      <c r="C293">
        <v>0</v>
      </c>
      <c r="AB293" t="s">
        <v>3839</v>
      </c>
      <c r="AC293">
        <v>1</v>
      </c>
    </row>
    <row r="294" spans="2:31" hidden="1" x14ac:dyDescent="0.25">
      <c r="B294" t="s">
        <v>852</v>
      </c>
      <c r="C294">
        <v>0</v>
      </c>
      <c r="AB294" t="s">
        <v>3839</v>
      </c>
      <c r="AC294">
        <v>1</v>
      </c>
    </row>
    <row r="295" spans="2:31" hidden="1" x14ac:dyDescent="0.25">
      <c r="B295" t="s">
        <v>855</v>
      </c>
      <c r="C295">
        <v>0</v>
      </c>
      <c r="H295">
        <v>0</v>
      </c>
      <c r="AB295" t="s">
        <v>3830</v>
      </c>
      <c r="AC295">
        <v>1</v>
      </c>
    </row>
    <row r="296" spans="2:31" hidden="1" x14ac:dyDescent="0.25">
      <c r="B296" t="s">
        <v>858</v>
      </c>
      <c r="C296">
        <v>0</v>
      </c>
      <c r="AB296" t="s">
        <v>3787</v>
      </c>
      <c r="AC296">
        <v>1</v>
      </c>
    </row>
    <row r="297" spans="2:31" hidden="1" x14ac:dyDescent="0.25">
      <c r="B297" t="s">
        <v>861</v>
      </c>
      <c r="C297">
        <v>0</v>
      </c>
      <c r="AB297" t="s">
        <v>3787</v>
      </c>
      <c r="AC297">
        <v>1</v>
      </c>
    </row>
    <row r="298" spans="2:31" x14ac:dyDescent="0.25">
      <c r="B298" t="s">
        <v>864</v>
      </c>
      <c r="C298">
        <v>1</v>
      </c>
      <c r="D298">
        <v>2016</v>
      </c>
      <c r="E298" t="s">
        <v>3832</v>
      </c>
      <c r="F298">
        <v>2022</v>
      </c>
      <c r="G298" s="2">
        <v>44562</v>
      </c>
      <c r="H298">
        <v>0.54</v>
      </c>
      <c r="I298">
        <v>23.79</v>
      </c>
      <c r="J298">
        <v>6.15</v>
      </c>
      <c r="K298">
        <v>8.92</v>
      </c>
      <c r="L298">
        <v>2.0099999999999998</v>
      </c>
      <c r="N298">
        <v>13.02</v>
      </c>
      <c r="O298">
        <v>69.86</v>
      </c>
      <c r="P298">
        <v>88</v>
      </c>
      <c r="R298">
        <v>9213.89</v>
      </c>
      <c r="S298">
        <v>95619.51</v>
      </c>
      <c r="T298">
        <v>995100.21</v>
      </c>
      <c r="W298" t="s">
        <v>3833</v>
      </c>
      <c r="X298" t="s">
        <v>3603</v>
      </c>
      <c r="Y298">
        <v>108</v>
      </c>
      <c r="Z298">
        <v>0.46</v>
      </c>
      <c r="AA298" s="2">
        <v>42491</v>
      </c>
      <c r="AB298" t="s">
        <v>3604</v>
      </c>
      <c r="AC298">
        <v>1</v>
      </c>
    </row>
    <row r="299" spans="2:31" x14ac:dyDescent="0.25">
      <c r="B299" t="s">
        <v>865</v>
      </c>
      <c r="C299">
        <v>1</v>
      </c>
      <c r="D299">
        <v>2016</v>
      </c>
      <c r="E299" t="s">
        <v>3705</v>
      </c>
      <c r="F299">
        <v>2025</v>
      </c>
      <c r="G299" s="2">
        <v>45742</v>
      </c>
      <c r="H299">
        <v>0.42249999999999999</v>
      </c>
      <c r="I299">
        <v>20.72</v>
      </c>
      <c r="J299">
        <v>6.53</v>
      </c>
      <c r="K299">
        <v>8.98</v>
      </c>
      <c r="L299">
        <v>2.4300000000000002</v>
      </c>
      <c r="N299">
        <v>6.21</v>
      </c>
      <c r="O299">
        <v>2.77</v>
      </c>
      <c r="P299">
        <v>54</v>
      </c>
      <c r="R299">
        <v>9.3000000000000007</v>
      </c>
      <c r="S299">
        <v>5.32</v>
      </c>
      <c r="T299">
        <v>558.1</v>
      </c>
      <c r="W299" t="s">
        <v>3706</v>
      </c>
      <c r="X299" t="s">
        <v>3603</v>
      </c>
      <c r="Y299">
        <v>187</v>
      </c>
      <c r="Z299">
        <v>0.57750000000000001</v>
      </c>
      <c r="AA299" s="2">
        <v>42491</v>
      </c>
      <c r="AB299" t="s">
        <v>3604</v>
      </c>
      <c r="AC299">
        <v>1</v>
      </c>
      <c r="AD299" t="s">
        <v>3605</v>
      </c>
      <c r="AE299" s="3">
        <v>45994.037509884307</v>
      </c>
    </row>
    <row r="300" spans="2:31" x14ac:dyDescent="0.25">
      <c r="B300" t="s">
        <v>866</v>
      </c>
      <c r="C300">
        <v>1</v>
      </c>
      <c r="D300">
        <v>2016</v>
      </c>
      <c r="E300" t="s">
        <v>3705</v>
      </c>
      <c r="F300">
        <v>2025</v>
      </c>
      <c r="G300" s="2">
        <v>45727</v>
      </c>
      <c r="H300">
        <v>0.87770000000000004</v>
      </c>
      <c r="I300">
        <v>33.68</v>
      </c>
      <c r="J300">
        <v>6.81</v>
      </c>
      <c r="K300">
        <v>8.08</v>
      </c>
      <c r="L300">
        <v>2.64</v>
      </c>
      <c r="N300">
        <v>8.57</v>
      </c>
      <c r="O300">
        <v>2.0099999999999998</v>
      </c>
      <c r="P300">
        <v>66</v>
      </c>
      <c r="R300">
        <v>13.02</v>
      </c>
      <c r="S300">
        <v>12.3</v>
      </c>
      <c r="T300">
        <v>2135.87</v>
      </c>
      <c r="W300" t="s">
        <v>3707</v>
      </c>
      <c r="X300" t="s">
        <v>3603</v>
      </c>
      <c r="Y300">
        <v>188</v>
      </c>
      <c r="Z300">
        <v>0.12230000000000001</v>
      </c>
      <c r="AA300" s="2">
        <v>42491</v>
      </c>
      <c r="AB300" t="s">
        <v>3604</v>
      </c>
      <c r="AC300">
        <v>1</v>
      </c>
      <c r="AD300" t="s">
        <v>3605</v>
      </c>
      <c r="AE300" s="3">
        <v>45994.037509884307</v>
      </c>
    </row>
    <row r="301" spans="2:31" hidden="1" x14ac:dyDescent="0.25">
      <c r="B301" t="s">
        <v>869</v>
      </c>
      <c r="C301">
        <v>0</v>
      </c>
      <c r="AB301" t="s">
        <v>3787</v>
      </c>
      <c r="AC301">
        <v>1</v>
      </c>
    </row>
    <row r="302" spans="2:31" x14ac:dyDescent="0.25">
      <c r="B302" t="s">
        <v>872</v>
      </c>
      <c r="C302">
        <v>1</v>
      </c>
      <c r="D302">
        <v>2016</v>
      </c>
      <c r="E302" t="s">
        <v>3705</v>
      </c>
      <c r="F302">
        <v>2025</v>
      </c>
      <c r="G302" s="2">
        <v>45720</v>
      </c>
      <c r="H302">
        <v>0</v>
      </c>
      <c r="P302">
        <v>0</v>
      </c>
      <c r="T302">
        <v>0</v>
      </c>
      <c r="W302" t="s">
        <v>3709</v>
      </c>
      <c r="X302" t="s">
        <v>3603</v>
      </c>
      <c r="Y302">
        <v>63</v>
      </c>
      <c r="Z302">
        <v>1</v>
      </c>
      <c r="AA302" s="2">
        <v>42491</v>
      </c>
      <c r="AB302" t="s">
        <v>3604</v>
      </c>
      <c r="AC302">
        <v>1</v>
      </c>
      <c r="AD302" t="s">
        <v>3605</v>
      </c>
      <c r="AE302" s="3">
        <v>45994.037509884307</v>
      </c>
    </row>
    <row r="303" spans="2:31" x14ac:dyDescent="0.25">
      <c r="B303" t="s">
        <v>875</v>
      </c>
      <c r="C303">
        <v>1</v>
      </c>
      <c r="D303">
        <v>2016</v>
      </c>
      <c r="E303" t="s">
        <v>3832</v>
      </c>
      <c r="F303">
        <v>2022</v>
      </c>
      <c r="G303" s="2">
        <v>44562</v>
      </c>
      <c r="H303">
        <v>0.91300000000000003</v>
      </c>
      <c r="I303">
        <v>15.83</v>
      </c>
      <c r="J303">
        <v>7.31</v>
      </c>
      <c r="K303">
        <v>9.89</v>
      </c>
      <c r="L303">
        <v>1.56</v>
      </c>
      <c r="N303">
        <v>2.84</v>
      </c>
      <c r="O303">
        <v>1.77</v>
      </c>
      <c r="P303">
        <v>42</v>
      </c>
      <c r="R303">
        <v>3.03</v>
      </c>
      <c r="S303">
        <v>2.5299999999999998</v>
      </c>
      <c r="T303">
        <v>127.19</v>
      </c>
      <c r="W303" t="s">
        <v>3834</v>
      </c>
      <c r="X303" t="s">
        <v>3603</v>
      </c>
      <c r="Y303">
        <v>42</v>
      </c>
      <c r="Z303">
        <v>8.6999999999999994E-2</v>
      </c>
      <c r="AA303" s="2">
        <v>42491</v>
      </c>
      <c r="AB303" t="s">
        <v>3604</v>
      </c>
      <c r="AC303">
        <v>1</v>
      </c>
    </row>
    <row r="304" spans="2:31" hidden="1" x14ac:dyDescent="0.25">
      <c r="B304" t="s">
        <v>878</v>
      </c>
      <c r="C304">
        <v>0</v>
      </c>
      <c r="AB304" t="s">
        <v>3787</v>
      </c>
      <c r="AC304">
        <v>1</v>
      </c>
    </row>
    <row r="305" spans="2:31" x14ac:dyDescent="0.25">
      <c r="B305" t="s">
        <v>881</v>
      </c>
      <c r="C305">
        <v>1</v>
      </c>
      <c r="D305">
        <v>2016</v>
      </c>
      <c r="F305">
        <v>2024</v>
      </c>
      <c r="H305">
        <v>0.1218361218361219</v>
      </c>
      <c r="J305">
        <v>4.95</v>
      </c>
      <c r="K305">
        <v>11.25</v>
      </c>
      <c r="L305">
        <v>3.28</v>
      </c>
      <c r="O305">
        <v>1.43</v>
      </c>
      <c r="P305">
        <v>9</v>
      </c>
      <c r="R305">
        <v>11.92</v>
      </c>
      <c r="S305">
        <v>10.71</v>
      </c>
      <c r="T305">
        <v>119.17</v>
      </c>
      <c r="W305" t="s">
        <v>3831</v>
      </c>
      <c r="X305" t="s">
        <v>3603</v>
      </c>
      <c r="AA305" s="2">
        <v>42491</v>
      </c>
      <c r="AB305" t="s">
        <v>3607</v>
      </c>
      <c r="AC305">
        <v>1</v>
      </c>
      <c r="AD305" t="s">
        <v>3607</v>
      </c>
      <c r="AE305" s="3">
        <v>45991.880598007949</v>
      </c>
    </row>
    <row r="306" spans="2:31" hidden="1" x14ac:dyDescent="0.25">
      <c r="B306" t="s">
        <v>884</v>
      </c>
      <c r="C306">
        <v>0</v>
      </c>
      <c r="AB306" t="s">
        <v>3787</v>
      </c>
      <c r="AC306">
        <v>1</v>
      </c>
    </row>
    <row r="307" spans="2:31" hidden="1" x14ac:dyDescent="0.25">
      <c r="B307" t="s">
        <v>887</v>
      </c>
      <c r="C307">
        <v>0</v>
      </c>
      <c r="AB307" t="s">
        <v>3787</v>
      </c>
      <c r="AC307">
        <v>1</v>
      </c>
    </row>
    <row r="308" spans="2:31" x14ac:dyDescent="0.25">
      <c r="B308" t="s">
        <v>890</v>
      </c>
      <c r="C308">
        <v>1</v>
      </c>
      <c r="D308">
        <v>2016</v>
      </c>
      <c r="E308" t="s">
        <v>3705</v>
      </c>
      <c r="F308">
        <v>2025</v>
      </c>
      <c r="G308" s="2">
        <v>45728</v>
      </c>
      <c r="H308">
        <v>0.97870000000000001</v>
      </c>
      <c r="I308">
        <v>41.33</v>
      </c>
      <c r="J308">
        <v>7.42</v>
      </c>
      <c r="K308">
        <v>16.22</v>
      </c>
      <c r="L308">
        <v>3.05</v>
      </c>
      <c r="N308">
        <v>10.24</v>
      </c>
      <c r="O308">
        <v>2.37</v>
      </c>
      <c r="P308">
        <v>7</v>
      </c>
      <c r="R308">
        <v>44.64</v>
      </c>
      <c r="S308">
        <v>26.31</v>
      </c>
      <c r="T308">
        <v>2053.34</v>
      </c>
      <c r="W308" t="s">
        <v>3721</v>
      </c>
      <c r="X308" t="s">
        <v>3603</v>
      </c>
      <c r="Y308">
        <v>47</v>
      </c>
      <c r="Z308">
        <v>2.1299999999999999E-2</v>
      </c>
      <c r="AA308" s="2">
        <v>42491</v>
      </c>
      <c r="AB308" t="s">
        <v>3604</v>
      </c>
      <c r="AC308">
        <v>1</v>
      </c>
      <c r="AD308" t="s">
        <v>3605</v>
      </c>
      <c r="AE308" s="3">
        <v>45994.037509884307</v>
      </c>
    </row>
    <row r="309" spans="2:31" hidden="1" x14ac:dyDescent="0.25">
      <c r="B309" t="s">
        <v>894</v>
      </c>
      <c r="C309">
        <v>0</v>
      </c>
      <c r="AB309" t="s">
        <v>3787</v>
      </c>
      <c r="AC309">
        <v>1</v>
      </c>
    </row>
    <row r="310" spans="2:31" hidden="1" x14ac:dyDescent="0.25">
      <c r="B310" t="s">
        <v>898</v>
      </c>
      <c r="C310">
        <v>0</v>
      </c>
      <c r="AB310" t="s">
        <v>3787</v>
      </c>
      <c r="AC310">
        <v>1</v>
      </c>
    </row>
    <row r="311" spans="2:31" hidden="1" x14ac:dyDescent="0.25">
      <c r="B311" t="s">
        <v>901</v>
      </c>
      <c r="C311">
        <v>0</v>
      </c>
      <c r="AB311" t="s">
        <v>3787</v>
      </c>
      <c r="AC311">
        <v>1</v>
      </c>
    </row>
    <row r="312" spans="2:31" hidden="1" x14ac:dyDescent="0.25">
      <c r="B312" t="s">
        <v>904</v>
      </c>
      <c r="C312">
        <v>0</v>
      </c>
      <c r="AB312" t="s">
        <v>3787</v>
      </c>
      <c r="AC312">
        <v>1</v>
      </c>
    </row>
    <row r="313" spans="2:31" hidden="1" x14ac:dyDescent="0.25">
      <c r="B313" t="s">
        <v>908</v>
      </c>
      <c r="C313">
        <v>0</v>
      </c>
      <c r="AB313" t="s">
        <v>3787</v>
      </c>
      <c r="AC313">
        <v>1</v>
      </c>
    </row>
    <row r="314" spans="2:31" hidden="1" x14ac:dyDescent="0.25">
      <c r="B314" t="s">
        <v>911</v>
      </c>
      <c r="C314">
        <v>0</v>
      </c>
      <c r="AB314" t="s">
        <v>3787</v>
      </c>
      <c r="AC314">
        <v>1</v>
      </c>
    </row>
    <row r="315" spans="2:31" hidden="1" x14ac:dyDescent="0.25">
      <c r="B315" t="s">
        <v>914</v>
      </c>
      <c r="C315">
        <v>0</v>
      </c>
      <c r="AB315" t="s">
        <v>3787</v>
      </c>
      <c r="AC315">
        <v>1</v>
      </c>
    </row>
    <row r="316" spans="2:31" x14ac:dyDescent="0.25">
      <c r="B316" t="s">
        <v>917</v>
      </c>
      <c r="C316">
        <v>1</v>
      </c>
      <c r="D316">
        <v>2018</v>
      </c>
      <c r="E316" t="s">
        <v>3712</v>
      </c>
      <c r="F316">
        <v>2025</v>
      </c>
      <c r="G316" s="2">
        <v>45714</v>
      </c>
      <c r="H316">
        <v>0.26250000000000001</v>
      </c>
      <c r="I316">
        <v>24.49</v>
      </c>
      <c r="J316">
        <v>5.66</v>
      </c>
      <c r="K316">
        <v>9.82</v>
      </c>
      <c r="L316">
        <v>1.67</v>
      </c>
      <c r="N316">
        <v>8.7100000000000009</v>
      </c>
      <c r="O316">
        <v>2.48</v>
      </c>
      <c r="P316">
        <v>22</v>
      </c>
      <c r="R316">
        <v>17.010000000000002</v>
      </c>
      <c r="S316">
        <v>21.97</v>
      </c>
      <c r="T316">
        <v>1071.79</v>
      </c>
      <c r="W316" t="s">
        <v>3713</v>
      </c>
      <c r="X316" t="s">
        <v>3603</v>
      </c>
      <c r="Y316">
        <v>240</v>
      </c>
      <c r="Z316">
        <v>0.73750000000000004</v>
      </c>
      <c r="AA316" s="2">
        <v>43221</v>
      </c>
      <c r="AB316" t="s">
        <v>3604</v>
      </c>
      <c r="AC316">
        <v>1</v>
      </c>
      <c r="AD316" t="s">
        <v>3605</v>
      </c>
      <c r="AE316" s="3">
        <v>45994.037509884307</v>
      </c>
    </row>
    <row r="317" spans="2:31" x14ac:dyDescent="0.25">
      <c r="B317" t="s">
        <v>921</v>
      </c>
      <c r="C317">
        <v>1</v>
      </c>
      <c r="D317">
        <v>2018</v>
      </c>
      <c r="E317" t="s">
        <v>3714</v>
      </c>
      <c r="F317">
        <v>2025</v>
      </c>
      <c r="G317" s="2">
        <v>45720</v>
      </c>
      <c r="H317">
        <v>1</v>
      </c>
      <c r="I317">
        <v>44.7</v>
      </c>
      <c r="J317">
        <v>17.53</v>
      </c>
      <c r="K317">
        <v>11.9</v>
      </c>
      <c r="L317">
        <v>3.97</v>
      </c>
      <c r="N317">
        <v>9.1300000000000008</v>
      </c>
      <c r="O317">
        <v>4.12</v>
      </c>
      <c r="P317">
        <v>19</v>
      </c>
      <c r="R317">
        <v>43.77</v>
      </c>
      <c r="S317">
        <v>31.46</v>
      </c>
      <c r="T317">
        <v>2495.02</v>
      </c>
      <c r="W317" t="s">
        <v>3715</v>
      </c>
      <c r="X317" t="s">
        <v>3603</v>
      </c>
      <c r="Y317">
        <v>68</v>
      </c>
      <c r="Z317">
        <v>0</v>
      </c>
      <c r="AA317" s="2">
        <v>43221</v>
      </c>
      <c r="AB317" t="s">
        <v>3604</v>
      </c>
      <c r="AC317">
        <v>1</v>
      </c>
      <c r="AD317" t="s">
        <v>3605</v>
      </c>
      <c r="AE317" s="3">
        <v>45994.037509884307</v>
      </c>
    </row>
    <row r="318" spans="2:31" x14ac:dyDescent="0.25">
      <c r="B318" t="s">
        <v>922</v>
      </c>
      <c r="C318">
        <v>1</v>
      </c>
      <c r="D318">
        <v>2018</v>
      </c>
      <c r="E318" t="s">
        <v>3714</v>
      </c>
      <c r="F318">
        <v>2025</v>
      </c>
      <c r="G318" s="2">
        <v>45722</v>
      </c>
      <c r="H318">
        <v>0.50260000000000005</v>
      </c>
      <c r="I318">
        <v>21.63</v>
      </c>
      <c r="J318">
        <v>13.62</v>
      </c>
      <c r="K318">
        <v>8.6999999999999993</v>
      </c>
      <c r="L318">
        <v>6.11</v>
      </c>
      <c r="N318">
        <v>4.5</v>
      </c>
      <c r="O318">
        <v>3.25</v>
      </c>
      <c r="P318">
        <v>81</v>
      </c>
      <c r="R318">
        <v>14.26</v>
      </c>
      <c r="S318">
        <v>16.239999999999998</v>
      </c>
      <c r="T318">
        <v>698.73</v>
      </c>
      <c r="W318" t="s">
        <v>3716</v>
      </c>
      <c r="X318" t="s">
        <v>3603</v>
      </c>
      <c r="Y318">
        <v>193</v>
      </c>
      <c r="Z318">
        <v>0.49740000000000001</v>
      </c>
      <c r="AA318" s="2">
        <v>43221</v>
      </c>
      <c r="AB318" t="s">
        <v>3604</v>
      </c>
      <c r="AC318">
        <v>1</v>
      </c>
      <c r="AD318" t="s">
        <v>3605</v>
      </c>
      <c r="AE318" s="3">
        <v>45994.037509884307</v>
      </c>
    </row>
    <row r="319" spans="2:31" x14ac:dyDescent="0.25">
      <c r="B319" t="s">
        <v>926</v>
      </c>
      <c r="C319">
        <v>1</v>
      </c>
      <c r="D319">
        <v>2018</v>
      </c>
      <c r="E319" t="s">
        <v>3835</v>
      </c>
      <c r="F319">
        <v>2021</v>
      </c>
      <c r="G319" s="2">
        <v>44197</v>
      </c>
      <c r="H319">
        <v>0.9667</v>
      </c>
      <c r="I319">
        <v>5.5</v>
      </c>
      <c r="J319">
        <v>1.61</v>
      </c>
      <c r="N319">
        <v>1.1100000000000001</v>
      </c>
      <c r="O319">
        <v>0.17</v>
      </c>
      <c r="P319">
        <v>58</v>
      </c>
      <c r="R319">
        <v>2.83</v>
      </c>
      <c r="S319">
        <v>0.7</v>
      </c>
      <c r="T319">
        <v>164.28</v>
      </c>
      <c r="W319" t="s">
        <v>3836</v>
      </c>
      <c r="X319" t="s">
        <v>3603</v>
      </c>
      <c r="Y319">
        <v>58</v>
      </c>
      <c r="Z319">
        <v>3.3300000000000003E-2</v>
      </c>
      <c r="AA319" s="2">
        <v>43221</v>
      </c>
      <c r="AB319" t="s">
        <v>3604</v>
      </c>
      <c r="AC319">
        <v>1</v>
      </c>
    </row>
    <row r="320" spans="2:31" hidden="1" x14ac:dyDescent="0.25">
      <c r="B320" t="s">
        <v>929</v>
      </c>
      <c r="C320">
        <v>0</v>
      </c>
      <c r="AB320" t="s">
        <v>3787</v>
      </c>
      <c r="AC320">
        <v>1</v>
      </c>
    </row>
    <row r="321" spans="2:31" hidden="1" x14ac:dyDescent="0.25">
      <c r="B321" t="s">
        <v>932</v>
      </c>
      <c r="C321">
        <v>0</v>
      </c>
      <c r="AB321" t="s">
        <v>3787</v>
      </c>
      <c r="AC321">
        <v>1</v>
      </c>
    </row>
    <row r="322" spans="2:31" x14ac:dyDescent="0.25">
      <c r="B322" t="s">
        <v>933</v>
      </c>
      <c r="C322">
        <v>1</v>
      </c>
      <c r="D322">
        <v>2018</v>
      </c>
      <c r="E322" t="s">
        <v>3714</v>
      </c>
      <c r="F322">
        <v>2025</v>
      </c>
      <c r="G322" s="2">
        <v>45722</v>
      </c>
      <c r="H322">
        <v>1</v>
      </c>
      <c r="I322">
        <v>23.28</v>
      </c>
      <c r="J322">
        <v>6.6</v>
      </c>
      <c r="K322">
        <v>7.86</v>
      </c>
      <c r="L322">
        <v>2.12</v>
      </c>
      <c r="N322">
        <v>4.58</v>
      </c>
      <c r="O322">
        <v>1.57</v>
      </c>
      <c r="P322">
        <v>39</v>
      </c>
      <c r="R322">
        <v>1.97</v>
      </c>
      <c r="S322">
        <v>3.33</v>
      </c>
      <c r="T322">
        <v>51.13</v>
      </c>
      <c r="W322" t="s">
        <v>3717</v>
      </c>
      <c r="X322" t="s">
        <v>3603</v>
      </c>
      <c r="Y322">
        <v>40</v>
      </c>
      <c r="Z322">
        <v>0</v>
      </c>
      <c r="AA322" s="2">
        <v>43221</v>
      </c>
      <c r="AB322" t="s">
        <v>3604</v>
      </c>
      <c r="AC322">
        <v>1</v>
      </c>
      <c r="AD322" t="s">
        <v>3605</v>
      </c>
      <c r="AE322" s="3">
        <v>45994.037509884307</v>
      </c>
    </row>
    <row r="323" spans="2:31" x14ac:dyDescent="0.25">
      <c r="B323" t="s">
        <v>936</v>
      </c>
      <c r="C323">
        <v>1</v>
      </c>
      <c r="D323">
        <v>2018</v>
      </c>
      <c r="E323" t="s">
        <v>3835</v>
      </c>
      <c r="F323">
        <v>2021</v>
      </c>
      <c r="G323" s="2">
        <v>44197</v>
      </c>
      <c r="H323">
        <v>1</v>
      </c>
      <c r="I323">
        <v>6.3</v>
      </c>
      <c r="J323">
        <v>1.3</v>
      </c>
      <c r="N323">
        <v>1.03</v>
      </c>
      <c r="O323">
        <v>0.08</v>
      </c>
      <c r="P323">
        <v>27</v>
      </c>
      <c r="R323">
        <v>3.45</v>
      </c>
      <c r="S323">
        <v>0.63</v>
      </c>
      <c r="T323">
        <v>93.06</v>
      </c>
      <c r="W323" t="s">
        <v>3837</v>
      </c>
      <c r="X323" t="s">
        <v>3603</v>
      </c>
      <c r="Y323">
        <v>27</v>
      </c>
      <c r="Z323">
        <v>0</v>
      </c>
      <c r="AA323" s="2">
        <v>43221</v>
      </c>
      <c r="AB323" t="s">
        <v>3604</v>
      </c>
      <c r="AC323">
        <v>1</v>
      </c>
    </row>
    <row r="324" spans="2:31" x14ac:dyDescent="0.25">
      <c r="B324" t="s">
        <v>939</v>
      </c>
      <c r="C324">
        <v>1</v>
      </c>
      <c r="D324">
        <v>2018</v>
      </c>
      <c r="E324" t="s">
        <v>3714</v>
      </c>
      <c r="F324">
        <v>2025</v>
      </c>
      <c r="G324" s="2">
        <v>45722</v>
      </c>
      <c r="H324">
        <v>0.87970000000000004</v>
      </c>
      <c r="I324">
        <v>22.8</v>
      </c>
      <c r="J324">
        <v>6.12</v>
      </c>
      <c r="K324">
        <v>9.5</v>
      </c>
      <c r="L324">
        <v>1.86</v>
      </c>
      <c r="N324">
        <v>5.89</v>
      </c>
      <c r="O324">
        <v>1.96</v>
      </c>
      <c r="P324">
        <v>115</v>
      </c>
      <c r="R324">
        <v>5.16</v>
      </c>
      <c r="S324">
        <v>5.86</v>
      </c>
      <c r="T324">
        <v>593.87</v>
      </c>
      <c r="W324" t="s">
        <v>3718</v>
      </c>
      <c r="X324" t="s">
        <v>3603</v>
      </c>
      <c r="Y324">
        <v>158</v>
      </c>
      <c r="Z324">
        <v>0.1203</v>
      </c>
      <c r="AA324" s="2">
        <v>43221</v>
      </c>
      <c r="AB324" t="s">
        <v>3604</v>
      </c>
      <c r="AC324">
        <v>1</v>
      </c>
      <c r="AD324" t="s">
        <v>3605</v>
      </c>
      <c r="AE324" s="3">
        <v>45994.037509884307</v>
      </c>
    </row>
    <row r="325" spans="2:31" x14ac:dyDescent="0.25">
      <c r="B325" t="s">
        <v>942</v>
      </c>
      <c r="C325">
        <v>1</v>
      </c>
      <c r="D325">
        <v>2018</v>
      </c>
      <c r="E325" t="s">
        <v>3712</v>
      </c>
      <c r="F325">
        <v>2025</v>
      </c>
      <c r="G325" s="2">
        <v>45695</v>
      </c>
      <c r="H325">
        <v>0.80559999999999998</v>
      </c>
      <c r="I325">
        <v>28.42</v>
      </c>
      <c r="J325">
        <v>7.5</v>
      </c>
      <c r="K325">
        <v>13.11</v>
      </c>
      <c r="L325">
        <v>4.58</v>
      </c>
      <c r="N325">
        <v>6.52</v>
      </c>
      <c r="O325">
        <v>2.0299999999999998</v>
      </c>
      <c r="P325">
        <v>23</v>
      </c>
      <c r="R325">
        <v>7.85</v>
      </c>
      <c r="S325">
        <v>9.75</v>
      </c>
      <c r="T325">
        <v>212.05</v>
      </c>
      <c r="W325" t="s">
        <v>3719</v>
      </c>
      <c r="X325" t="s">
        <v>3603</v>
      </c>
      <c r="Y325">
        <v>36</v>
      </c>
      <c r="Z325">
        <v>0.19439999999999999</v>
      </c>
      <c r="AA325" s="2">
        <v>43221</v>
      </c>
      <c r="AB325" t="s">
        <v>3604</v>
      </c>
      <c r="AC325">
        <v>1</v>
      </c>
      <c r="AD325" t="s">
        <v>3605</v>
      </c>
      <c r="AE325" s="3">
        <v>45994.037509884307</v>
      </c>
    </row>
    <row r="326" spans="2:31" x14ac:dyDescent="0.25">
      <c r="B326" t="s">
        <v>945</v>
      </c>
      <c r="C326">
        <v>1</v>
      </c>
      <c r="D326">
        <v>2018</v>
      </c>
      <c r="E326" t="s">
        <v>3714</v>
      </c>
      <c r="F326">
        <v>2025</v>
      </c>
      <c r="G326" s="2">
        <v>45722</v>
      </c>
      <c r="H326">
        <v>0.8851</v>
      </c>
      <c r="I326">
        <v>13.65</v>
      </c>
      <c r="J326">
        <v>9.2100000000000009</v>
      </c>
      <c r="K326">
        <v>7.73</v>
      </c>
      <c r="L326">
        <v>2.83</v>
      </c>
      <c r="N326">
        <v>2.81</v>
      </c>
      <c r="O326">
        <v>2.38</v>
      </c>
      <c r="P326">
        <v>73</v>
      </c>
      <c r="R326">
        <v>5.48</v>
      </c>
      <c r="S326">
        <v>5.79</v>
      </c>
      <c r="T326">
        <v>104.08</v>
      </c>
      <c r="W326" t="s">
        <v>3720</v>
      </c>
      <c r="X326" t="s">
        <v>3603</v>
      </c>
      <c r="Y326">
        <v>87</v>
      </c>
      <c r="Z326">
        <v>0.1149</v>
      </c>
      <c r="AA326" s="2">
        <v>43221</v>
      </c>
      <c r="AB326" t="s">
        <v>3604</v>
      </c>
      <c r="AC326">
        <v>1</v>
      </c>
      <c r="AD326" t="s">
        <v>3605</v>
      </c>
      <c r="AE326" s="3">
        <v>45994.037509884307</v>
      </c>
    </row>
    <row r="327" spans="2:31" hidden="1" x14ac:dyDescent="0.25">
      <c r="B327" t="s">
        <v>949</v>
      </c>
      <c r="C327">
        <v>0</v>
      </c>
      <c r="AB327" t="s">
        <v>3787</v>
      </c>
      <c r="AC327">
        <v>1</v>
      </c>
    </row>
    <row r="328" spans="2:31" x14ac:dyDescent="0.25">
      <c r="B328" t="s">
        <v>952</v>
      </c>
      <c r="C328">
        <v>1</v>
      </c>
      <c r="D328">
        <v>2019</v>
      </c>
      <c r="E328" t="s">
        <v>3835</v>
      </c>
      <c r="F328">
        <v>2022</v>
      </c>
      <c r="G328" s="2">
        <v>44562</v>
      </c>
      <c r="H328">
        <v>0.99070000000000003</v>
      </c>
      <c r="I328">
        <v>24.47</v>
      </c>
      <c r="J328">
        <v>10.9</v>
      </c>
      <c r="K328">
        <v>10.62</v>
      </c>
      <c r="L328">
        <v>1.55</v>
      </c>
      <c r="N328">
        <v>4.9000000000000004</v>
      </c>
      <c r="O328">
        <v>2.4</v>
      </c>
      <c r="P328">
        <v>100</v>
      </c>
      <c r="R328">
        <v>8.81</v>
      </c>
      <c r="S328">
        <v>10.95</v>
      </c>
      <c r="T328">
        <v>933.82</v>
      </c>
      <c r="W328" t="s">
        <v>3838</v>
      </c>
      <c r="X328" t="s">
        <v>3603</v>
      </c>
      <c r="Y328">
        <v>106</v>
      </c>
      <c r="Z328">
        <v>9.2999999999999992E-3</v>
      </c>
      <c r="AA328" s="2">
        <v>43586</v>
      </c>
      <c r="AB328" t="s">
        <v>3604</v>
      </c>
      <c r="AC328">
        <v>1</v>
      </c>
    </row>
    <row r="329" spans="2:31" x14ac:dyDescent="0.25">
      <c r="B329" t="s">
        <v>956</v>
      </c>
      <c r="C329">
        <v>1</v>
      </c>
      <c r="D329">
        <v>2019</v>
      </c>
      <c r="F329">
        <v>2024</v>
      </c>
      <c r="H329">
        <v>0.1521739130434783</v>
      </c>
      <c r="J329">
        <v>1.52</v>
      </c>
      <c r="O329">
        <v>0</v>
      </c>
      <c r="P329">
        <v>5</v>
      </c>
      <c r="R329">
        <v>2.02</v>
      </c>
      <c r="S329">
        <v>0.85</v>
      </c>
      <c r="T329">
        <v>10.119999999999999</v>
      </c>
      <c r="W329" t="s">
        <v>3841</v>
      </c>
      <c r="X329" t="s">
        <v>3603</v>
      </c>
      <c r="AA329" s="2">
        <v>43586</v>
      </c>
      <c r="AB329" t="s">
        <v>3607</v>
      </c>
      <c r="AC329">
        <v>1</v>
      </c>
      <c r="AD329" t="s">
        <v>3607</v>
      </c>
      <c r="AE329" s="3">
        <v>45991.880598007949</v>
      </c>
    </row>
    <row r="330" spans="2:31" hidden="1" x14ac:dyDescent="0.25">
      <c r="B330" t="s">
        <v>957</v>
      </c>
      <c r="C330">
        <v>0</v>
      </c>
      <c r="AB330" t="s">
        <v>3787</v>
      </c>
      <c r="AC330">
        <v>1</v>
      </c>
    </row>
    <row r="331" spans="2:31" hidden="1" x14ac:dyDescent="0.25">
      <c r="B331" t="s">
        <v>958</v>
      </c>
      <c r="C331">
        <v>0</v>
      </c>
      <c r="H331">
        <v>0.98399999999999987</v>
      </c>
      <c r="AB331" t="s">
        <v>3830</v>
      </c>
      <c r="AC331">
        <v>1</v>
      </c>
    </row>
    <row r="332" spans="2:31" hidden="1" x14ac:dyDescent="0.25">
      <c r="B332" t="s">
        <v>961</v>
      </c>
      <c r="C332">
        <v>0</v>
      </c>
      <c r="H332">
        <v>0.625</v>
      </c>
      <c r="AB332" t="s">
        <v>3830</v>
      </c>
      <c r="AC332">
        <v>1</v>
      </c>
    </row>
    <row r="333" spans="2:31" x14ac:dyDescent="0.25">
      <c r="B333" t="s">
        <v>965</v>
      </c>
      <c r="C333">
        <v>1</v>
      </c>
      <c r="D333">
        <v>2019</v>
      </c>
      <c r="E333" t="s">
        <v>3722</v>
      </c>
      <c r="F333">
        <v>2025</v>
      </c>
      <c r="G333" s="2">
        <v>45727</v>
      </c>
      <c r="H333">
        <v>0.97370000000000001</v>
      </c>
      <c r="I333">
        <v>33.42</v>
      </c>
      <c r="J333">
        <v>11.95</v>
      </c>
      <c r="K333">
        <v>9.42</v>
      </c>
      <c r="L333">
        <v>1.21</v>
      </c>
      <c r="N333">
        <v>7.33</v>
      </c>
      <c r="O333">
        <v>2.37</v>
      </c>
      <c r="P333">
        <v>25</v>
      </c>
      <c r="R333">
        <v>10.37</v>
      </c>
      <c r="S333">
        <v>12.31</v>
      </c>
      <c r="T333">
        <v>373.31</v>
      </c>
      <c r="W333" t="s">
        <v>3723</v>
      </c>
      <c r="X333" t="s">
        <v>3603</v>
      </c>
      <c r="Y333">
        <v>38</v>
      </c>
      <c r="Z333">
        <v>2.63E-2</v>
      </c>
      <c r="AA333" s="2">
        <v>43586</v>
      </c>
      <c r="AB333" t="s">
        <v>3604</v>
      </c>
      <c r="AC333">
        <v>1</v>
      </c>
      <c r="AD333" t="s">
        <v>3605</v>
      </c>
      <c r="AE333" s="3">
        <v>45994.037509884307</v>
      </c>
    </row>
    <row r="334" spans="2:31" x14ac:dyDescent="0.25">
      <c r="B334" t="s">
        <v>968</v>
      </c>
      <c r="C334">
        <v>1</v>
      </c>
      <c r="D334">
        <v>2019</v>
      </c>
      <c r="F334">
        <v>2024</v>
      </c>
      <c r="H334">
        <v>0.93502418363529483</v>
      </c>
      <c r="J334">
        <v>6.95</v>
      </c>
      <c r="K334">
        <v>13.17</v>
      </c>
      <c r="L334">
        <v>3.45</v>
      </c>
      <c r="O334">
        <v>1.91</v>
      </c>
      <c r="P334">
        <v>43</v>
      </c>
      <c r="R334">
        <v>5.92</v>
      </c>
      <c r="S334">
        <v>7.94</v>
      </c>
      <c r="T334">
        <v>225.1</v>
      </c>
      <c r="W334" t="s">
        <v>3708</v>
      </c>
      <c r="X334" t="s">
        <v>3603</v>
      </c>
      <c r="AA334" s="2">
        <v>43586</v>
      </c>
      <c r="AB334" t="s">
        <v>3607</v>
      </c>
      <c r="AC334">
        <v>1</v>
      </c>
      <c r="AD334" t="s">
        <v>3607</v>
      </c>
      <c r="AE334" s="3">
        <v>45992.941863407672</v>
      </c>
    </row>
    <row r="335" spans="2:31" hidden="1" x14ac:dyDescent="0.25">
      <c r="B335" t="s">
        <v>971</v>
      </c>
      <c r="C335">
        <v>0</v>
      </c>
      <c r="H335">
        <v>0.79071177226813594</v>
      </c>
      <c r="AB335" t="s">
        <v>3830</v>
      </c>
      <c r="AC335">
        <v>1</v>
      </c>
    </row>
    <row r="336" spans="2:31" x14ac:dyDescent="0.25">
      <c r="B336" t="s">
        <v>974</v>
      </c>
      <c r="C336">
        <v>1</v>
      </c>
      <c r="D336">
        <v>2019</v>
      </c>
      <c r="F336">
        <v>2024</v>
      </c>
      <c r="H336">
        <v>0.4152352481607674</v>
      </c>
      <c r="J336">
        <v>4.28</v>
      </c>
      <c r="K336">
        <v>11</v>
      </c>
      <c r="L336">
        <v>1.41</v>
      </c>
      <c r="O336">
        <v>1.1499999999999999</v>
      </c>
      <c r="P336">
        <v>98</v>
      </c>
      <c r="R336">
        <v>4.46</v>
      </c>
      <c r="S336">
        <v>2.35</v>
      </c>
      <c r="T336">
        <v>437.02</v>
      </c>
      <c r="W336" t="s">
        <v>3842</v>
      </c>
      <c r="X336" t="s">
        <v>3603</v>
      </c>
      <c r="AA336" s="2">
        <v>43586</v>
      </c>
      <c r="AB336" t="s">
        <v>3607</v>
      </c>
      <c r="AC336">
        <v>1</v>
      </c>
      <c r="AD336" t="s">
        <v>3607</v>
      </c>
      <c r="AE336" s="3">
        <v>45991.880598007949</v>
      </c>
    </row>
    <row r="337" spans="2:31" hidden="1" x14ac:dyDescent="0.25">
      <c r="B337" t="s">
        <v>975</v>
      </c>
      <c r="C337">
        <v>0</v>
      </c>
      <c r="H337">
        <v>0.97915080314732228</v>
      </c>
      <c r="AB337" t="s">
        <v>3830</v>
      </c>
      <c r="AC337">
        <v>1</v>
      </c>
    </row>
    <row r="338" spans="2:31" hidden="1" x14ac:dyDescent="0.25">
      <c r="B338" t="s">
        <v>978</v>
      </c>
      <c r="C338">
        <v>0</v>
      </c>
      <c r="AB338" t="s">
        <v>3787</v>
      </c>
      <c r="AC338">
        <v>1</v>
      </c>
    </row>
    <row r="339" spans="2:31" hidden="1" x14ac:dyDescent="0.25">
      <c r="B339" t="s">
        <v>981</v>
      </c>
      <c r="C339">
        <v>0</v>
      </c>
      <c r="H339">
        <v>0.84739022435897426</v>
      </c>
      <c r="AB339" t="s">
        <v>3830</v>
      </c>
      <c r="AC339">
        <v>1</v>
      </c>
    </row>
    <row r="340" spans="2:31" x14ac:dyDescent="0.25">
      <c r="B340" t="s">
        <v>984</v>
      </c>
      <c r="C340">
        <v>1</v>
      </c>
      <c r="D340">
        <v>2019</v>
      </c>
      <c r="E340" t="s">
        <v>3835</v>
      </c>
      <c r="F340">
        <v>2022</v>
      </c>
      <c r="G340" s="2">
        <v>44562</v>
      </c>
      <c r="H340">
        <v>0.89470000000000005</v>
      </c>
      <c r="I340">
        <v>24.29</v>
      </c>
      <c r="J340">
        <v>6.71</v>
      </c>
      <c r="K340">
        <v>9.7100000000000009</v>
      </c>
      <c r="L340">
        <v>1.33</v>
      </c>
      <c r="N340">
        <v>5.0199999999999996</v>
      </c>
      <c r="O340">
        <v>1.44</v>
      </c>
      <c r="P340">
        <v>17</v>
      </c>
      <c r="R340">
        <v>4.8499999999999996</v>
      </c>
      <c r="S340">
        <v>4.8600000000000003</v>
      </c>
      <c r="T340">
        <v>82.37</v>
      </c>
      <c r="W340" t="s">
        <v>3840</v>
      </c>
      <c r="X340" t="s">
        <v>3603</v>
      </c>
      <c r="Y340">
        <v>17</v>
      </c>
      <c r="Z340">
        <v>0.1053</v>
      </c>
      <c r="AA340" s="2">
        <v>43586</v>
      </c>
      <c r="AB340" t="s">
        <v>3604</v>
      </c>
      <c r="AC340">
        <v>1</v>
      </c>
    </row>
    <row r="341" spans="2:31" x14ac:dyDescent="0.25">
      <c r="B341" t="s">
        <v>988</v>
      </c>
      <c r="C341">
        <v>1</v>
      </c>
      <c r="D341">
        <v>2019</v>
      </c>
      <c r="F341">
        <v>2024</v>
      </c>
      <c r="H341">
        <v>0.97496103896103914</v>
      </c>
      <c r="J341">
        <v>3.53</v>
      </c>
      <c r="K341">
        <v>15.7</v>
      </c>
      <c r="L341">
        <v>3.79</v>
      </c>
      <c r="O341">
        <v>0.82</v>
      </c>
      <c r="P341">
        <v>27</v>
      </c>
      <c r="R341">
        <v>6.03</v>
      </c>
      <c r="S341">
        <v>4.1100000000000003</v>
      </c>
      <c r="T341">
        <v>162.84</v>
      </c>
      <c r="W341" t="s">
        <v>3711</v>
      </c>
      <c r="X341" t="s">
        <v>3603</v>
      </c>
      <c r="AA341" s="2">
        <v>43586</v>
      </c>
      <c r="AB341" t="s">
        <v>3607</v>
      </c>
      <c r="AC341">
        <v>1</v>
      </c>
      <c r="AD341" t="s">
        <v>3607</v>
      </c>
      <c r="AE341" s="3">
        <v>45992.941863407672</v>
      </c>
    </row>
    <row r="342" spans="2:31" hidden="1" x14ac:dyDescent="0.25">
      <c r="B342" t="s">
        <v>991</v>
      </c>
      <c r="C342">
        <v>0</v>
      </c>
      <c r="AB342" t="s">
        <v>3787</v>
      </c>
      <c r="AC342">
        <v>1</v>
      </c>
    </row>
    <row r="343" spans="2:31" hidden="1" x14ac:dyDescent="0.25">
      <c r="B343" t="s">
        <v>994</v>
      </c>
      <c r="C343">
        <v>0</v>
      </c>
      <c r="H343">
        <v>1</v>
      </c>
      <c r="AB343" t="s">
        <v>3830</v>
      </c>
      <c r="AC343">
        <v>1</v>
      </c>
    </row>
    <row r="344" spans="2:31" hidden="1" x14ac:dyDescent="0.25">
      <c r="B344" t="s">
        <v>997</v>
      </c>
      <c r="C344">
        <v>0</v>
      </c>
      <c r="AB344" t="s">
        <v>3787</v>
      </c>
      <c r="AC344">
        <v>1</v>
      </c>
    </row>
    <row r="345" spans="2:31" x14ac:dyDescent="0.25">
      <c r="B345" t="s">
        <v>1000</v>
      </c>
      <c r="C345">
        <v>1</v>
      </c>
      <c r="D345">
        <v>2019</v>
      </c>
      <c r="F345">
        <v>2024</v>
      </c>
      <c r="H345">
        <v>0.35181818181818181</v>
      </c>
      <c r="J345">
        <v>8.35</v>
      </c>
      <c r="K345">
        <v>7.77</v>
      </c>
      <c r="L345">
        <v>2.3199999999999998</v>
      </c>
      <c r="O345">
        <v>2.5</v>
      </c>
      <c r="P345">
        <v>41</v>
      </c>
      <c r="R345">
        <v>7.91</v>
      </c>
      <c r="S345">
        <v>8.49</v>
      </c>
      <c r="T345">
        <v>340.08</v>
      </c>
      <c r="W345" t="s">
        <v>3843</v>
      </c>
      <c r="X345" t="s">
        <v>3603</v>
      </c>
      <c r="AA345" s="2">
        <v>43586</v>
      </c>
      <c r="AB345" t="s">
        <v>3607</v>
      </c>
      <c r="AC345">
        <v>1</v>
      </c>
      <c r="AD345" t="s">
        <v>3607</v>
      </c>
      <c r="AE345" s="3">
        <v>45991.880598007949</v>
      </c>
    </row>
    <row r="346" spans="2:31" hidden="1" x14ac:dyDescent="0.25">
      <c r="B346" t="s">
        <v>1003</v>
      </c>
      <c r="C346">
        <v>0</v>
      </c>
      <c r="H346">
        <v>0.82499999999999996</v>
      </c>
      <c r="AB346" t="s">
        <v>3830</v>
      </c>
      <c r="AC346">
        <v>1</v>
      </c>
    </row>
    <row r="347" spans="2:31" hidden="1" x14ac:dyDescent="0.25">
      <c r="B347" t="s">
        <v>1006</v>
      </c>
      <c r="C347">
        <v>0</v>
      </c>
      <c r="AB347" t="s">
        <v>3787</v>
      </c>
      <c r="AC347">
        <v>1</v>
      </c>
    </row>
    <row r="348" spans="2:31" hidden="1" x14ac:dyDescent="0.25">
      <c r="B348" t="s">
        <v>1010</v>
      </c>
      <c r="C348">
        <v>0</v>
      </c>
      <c r="H348">
        <v>1</v>
      </c>
      <c r="AB348" t="s">
        <v>3830</v>
      </c>
      <c r="AC348">
        <v>1</v>
      </c>
    </row>
    <row r="349" spans="2:31" x14ac:dyDescent="0.25">
      <c r="B349" t="s">
        <v>1013</v>
      </c>
      <c r="C349">
        <v>1</v>
      </c>
      <c r="D349">
        <v>2020</v>
      </c>
      <c r="E349" t="s">
        <v>3650</v>
      </c>
      <c r="F349">
        <v>2025</v>
      </c>
      <c r="G349" s="2">
        <v>45693</v>
      </c>
      <c r="H349">
        <v>1</v>
      </c>
      <c r="I349">
        <v>16.93</v>
      </c>
      <c r="J349">
        <v>3.53</v>
      </c>
      <c r="K349">
        <v>10.83</v>
      </c>
      <c r="L349">
        <v>1.9</v>
      </c>
      <c r="N349">
        <v>3.48</v>
      </c>
      <c r="O349">
        <v>1.3</v>
      </c>
      <c r="P349">
        <v>42</v>
      </c>
      <c r="R349">
        <v>0.45</v>
      </c>
      <c r="S349">
        <v>0.71</v>
      </c>
      <c r="T349">
        <v>8.4600000000000009</v>
      </c>
      <c r="W349" t="s">
        <v>3766</v>
      </c>
      <c r="X349" t="s">
        <v>3603</v>
      </c>
      <c r="Y349">
        <v>42</v>
      </c>
      <c r="Z349">
        <v>0</v>
      </c>
      <c r="AA349" s="2">
        <v>43952</v>
      </c>
      <c r="AB349" t="s">
        <v>3604</v>
      </c>
      <c r="AC349">
        <v>1</v>
      </c>
      <c r="AD349" t="s">
        <v>3605</v>
      </c>
      <c r="AE349" s="3">
        <v>45994.037509884307</v>
      </c>
    </row>
    <row r="350" spans="2:31" x14ac:dyDescent="0.25">
      <c r="B350" t="s">
        <v>1016</v>
      </c>
      <c r="C350">
        <v>1</v>
      </c>
      <c r="D350">
        <v>2020</v>
      </c>
      <c r="F350">
        <v>2024</v>
      </c>
      <c r="H350">
        <v>0.96</v>
      </c>
      <c r="J350">
        <v>5.9</v>
      </c>
      <c r="K350">
        <v>11.78</v>
      </c>
      <c r="L350">
        <v>2.44</v>
      </c>
      <c r="O350">
        <v>1.98</v>
      </c>
      <c r="P350">
        <v>71</v>
      </c>
      <c r="R350">
        <v>2.17</v>
      </c>
      <c r="S350">
        <v>2.66</v>
      </c>
      <c r="T350">
        <v>73.86</v>
      </c>
      <c r="W350" t="s">
        <v>3618</v>
      </c>
      <c r="X350" t="s">
        <v>3603</v>
      </c>
      <c r="AA350" s="2">
        <v>43952</v>
      </c>
      <c r="AB350" t="s">
        <v>3607</v>
      </c>
      <c r="AC350">
        <v>1</v>
      </c>
      <c r="AD350" t="s">
        <v>3607</v>
      </c>
      <c r="AE350" s="3">
        <v>45992.941863407672</v>
      </c>
    </row>
    <row r="351" spans="2:31" x14ac:dyDescent="0.25">
      <c r="B351" t="s">
        <v>1017</v>
      </c>
      <c r="C351">
        <v>1</v>
      </c>
      <c r="D351">
        <v>2020</v>
      </c>
      <c r="F351">
        <v>2024</v>
      </c>
      <c r="H351">
        <v>0.96</v>
      </c>
      <c r="J351">
        <v>5.0999999999999996</v>
      </c>
      <c r="K351">
        <v>13.65</v>
      </c>
      <c r="L351">
        <v>2.71</v>
      </c>
      <c r="O351">
        <v>1.9</v>
      </c>
      <c r="P351">
        <v>127</v>
      </c>
      <c r="R351">
        <v>8.26</v>
      </c>
      <c r="S351">
        <v>8.76</v>
      </c>
      <c r="T351">
        <v>1081.56</v>
      </c>
      <c r="W351" t="s">
        <v>3649</v>
      </c>
      <c r="X351" t="s">
        <v>3603</v>
      </c>
      <c r="AA351" s="2">
        <v>43952</v>
      </c>
      <c r="AB351" t="s">
        <v>3607</v>
      </c>
      <c r="AC351">
        <v>1</v>
      </c>
      <c r="AD351" t="s">
        <v>3607</v>
      </c>
      <c r="AE351" s="3">
        <v>45992.941863407672</v>
      </c>
    </row>
    <row r="352" spans="2:31" hidden="1" x14ac:dyDescent="0.25">
      <c r="B352" t="s">
        <v>1020</v>
      </c>
      <c r="C352">
        <v>0</v>
      </c>
      <c r="H352">
        <v>0.98818181818181816</v>
      </c>
      <c r="AB352" t="s">
        <v>3830</v>
      </c>
      <c r="AC352">
        <v>1</v>
      </c>
    </row>
    <row r="353" spans="2:31" x14ac:dyDescent="0.25">
      <c r="B353" t="s">
        <v>1024</v>
      </c>
      <c r="C353">
        <v>1</v>
      </c>
      <c r="D353">
        <v>2020</v>
      </c>
      <c r="F353">
        <v>2024</v>
      </c>
      <c r="H353">
        <v>0.99</v>
      </c>
      <c r="J353">
        <v>3.67</v>
      </c>
      <c r="K353">
        <v>10.99</v>
      </c>
      <c r="L353">
        <v>2</v>
      </c>
      <c r="O353">
        <v>1.31</v>
      </c>
      <c r="P353">
        <v>143</v>
      </c>
      <c r="R353">
        <v>0.83</v>
      </c>
      <c r="S353">
        <v>1.22</v>
      </c>
      <c r="T353">
        <v>43.4</v>
      </c>
      <c r="W353" t="s">
        <v>3680</v>
      </c>
      <c r="X353" t="s">
        <v>3603</v>
      </c>
      <c r="AA353" s="2">
        <v>43952</v>
      </c>
      <c r="AB353" t="s">
        <v>3607</v>
      </c>
      <c r="AC353">
        <v>1</v>
      </c>
      <c r="AD353" t="s">
        <v>3607</v>
      </c>
      <c r="AE353" s="3">
        <v>45992.941863407672</v>
      </c>
    </row>
    <row r="354" spans="2:31" hidden="1" x14ac:dyDescent="0.25">
      <c r="B354" t="s">
        <v>1028</v>
      </c>
      <c r="C354">
        <v>0</v>
      </c>
      <c r="AB354" t="s">
        <v>3787</v>
      </c>
      <c r="AC354">
        <v>1</v>
      </c>
    </row>
    <row r="355" spans="2:31" hidden="1" x14ac:dyDescent="0.25">
      <c r="B355" t="s">
        <v>1031</v>
      </c>
      <c r="C355">
        <v>0</v>
      </c>
      <c r="H355">
        <v>1</v>
      </c>
      <c r="AB355" t="s">
        <v>3830</v>
      </c>
      <c r="AC355">
        <v>1</v>
      </c>
    </row>
    <row r="356" spans="2:31" x14ac:dyDescent="0.25">
      <c r="B356" t="s">
        <v>1034</v>
      </c>
      <c r="C356">
        <v>1</v>
      </c>
      <c r="D356">
        <v>2020</v>
      </c>
      <c r="E356" t="s">
        <v>3677</v>
      </c>
      <c r="F356">
        <v>2025</v>
      </c>
      <c r="G356" s="2">
        <v>45727</v>
      </c>
      <c r="H356">
        <v>0.76670000000000005</v>
      </c>
      <c r="I356">
        <v>23</v>
      </c>
      <c r="J356">
        <v>6.3</v>
      </c>
      <c r="K356">
        <v>7.71</v>
      </c>
      <c r="L356">
        <v>1.71</v>
      </c>
      <c r="N356">
        <v>5.14</v>
      </c>
      <c r="O356">
        <v>1.68</v>
      </c>
      <c r="P356">
        <v>44</v>
      </c>
      <c r="R356">
        <v>2.93</v>
      </c>
      <c r="S356">
        <v>3.05</v>
      </c>
      <c r="T356">
        <v>93.61</v>
      </c>
      <c r="W356" t="s">
        <v>3678</v>
      </c>
      <c r="X356" t="s">
        <v>3603</v>
      </c>
      <c r="Y356">
        <v>60</v>
      </c>
      <c r="Z356">
        <v>0.23330000000000001</v>
      </c>
      <c r="AA356" s="2">
        <v>43952</v>
      </c>
      <c r="AB356" t="s">
        <v>3604</v>
      </c>
      <c r="AC356">
        <v>1</v>
      </c>
      <c r="AD356" t="s">
        <v>3605</v>
      </c>
      <c r="AE356" s="3">
        <v>45994.037509884307</v>
      </c>
    </row>
    <row r="357" spans="2:31" x14ac:dyDescent="0.25">
      <c r="B357" t="s">
        <v>1035</v>
      </c>
      <c r="C357">
        <v>1</v>
      </c>
      <c r="D357">
        <v>2020</v>
      </c>
      <c r="F357">
        <v>2024</v>
      </c>
      <c r="H357">
        <v>0.41</v>
      </c>
      <c r="J357">
        <v>5.58</v>
      </c>
      <c r="K357">
        <v>12.38</v>
      </c>
      <c r="L357">
        <v>0.46</v>
      </c>
      <c r="O357">
        <v>1.24</v>
      </c>
      <c r="P357">
        <v>11</v>
      </c>
      <c r="T357">
        <v>0</v>
      </c>
      <c r="W357" t="s">
        <v>3681</v>
      </c>
      <c r="X357" t="s">
        <v>3603</v>
      </c>
      <c r="AA357" s="2">
        <v>43952</v>
      </c>
      <c r="AB357" t="s">
        <v>3607</v>
      </c>
      <c r="AC357">
        <v>1</v>
      </c>
      <c r="AD357" t="s">
        <v>3607</v>
      </c>
      <c r="AE357" s="3">
        <v>45992.941863407672</v>
      </c>
    </row>
    <row r="358" spans="2:31" hidden="1" x14ac:dyDescent="0.25">
      <c r="B358" t="s">
        <v>1036</v>
      </c>
      <c r="C358">
        <v>0</v>
      </c>
      <c r="H358">
        <v>1</v>
      </c>
      <c r="AB358" t="s">
        <v>3830</v>
      </c>
      <c r="AC358">
        <v>1</v>
      </c>
    </row>
    <row r="359" spans="2:31" x14ac:dyDescent="0.25">
      <c r="B359" t="s">
        <v>1039</v>
      </c>
      <c r="C359">
        <v>1</v>
      </c>
      <c r="D359">
        <v>2020</v>
      </c>
      <c r="F359">
        <v>2024</v>
      </c>
      <c r="H359">
        <v>0.98818181818181816</v>
      </c>
      <c r="J359">
        <v>8.6300000000000008</v>
      </c>
      <c r="K359">
        <v>11.9</v>
      </c>
      <c r="L359">
        <v>5.47</v>
      </c>
      <c r="O359">
        <v>2.5</v>
      </c>
      <c r="P359">
        <v>70</v>
      </c>
      <c r="R359">
        <v>14.62</v>
      </c>
      <c r="S359">
        <v>19.72</v>
      </c>
      <c r="T359">
        <v>745.4</v>
      </c>
      <c r="W359" t="s">
        <v>3682</v>
      </c>
      <c r="X359" t="s">
        <v>3603</v>
      </c>
      <c r="AA359" s="2">
        <v>43952</v>
      </c>
      <c r="AB359" t="s">
        <v>3607</v>
      </c>
      <c r="AC359">
        <v>1</v>
      </c>
      <c r="AD359" t="s">
        <v>3607</v>
      </c>
      <c r="AE359" s="3">
        <v>45992.941863407672</v>
      </c>
    </row>
    <row r="360" spans="2:31" hidden="1" x14ac:dyDescent="0.25">
      <c r="B360" t="s">
        <v>1043</v>
      </c>
      <c r="C360">
        <v>0</v>
      </c>
      <c r="AB360" t="s">
        <v>3787</v>
      </c>
      <c r="AC360">
        <v>1</v>
      </c>
    </row>
    <row r="361" spans="2:31" x14ac:dyDescent="0.25">
      <c r="B361" t="s">
        <v>1046</v>
      </c>
      <c r="C361">
        <v>1</v>
      </c>
      <c r="D361">
        <v>2020</v>
      </c>
      <c r="F361">
        <v>2024</v>
      </c>
      <c r="H361">
        <v>0.65</v>
      </c>
      <c r="J361">
        <v>6.15</v>
      </c>
      <c r="K361">
        <v>11.61</v>
      </c>
      <c r="L361">
        <v>3.64</v>
      </c>
      <c r="O361">
        <v>1.68</v>
      </c>
      <c r="P361">
        <v>120</v>
      </c>
      <c r="R361">
        <v>2.3199999999999998</v>
      </c>
      <c r="S361">
        <v>3.89</v>
      </c>
      <c r="T361">
        <v>120.39</v>
      </c>
      <c r="W361" t="s">
        <v>3683</v>
      </c>
      <c r="X361" t="s">
        <v>3603</v>
      </c>
      <c r="AA361" s="2">
        <v>43952</v>
      </c>
      <c r="AB361" t="s">
        <v>3607</v>
      </c>
      <c r="AC361">
        <v>1</v>
      </c>
      <c r="AD361" t="s">
        <v>3607</v>
      </c>
      <c r="AE361" s="3">
        <v>45992.941863407672</v>
      </c>
    </row>
    <row r="362" spans="2:31" x14ac:dyDescent="0.25">
      <c r="B362" t="s">
        <v>1049</v>
      </c>
      <c r="C362">
        <v>1</v>
      </c>
      <c r="D362">
        <v>2020</v>
      </c>
      <c r="F362">
        <v>2024</v>
      </c>
      <c r="H362">
        <v>0.62</v>
      </c>
      <c r="J362">
        <v>5.79</v>
      </c>
      <c r="K362">
        <v>11.92</v>
      </c>
      <c r="L362">
        <v>3.25</v>
      </c>
      <c r="O362">
        <v>2.23</v>
      </c>
      <c r="P362">
        <v>34</v>
      </c>
      <c r="R362">
        <v>8.5</v>
      </c>
      <c r="S362">
        <v>7.84</v>
      </c>
      <c r="T362">
        <v>161.58000000000001</v>
      </c>
      <c r="W362" t="s">
        <v>3684</v>
      </c>
      <c r="X362" t="s">
        <v>3603</v>
      </c>
      <c r="AA362" s="2">
        <v>43952</v>
      </c>
      <c r="AB362" t="s">
        <v>3607</v>
      </c>
      <c r="AC362">
        <v>1</v>
      </c>
      <c r="AD362" t="s">
        <v>3607</v>
      </c>
      <c r="AE362" s="3">
        <v>45992.941863407672</v>
      </c>
    </row>
    <row r="363" spans="2:31" hidden="1" x14ac:dyDescent="0.25">
      <c r="B363" t="s">
        <v>1053</v>
      </c>
      <c r="C363">
        <v>0</v>
      </c>
      <c r="H363">
        <v>1</v>
      </c>
      <c r="AB363" t="s">
        <v>3830</v>
      </c>
      <c r="AC363">
        <v>1</v>
      </c>
    </row>
    <row r="364" spans="2:31" x14ac:dyDescent="0.25">
      <c r="B364" t="s">
        <v>1056</v>
      </c>
      <c r="C364">
        <v>1</v>
      </c>
      <c r="D364">
        <v>2020</v>
      </c>
      <c r="F364">
        <v>2024</v>
      </c>
      <c r="H364">
        <v>0.78</v>
      </c>
      <c r="J364">
        <v>6.08</v>
      </c>
      <c r="K364">
        <v>12.96</v>
      </c>
      <c r="L364">
        <v>5.69</v>
      </c>
      <c r="O364">
        <v>1.37</v>
      </c>
      <c r="P364">
        <v>36</v>
      </c>
      <c r="R364">
        <v>4.43</v>
      </c>
      <c r="S364">
        <v>11.42</v>
      </c>
      <c r="T364">
        <v>48.7</v>
      </c>
      <c r="W364" t="s">
        <v>3685</v>
      </c>
      <c r="X364" t="s">
        <v>3603</v>
      </c>
      <c r="AA364" s="2">
        <v>43952</v>
      </c>
      <c r="AB364" t="s">
        <v>3607</v>
      </c>
      <c r="AC364">
        <v>1</v>
      </c>
      <c r="AD364" t="s">
        <v>3607</v>
      </c>
      <c r="AE364" s="3">
        <v>45992.941863407672</v>
      </c>
    </row>
    <row r="365" spans="2:31" x14ac:dyDescent="0.25">
      <c r="B365" t="s">
        <v>1060</v>
      </c>
      <c r="C365">
        <v>1</v>
      </c>
      <c r="D365">
        <v>2020</v>
      </c>
      <c r="E365" t="s">
        <v>3650</v>
      </c>
      <c r="F365">
        <v>2025</v>
      </c>
      <c r="G365" s="2">
        <v>45714</v>
      </c>
      <c r="H365">
        <v>1</v>
      </c>
      <c r="I365">
        <v>16.22</v>
      </c>
      <c r="J365">
        <v>5.45</v>
      </c>
      <c r="K365">
        <v>11.02</v>
      </c>
      <c r="L365">
        <v>3.23</v>
      </c>
      <c r="N365">
        <v>2.89</v>
      </c>
      <c r="O365">
        <v>2.0699999999999998</v>
      </c>
      <c r="P365">
        <v>48</v>
      </c>
      <c r="R365">
        <v>12.49</v>
      </c>
      <c r="S365">
        <v>9.65</v>
      </c>
      <c r="T365">
        <v>87.43</v>
      </c>
      <c r="W365" t="s">
        <v>3660</v>
      </c>
      <c r="X365" t="s">
        <v>3603</v>
      </c>
      <c r="Y365">
        <v>51</v>
      </c>
      <c r="Z365">
        <v>0</v>
      </c>
      <c r="AA365" s="2">
        <v>43952</v>
      </c>
      <c r="AB365" t="s">
        <v>3604</v>
      </c>
      <c r="AC365">
        <v>1</v>
      </c>
      <c r="AD365" t="s">
        <v>3605</v>
      </c>
      <c r="AE365" s="3">
        <v>45994.037509884307</v>
      </c>
    </row>
    <row r="366" spans="2:31" hidden="1" x14ac:dyDescent="0.25">
      <c r="B366" t="s">
        <v>1063</v>
      </c>
      <c r="C366">
        <v>0</v>
      </c>
      <c r="AB366" t="s">
        <v>3787</v>
      </c>
      <c r="AC366">
        <v>1</v>
      </c>
    </row>
    <row r="367" spans="2:31" x14ac:dyDescent="0.25">
      <c r="B367" t="s">
        <v>1067</v>
      </c>
      <c r="C367">
        <v>1</v>
      </c>
      <c r="D367">
        <v>2020</v>
      </c>
      <c r="F367">
        <v>2024</v>
      </c>
      <c r="H367">
        <v>0.98818181818181816</v>
      </c>
      <c r="J367">
        <v>5.48</v>
      </c>
      <c r="K367">
        <v>16.36</v>
      </c>
      <c r="L367">
        <v>4.1399999999999997</v>
      </c>
      <c r="O367">
        <v>1.47</v>
      </c>
      <c r="P367">
        <v>67</v>
      </c>
      <c r="R367">
        <v>16.16</v>
      </c>
      <c r="S367">
        <v>8.89</v>
      </c>
      <c r="T367">
        <v>1712.8</v>
      </c>
      <c r="W367" t="s">
        <v>3686</v>
      </c>
      <c r="X367" t="s">
        <v>3603</v>
      </c>
      <c r="AA367" s="2">
        <v>43952</v>
      </c>
      <c r="AB367" t="s">
        <v>3607</v>
      </c>
      <c r="AC367">
        <v>1</v>
      </c>
      <c r="AD367" t="s">
        <v>3607</v>
      </c>
      <c r="AE367" s="3">
        <v>45992.941863407672</v>
      </c>
    </row>
    <row r="368" spans="2:31" hidden="1" x14ac:dyDescent="0.25">
      <c r="B368" t="s">
        <v>1070</v>
      </c>
      <c r="C368">
        <v>0</v>
      </c>
      <c r="H368">
        <v>0.95</v>
      </c>
      <c r="AB368" t="s">
        <v>3830</v>
      </c>
      <c r="AC368">
        <v>1</v>
      </c>
    </row>
    <row r="369" spans="2:31" x14ac:dyDescent="0.25">
      <c r="B369" t="s">
        <v>1073</v>
      </c>
      <c r="C369">
        <v>1</v>
      </c>
      <c r="D369">
        <v>2020</v>
      </c>
      <c r="F369">
        <v>2024</v>
      </c>
      <c r="H369">
        <v>0.96</v>
      </c>
      <c r="J369">
        <v>5.65</v>
      </c>
      <c r="K369">
        <v>13.75</v>
      </c>
      <c r="L369">
        <v>3.12</v>
      </c>
      <c r="O369">
        <v>1.58</v>
      </c>
      <c r="P369">
        <v>37</v>
      </c>
      <c r="R369">
        <v>3.76</v>
      </c>
      <c r="S369">
        <v>3.34</v>
      </c>
      <c r="T369">
        <v>105.27</v>
      </c>
      <c r="W369" t="s">
        <v>3688</v>
      </c>
      <c r="X369" t="s">
        <v>3603</v>
      </c>
      <c r="AA369" s="2">
        <v>43952</v>
      </c>
      <c r="AB369" t="s">
        <v>3607</v>
      </c>
      <c r="AC369">
        <v>1</v>
      </c>
      <c r="AD369" t="s">
        <v>3607</v>
      </c>
      <c r="AE369" s="3">
        <v>45992.941863407672</v>
      </c>
    </row>
    <row r="370" spans="2:31" hidden="1" x14ac:dyDescent="0.25">
      <c r="B370" t="s">
        <v>1076</v>
      </c>
      <c r="C370">
        <v>0</v>
      </c>
      <c r="H370">
        <v>0.96499999999999997</v>
      </c>
      <c r="AB370" t="s">
        <v>3830</v>
      </c>
      <c r="AC370">
        <v>1</v>
      </c>
    </row>
    <row r="371" spans="2:31" x14ac:dyDescent="0.25">
      <c r="B371" t="s">
        <v>1079</v>
      </c>
      <c r="C371">
        <v>1</v>
      </c>
      <c r="D371">
        <v>2020</v>
      </c>
      <c r="E371" t="s">
        <v>3650</v>
      </c>
      <c r="F371">
        <v>2025</v>
      </c>
      <c r="G371" s="2">
        <v>45699</v>
      </c>
      <c r="H371">
        <v>5.8400000000000001E-2</v>
      </c>
      <c r="I371">
        <v>4.62</v>
      </c>
      <c r="J371">
        <v>3.16</v>
      </c>
      <c r="K371">
        <v>2</v>
      </c>
      <c r="N371">
        <v>0.81</v>
      </c>
      <c r="O371">
        <v>0.44</v>
      </c>
      <c r="P371">
        <v>9</v>
      </c>
      <c r="T371">
        <v>0</v>
      </c>
      <c r="W371" t="s">
        <v>3651</v>
      </c>
      <c r="X371" t="s">
        <v>3603</v>
      </c>
      <c r="Y371">
        <v>154</v>
      </c>
      <c r="Z371">
        <v>0.94159999999999999</v>
      </c>
      <c r="AA371" s="2">
        <v>43952</v>
      </c>
      <c r="AB371" t="s">
        <v>3604</v>
      </c>
      <c r="AC371">
        <v>1</v>
      </c>
      <c r="AD371" t="s">
        <v>3605</v>
      </c>
      <c r="AE371" s="3">
        <v>45994.037509884307</v>
      </c>
    </row>
    <row r="372" spans="2:31" x14ac:dyDescent="0.25">
      <c r="B372" t="s">
        <v>1083</v>
      </c>
      <c r="C372">
        <v>1</v>
      </c>
      <c r="D372">
        <v>2020</v>
      </c>
      <c r="F372">
        <v>2024</v>
      </c>
      <c r="H372">
        <v>0</v>
      </c>
      <c r="J372">
        <v>5.0999999999999996</v>
      </c>
      <c r="K372">
        <v>13.13</v>
      </c>
      <c r="L372">
        <v>2.42</v>
      </c>
      <c r="O372">
        <v>1.36</v>
      </c>
      <c r="P372">
        <v>83</v>
      </c>
      <c r="R372">
        <v>1.01</v>
      </c>
      <c r="S372">
        <v>0.87</v>
      </c>
      <c r="T372">
        <v>8.06</v>
      </c>
      <c r="W372" t="s">
        <v>3696</v>
      </c>
      <c r="X372" t="s">
        <v>3603</v>
      </c>
      <c r="AA372" s="2">
        <v>43952</v>
      </c>
      <c r="AB372" t="s">
        <v>3607</v>
      </c>
      <c r="AC372">
        <v>1</v>
      </c>
      <c r="AD372" t="s">
        <v>3607</v>
      </c>
      <c r="AE372" s="3">
        <v>45992.941863407672</v>
      </c>
    </row>
    <row r="373" spans="2:31" hidden="1" x14ac:dyDescent="0.25">
      <c r="B373" t="s">
        <v>1086</v>
      </c>
      <c r="C373">
        <v>0</v>
      </c>
      <c r="H373">
        <v>1</v>
      </c>
      <c r="AB373" t="s">
        <v>3830</v>
      </c>
      <c r="AC373">
        <v>1</v>
      </c>
    </row>
    <row r="374" spans="2:31" hidden="1" x14ac:dyDescent="0.25">
      <c r="B374" t="s">
        <v>1089</v>
      </c>
      <c r="C374">
        <v>0</v>
      </c>
      <c r="H374">
        <v>1</v>
      </c>
      <c r="AB374" t="s">
        <v>3830</v>
      </c>
      <c r="AC374">
        <v>1</v>
      </c>
    </row>
    <row r="375" spans="2:31" x14ac:dyDescent="0.25">
      <c r="B375" t="s">
        <v>1092</v>
      </c>
      <c r="C375">
        <v>1</v>
      </c>
      <c r="D375">
        <v>2020</v>
      </c>
      <c r="F375">
        <v>2024</v>
      </c>
      <c r="H375">
        <v>0.2</v>
      </c>
      <c r="J375">
        <v>5.53</v>
      </c>
      <c r="K375">
        <v>11.45</v>
      </c>
      <c r="L375">
        <v>5.27</v>
      </c>
      <c r="O375">
        <v>1.44</v>
      </c>
      <c r="P375">
        <v>18</v>
      </c>
      <c r="R375">
        <v>2.92</v>
      </c>
      <c r="S375">
        <v>3.87</v>
      </c>
      <c r="T375">
        <v>5.84</v>
      </c>
      <c r="W375" t="s">
        <v>3689</v>
      </c>
      <c r="X375" t="s">
        <v>3603</v>
      </c>
      <c r="AA375" s="2">
        <v>43952</v>
      </c>
      <c r="AB375" t="s">
        <v>3605</v>
      </c>
      <c r="AC375">
        <v>1</v>
      </c>
      <c r="AD375" t="s">
        <v>3605</v>
      </c>
      <c r="AE375" s="3">
        <v>45992.941863407672</v>
      </c>
    </row>
    <row r="376" spans="2:31" x14ac:dyDescent="0.25">
      <c r="B376" t="s">
        <v>1095</v>
      </c>
      <c r="C376">
        <v>1</v>
      </c>
      <c r="D376">
        <v>2020</v>
      </c>
      <c r="F376">
        <v>2024</v>
      </c>
      <c r="H376">
        <v>0.98</v>
      </c>
      <c r="J376">
        <v>10.39</v>
      </c>
      <c r="K376">
        <v>15.87</v>
      </c>
      <c r="L376">
        <v>4.8899999999999997</v>
      </c>
      <c r="O376">
        <v>3.14</v>
      </c>
      <c r="P376">
        <v>244</v>
      </c>
      <c r="R376">
        <v>19.23</v>
      </c>
      <c r="S376">
        <v>15.2</v>
      </c>
      <c r="T376">
        <v>4076.4</v>
      </c>
      <c r="W376" t="s">
        <v>3690</v>
      </c>
      <c r="X376" t="s">
        <v>3603</v>
      </c>
      <c r="AA376" s="2">
        <v>43952</v>
      </c>
      <c r="AB376" t="s">
        <v>3607</v>
      </c>
      <c r="AC376">
        <v>1</v>
      </c>
      <c r="AD376" t="s">
        <v>3607</v>
      </c>
      <c r="AE376" s="3">
        <v>45992.941863407672</v>
      </c>
    </row>
    <row r="377" spans="2:31" x14ac:dyDescent="0.25">
      <c r="B377" t="s">
        <v>1098</v>
      </c>
      <c r="C377">
        <v>1</v>
      </c>
      <c r="D377">
        <v>2020</v>
      </c>
      <c r="F377">
        <v>2024</v>
      </c>
      <c r="H377">
        <v>0.98</v>
      </c>
      <c r="J377">
        <v>6.29</v>
      </c>
      <c r="K377">
        <v>15.85</v>
      </c>
      <c r="L377">
        <v>3.33</v>
      </c>
      <c r="O377">
        <v>1.67</v>
      </c>
      <c r="P377">
        <v>152</v>
      </c>
      <c r="R377">
        <v>2.63</v>
      </c>
      <c r="S377">
        <v>4.07</v>
      </c>
      <c r="T377">
        <v>226.49</v>
      </c>
      <c r="W377" t="s">
        <v>3691</v>
      </c>
      <c r="X377" t="s">
        <v>3603</v>
      </c>
      <c r="AA377" s="2">
        <v>43952</v>
      </c>
      <c r="AB377" t="s">
        <v>3607</v>
      </c>
      <c r="AC377">
        <v>1</v>
      </c>
      <c r="AD377" t="s">
        <v>3607</v>
      </c>
      <c r="AE377" s="3">
        <v>45992.941863407672</v>
      </c>
    </row>
    <row r="378" spans="2:31" hidden="1" x14ac:dyDescent="0.25">
      <c r="B378" t="s">
        <v>1101</v>
      </c>
      <c r="C378">
        <v>0</v>
      </c>
      <c r="H378">
        <v>0.82499999999999996</v>
      </c>
      <c r="AB378" t="s">
        <v>3830</v>
      </c>
      <c r="AC378">
        <v>1</v>
      </c>
    </row>
    <row r="379" spans="2:31" hidden="1" x14ac:dyDescent="0.25">
      <c r="B379" t="s">
        <v>1104</v>
      </c>
      <c r="C379">
        <v>0</v>
      </c>
      <c r="H379">
        <v>0.82499999999999996</v>
      </c>
      <c r="AB379" t="s">
        <v>3830</v>
      </c>
      <c r="AC379">
        <v>1</v>
      </c>
    </row>
    <row r="380" spans="2:31" x14ac:dyDescent="0.25">
      <c r="B380" t="s">
        <v>1108</v>
      </c>
      <c r="C380">
        <v>1</v>
      </c>
      <c r="D380">
        <v>2020</v>
      </c>
      <c r="F380">
        <v>2024</v>
      </c>
      <c r="H380">
        <v>0.93</v>
      </c>
      <c r="J380">
        <v>5.42</v>
      </c>
      <c r="K380">
        <v>16.34</v>
      </c>
      <c r="L380">
        <v>2.93</v>
      </c>
      <c r="O380">
        <v>2.04</v>
      </c>
      <c r="P380">
        <v>24</v>
      </c>
      <c r="R380">
        <v>9.01</v>
      </c>
      <c r="S380">
        <v>12.35</v>
      </c>
      <c r="T380">
        <v>234.35</v>
      </c>
      <c r="W380" t="s">
        <v>3692</v>
      </c>
      <c r="X380" t="s">
        <v>3603</v>
      </c>
      <c r="AA380" s="2">
        <v>43952</v>
      </c>
      <c r="AB380" t="s">
        <v>3607</v>
      </c>
      <c r="AC380">
        <v>1</v>
      </c>
      <c r="AD380" t="s">
        <v>3607</v>
      </c>
      <c r="AE380" s="3">
        <v>45992.941863407672</v>
      </c>
    </row>
    <row r="381" spans="2:31" x14ac:dyDescent="0.25">
      <c r="B381" t="s">
        <v>1109</v>
      </c>
      <c r="C381">
        <v>1</v>
      </c>
      <c r="D381">
        <v>2020</v>
      </c>
      <c r="F381">
        <v>2024</v>
      </c>
      <c r="H381">
        <v>0.91</v>
      </c>
      <c r="J381">
        <v>5.05</v>
      </c>
      <c r="K381">
        <v>11.73</v>
      </c>
      <c r="L381">
        <v>2.81</v>
      </c>
      <c r="O381">
        <v>1.66</v>
      </c>
      <c r="P381">
        <v>93</v>
      </c>
      <c r="R381">
        <v>3.14</v>
      </c>
      <c r="S381">
        <v>4.2300000000000004</v>
      </c>
      <c r="T381">
        <v>134.93</v>
      </c>
      <c r="W381" t="s">
        <v>3693</v>
      </c>
      <c r="X381" t="s">
        <v>3603</v>
      </c>
      <c r="AA381" s="2">
        <v>43952</v>
      </c>
      <c r="AB381" t="s">
        <v>3607</v>
      </c>
      <c r="AC381">
        <v>1</v>
      </c>
      <c r="AD381" t="s">
        <v>3607</v>
      </c>
      <c r="AE381" s="3">
        <v>45992.941863407672</v>
      </c>
    </row>
    <row r="382" spans="2:31" hidden="1" x14ac:dyDescent="0.25">
      <c r="B382" t="s">
        <v>1110</v>
      </c>
      <c r="C382">
        <v>0</v>
      </c>
      <c r="AB382" t="s">
        <v>3787</v>
      </c>
      <c r="AC382">
        <v>1</v>
      </c>
    </row>
    <row r="383" spans="2:31" hidden="1" x14ac:dyDescent="0.25">
      <c r="B383" t="s">
        <v>1113</v>
      </c>
      <c r="C383">
        <v>0</v>
      </c>
      <c r="AB383" t="s">
        <v>3787</v>
      </c>
      <c r="AC383">
        <v>1</v>
      </c>
    </row>
    <row r="384" spans="2:31" x14ac:dyDescent="0.25">
      <c r="B384" t="s">
        <v>1117</v>
      </c>
      <c r="C384">
        <v>1</v>
      </c>
      <c r="D384">
        <v>2021</v>
      </c>
      <c r="E384" t="s">
        <v>3845</v>
      </c>
      <c r="F384">
        <v>2021</v>
      </c>
      <c r="G384" s="2">
        <v>44197</v>
      </c>
      <c r="H384">
        <v>0.73769999999999991</v>
      </c>
      <c r="I384">
        <v>3.8</v>
      </c>
      <c r="J384">
        <v>1.81</v>
      </c>
      <c r="P384">
        <v>0</v>
      </c>
      <c r="T384">
        <v>0</v>
      </c>
      <c r="W384" t="s">
        <v>3846</v>
      </c>
      <c r="X384" t="s">
        <v>3603</v>
      </c>
      <c r="Y384">
        <v>122</v>
      </c>
      <c r="Z384">
        <v>26.23</v>
      </c>
      <c r="AA384" s="2">
        <v>44317</v>
      </c>
      <c r="AB384" t="s">
        <v>3604</v>
      </c>
      <c r="AC384">
        <v>1</v>
      </c>
    </row>
    <row r="385" spans="2:31" x14ac:dyDescent="0.25">
      <c r="B385" t="s">
        <v>1121</v>
      </c>
      <c r="C385">
        <v>1</v>
      </c>
      <c r="D385">
        <v>2021</v>
      </c>
      <c r="E385" t="s">
        <v>3655</v>
      </c>
      <c r="F385">
        <v>2025</v>
      </c>
      <c r="G385" s="2">
        <v>45686</v>
      </c>
      <c r="H385">
        <v>0.97319999999999995</v>
      </c>
      <c r="I385">
        <v>15.49</v>
      </c>
      <c r="J385">
        <v>7.04</v>
      </c>
      <c r="K385">
        <v>8.24</v>
      </c>
      <c r="L385">
        <v>2.08</v>
      </c>
      <c r="N385">
        <v>3.07</v>
      </c>
      <c r="O385">
        <v>1.82</v>
      </c>
      <c r="P385">
        <v>108</v>
      </c>
      <c r="R385">
        <v>2.02</v>
      </c>
      <c r="S385">
        <v>3.23</v>
      </c>
      <c r="T385">
        <v>68.77</v>
      </c>
      <c r="W385" t="s">
        <v>3770</v>
      </c>
      <c r="X385" t="s">
        <v>3603</v>
      </c>
      <c r="Y385">
        <v>112</v>
      </c>
      <c r="Z385">
        <v>2.6800000000000001E-2</v>
      </c>
      <c r="AA385" s="2">
        <v>44317</v>
      </c>
      <c r="AB385" t="s">
        <v>3604</v>
      </c>
      <c r="AC385">
        <v>1</v>
      </c>
      <c r="AD385" t="s">
        <v>3605</v>
      </c>
      <c r="AE385" s="3">
        <v>45994.037509884307</v>
      </c>
    </row>
    <row r="386" spans="2:31" x14ac:dyDescent="0.25">
      <c r="B386" t="s">
        <v>1124</v>
      </c>
      <c r="C386">
        <v>1</v>
      </c>
      <c r="D386">
        <v>2021</v>
      </c>
      <c r="E386" t="s">
        <v>3652</v>
      </c>
      <c r="F386">
        <v>2025</v>
      </c>
      <c r="G386" s="2">
        <v>45693</v>
      </c>
      <c r="H386">
        <v>0.69140000000000001</v>
      </c>
      <c r="I386">
        <v>12.79</v>
      </c>
      <c r="J386">
        <v>3.88</v>
      </c>
      <c r="K386">
        <v>9.1199999999999992</v>
      </c>
      <c r="L386">
        <v>3.14</v>
      </c>
      <c r="N386">
        <v>2.04</v>
      </c>
      <c r="O386">
        <v>0.59</v>
      </c>
      <c r="P386">
        <v>55</v>
      </c>
      <c r="T386">
        <v>0</v>
      </c>
      <c r="W386" t="s">
        <v>3773</v>
      </c>
      <c r="X386" t="s">
        <v>3603</v>
      </c>
      <c r="Y386">
        <v>81</v>
      </c>
      <c r="Z386">
        <v>0.30859999999999999</v>
      </c>
      <c r="AA386" s="2">
        <v>44317</v>
      </c>
      <c r="AB386" t="s">
        <v>3604</v>
      </c>
      <c r="AC386">
        <v>1</v>
      </c>
      <c r="AD386" t="s">
        <v>3605</v>
      </c>
      <c r="AE386" s="3">
        <v>45994.037509884307</v>
      </c>
    </row>
    <row r="387" spans="2:31" hidden="1" x14ac:dyDescent="0.25">
      <c r="B387" t="s">
        <v>1125</v>
      </c>
      <c r="C387">
        <v>0</v>
      </c>
      <c r="AB387" t="s">
        <v>3787</v>
      </c>
      <c r="AC387">
        <v>1</v>
      </c>
    </row>
    <row r="388" spans="2:31" x14ac:dyDescent="0.25">
      <c r="B388" t="s">
        <v>1126</v>
      </c>
      <c r="C388">
        <v>1</v>
      </c>
      <c r="D388">
        <v>2021</v>
      </c>
      <c r="F388">
        <v>2025</v>
      </c>
      <c r="H388">
        <v>0</v>
      </c>
      <c r="J388">
        <v>0.49</v>
      </c>
      <c r="P388">
        <v>0</v>
      </c>
      <c r="T388">
        <v>0</v>
      </c>
      <c r="W388" t="s">
        <v>3774</v>
      </c>
      <c r="X388" t="s">
        <v>3603</v>
      </c>
      <c r="AA388" s="2">
        <v>44317</v>
      </c>
      <c r="AB388" t="s">
        <v>3605</v>
      </c>
      <c r="AC388">
        <v>1</v>
      </c>
      <c r="AD388" t="s">
        <v>3605</v>
      </c>
      <c r="AE388" s="3">
        <v>45994.037509884307</v>
      </c>
    </row>
    <row r="389" spans="2:31" x14ac:dyDescent="0.25">
      <c r="B389" t="s">
        <v>1129</v>
      </c>
      <c r="C389">
        <v>1</v>
      </c>
      <c r="D389">
        <v>2021</v>
      </c>
      <c r="E389" t="s">
        <v>3652</v>
      </c>
      <c r="F389">
        <v>2025</v>
      </c>
      <c r="G389" s="2">
        <v>45688</v>
      </c>
      <c r="H389">
        <v>0.2475</v>
      </c>
      <c r="I389">
        <v>7.02</v>
      </c>
      <c r="J389">
        <v>7.78</v>
      </c>
      <c r="K389">
        <v>4.1500000000000004</v>
      </c>
      <c r="L389">
        <v>3.11</v>
      </c>
      <c r="N389">
        <v>1.65</v>
      </c>
      <c r="O389">
        <v>1.33</v>
      </c>
      <c r="P389">
        <v>25</v>
      </c>
      <c r="R389">
        <v>2.0099999999999998</v>
      </c>
      <c r="T389">
        <v>2.0099999999999998</v>
      </c>
      <c r="W389" t="s">
        <v>3775</v>
      </c>
      <c r="X389" t="s">
        <v>3603</v>
      </c>
      <c r="Y389">
        <v>101</v>
      </c>
      <c r="Z389">
        <v>0.75249999999999995</v>
      </c>
      <c r="AA389" s="2">
        <v>44317</v>
      </c>
      <c r="AB389" t="s">
        <v>3604</v>
      </c>
      <c r="AC389">
        <v>1</v>
      </c>
      <c r="AD389" t="s">
        <v>3605</v>
      </c>
      <c r="AE389" s="3">
        <v>45994.037509884307</v>
      </c>
    </row>
    <row r="390" spans="2:31" x14ac:dyDescent="0.25">
      <c r="B390" t="s">
        <v>1133</v>
      </c>
      <c r="C390">
        <v>1</v>
      </c>
      <c r="D390">
        <v>2021</v>
      </c>
      <c r="E390" t="s">
        <v>3652</v>
      </c>
      <c r="F390">
        <v>2025</v>
      </c>
      <c r="G390" s="2">
        <v>45693</v>
      </c>
      <c r="H390">
        <v>0.98880000000000001</v>
      </c>
      <c r="I390">
        <v>17.86</v>
      </c>
      <c r="J390">
        <v>6.27</v>
      </c>
      <c r="K390">
        <v>8.06</v>
      </c>
      <c r="L390">
        <v>2.1800000000000002</v>
      </c>
      <c r="N390">
        <v>3.63</v>
      </c>
      <c r="O390">
        <v>1.76</v>
      </c>
      <c r="P390">
        <v>87</v>
      </c>
      <c r="R390">
        <v>2.27</v>
      </c>
      <c r="S390">
        <v>3.27</v>
      </c>
      <c r="T390">
        <v>77.27</v>
      </c>
      <c r="W390" t="s">
        <v>3785</v>
      </c>
      <c r="X390" t="s">
        <v>3603</v>
      </c>
      <c r="Y390">
        <v>89</v>
      </c>
      <c r="Z390">
        <v>1.12E-2</v>
      </c>
      <c r="AA390" s="2">
        <v>44317</v>
      </c>
      <c r="AB390" t="s">
        <v>3604</v>
      </c>
      <c r="AC390">
        <v>1</v>
      </c>
      <c r="AD390" t="s">
        <v>3605</v>
      </c>
      <c r="AE390" s="3">
        <v>45994.037509884307</v>
      </c>
    </row>
    <row r="391" spans="2:31" x14ac:dyDescent="0.25">
      <c r="B391" t="s">
        <v>1136</v>
      </c>
      <c r="C391">
        <v>1</v>
      </c>
      <c r="D391">
        <v>2021</v>
      </c>
      <c r="E391" t="s">
        <v>3661</v>
      </c>
      <c r="F391">
        <v>2025</v>
      </c>
      <c r="G391" s="2">
        <v>45728</v>
      </c>
      <c r="H391">
        <v>0.51959999999999995</v>
      </c>
      <c r="I391">
        <v>4.5199999999999996</v>
      </c>
      <c r="J391">
        <v>2.68</v>
      </c>
      <c r="K391">
        <v>4</v>
      </c>
      <c r="L391">
        <v>1.85</v>
      </c>
      <c r="N391">
        <v>1.07</v>
      </c>
      <c r="O391">
        <v>0.22</v>
      </c>
      <c r="P391">
        <v>104</v>
      </c>
      <c r="T391">
        <v>0</v>
      </c>
      <c r="W391" t="s">
        <v>3781</v>
      </c>
      <c r="X391" t="s">
        <v>3603</v>
      </c>
      <c r="Y391">
        <v>204</v>
      </c>
      <c r="Z391">
        <v>0.48039999999999999</v>
      </c>
      <c r="AA391" s="2">
        <v>44317</v>
      </c>
      <c r="AB391" t="s">
        <v>3604</v>
      </c>
      <c r="AC391">
        <v>1</v>
      </c>
      <c r="AD391" t="s">
        <v>3605</v>
      </c>
      <c r="AE391" s="3">
        <v>45994.037509884307</v>
      </c>
    </row>
    <row r="392" spans="2:31" hidden="1" x14ac:dyDescent="0.25">
      <c r="B392" t="s">
        <v>1140</v>
      </c>
      <c r="C392">
        <v>0</v>
      </c>
      <c r="AB392" t="s">
        <v>3787</v>
      </c>
      <c r="AC392">
        <v>1</v>
      </c>
    </row>
    <row r="393" spans="2:31" x14ac:dyDescent="0.25">
      <c r="B393" t="s">
        <v>1144</v>
      </c>
      <c r="C393">
        <v>1</v>
      </c>
      <c r="D393">
        <v>2021</v>
      </c>
      <c r="E393" t="s">
        <v>3652</v>
      </c>
      <c r="F393">
        <v>2025</v>
      </c>
      <c r="G393" s="2">
        <v>45695</v>
      </c>
      <c r="H393">
        <v>0.29630000000000001</v>
      </c>
      <c r="I393">
        <v>13.27</v>
      </c>
      <c r="J393">
        <v>7.22</v>
      </c>
      <c r="K393">
        <v>6.19</v>
      </c>
      <c r="L393">
        <v>2.2000000000000002</v>
      </c>
      <c r="N393">
        <v>3.03</v>
      </c>
      <c r="O393">
        <v>2.35</v>
      </c>
      <c r="P393">
        <v>21</v>
      </c>
      <c r="R393">
        <v>4.6900000000000004</v>
      </c>
      <c r="S393">
        <v>4.3</v>
      </c>
      <c r="T393">
        <v>28.14</v>
      </c>
      <c r="W393" t="s">
        <v>3784</v>
      </c>
      <c r="X393" t="s">
        <v>3603</v>
      </c>
      <c r="Y393">
        <v>81</v>
      </c>
      <c r="Z393">
        <v>0.70369999999999999</v>
      </c>
      <c r="AA393" s="2">
        <v>44317</v>
      </c>
      <c r="AB393" t="s">
        <v>3604</v>
      </c>
      <c r="AC393">
        <v>1</v>
      </c>
      <c r="AD393" t="s">
        <v>3605</v>
      </c>
      <c r="AE393" s="3">
        <v>45994.037509884307</v>
      </c>
    </row>
    <row r="394" spans="2:31" x14ac:dyDescent="0.25">
      <c r="B394" t="s">
        <v>1148</v>
      </c>
      <c r="C394">
        <v>1</v>
      </c>
      <c r="D394">
        <v>2021</v>
      </c>
      <c r="E394" t="s">
        <v>3652</v>
      </c>
      <c r="F394">
        <v>2025</v>
      </c>
      <c r="G394" s="2">
        <v>45706</v>
      </c>
      <c r="H394">
        <v>0.94440000000000002</v>
      </c>
      <c r="I394">
        <v>22.59</v>
      </c>
      <c r="J394">
        <v>6.68</v>
      </c>
      <c r="K394">
        <v>11.36</v>
      </c>
      <c r="L394">
        <v>1.73</v>
      </c>
      <c r="N394">
        <v>4.3899999999999997</v>
      </c>
      <c r="O394">
        <v>1.63</v>
      </c>
      <c r="P394">
        <v>68</v>
      </c>
      <c r="R394">
        <v>2.14</v>
      </c>
      <c r="S394">
        <v>1.99</v>
      </c>
      <c r="T394">
        <v>87.87</v>
      </c>
      <c r="W394" t="s">
        <v>3768</v>
      </c>
      <c r="X394" t="s">
        <v>3603</v>
      </c>
      <c r="Y394">
        <v>72</v>
      </c>
      <c r="Z394">
        <v>5.5599999999999997E-2</v>
      </c>
      <c r="AA394" s="2">
        <v>44317</v>
      </c>
      <c r="AB394" t="s">
        <v>3604</v>
      </c>
      <c r="AC394">
        <v>1</v>
      </c>
      <c r="AD394" t="s">
        <v>3605</v>
      </c>
      <c r="AE394" s="3">
        <v>45994.037509884307</v>
      </c>
    </row>
    <row r="395" spans="2:31" x14ac:dyDescent="0.25">
      <c r="B395" t="s">
        <v>1152</v>
      </c>
      <c r="C395">
        <v>1</v>
      </c>
      <c r="D395">
        <v>2021</v>
      </c>
      <c r="E395" t="s">
        <v>3652</v>
      </c>
      <c r="F395">
        <v>2025</v>
      </c>
      <c r="G395" s="2">
        <v>45706</v>
      </c>
      <c r="H395">
        <v>0.75900000000000001</v>
      </c>
      <c r="I395">
        <v>14.53</v>
      </c>
      <c r="J395">
        <v>7.34</v>
      </c>
      <c r="K395">
        <v>9.4600000000000009</v>
      </c>
      <c r="L395">
        <v>4.01</v>
      </c>
      <c r="N395">
        <v>2.5099999999999998</v>
      </c>
      <c r="O395">
        <v>1.68</v>
      </c>
      <c r="P395">
        <v>146</v>
      </c>
      <c r="R395">
        <v>1.71</v>
      </c>
      <c r="S395">
        <v>1.75</v>
      </c>
      <c r="T395">
        <v>53.06</v>
      </c>
      <c r="W395" t="s">
        <v>3776</v>
      </c>
      <c r="X395" t="s">
        <v>3603</v>
      </c>
      <c r="Y395">
        <v>195</v>
      </c>
      <c r="Z395">
        <v>0.24099999999999999</v>
      </c>
      <c r="AA395" s="2">
        <v>44317</v>
      </c>
      <c r="AB395" t="s">
        <v>3604</v>
      </c>
      <c r="AC395">
        <v>1</v>
      </c>
      <c r="AD395" t="s">
        <v>3605</v>
      </c>
      <c r="AE395" s="3">
        <v>45994.037509884307</v>
      </c>
    </row>
    <row r="396" spans="2:31" x14ac:dyDescent="0.25">
      <c r="B396" t="s">
        <v>1156</v>
      </c>
      <c r="C396">
        <v>1</v>
      </c>
      <c r="D396">
        <v>2021</v>
      </c>
      <c r="E396" t="s">
        <v>3652</v>
      </c>
      <c r="F396">
        <v>2025</v>
      </c>
      <c r="G396" s="2">
        <v>45706</v>
      </c>
      <c r="H396">
        <v>0.8</v>
      </c>
      <c r="I396">
        <v>15.24</v>
      </c>
      <c r="J396">
        <v>3.2</v>
      </c>
      <c r="K396">
        <v>10.1</v>
      </c>
      <c r="L396">
        <v>1.53</v>
      </c>
      <c r="N396">
        <v>2.31</v>
      </c>
      <c r="O396">
        <v>0.61</v>
      </c>
      <c r="P396">
        <v>42</v>
      </c>
      <c r="T396">
        <v>0</v>
      </c>
      <c r="W396" t="s">
        <v>3767</v>
      </c>
      <c r="X396" t="s">
        <v>3603</v>
      </c>
      <c r="Y396">
        <v>55</v>
      </c>
      <c r="Z396">
        <v>0.2</v>
      </c>
      <c r="AA396" s="2">
        <v>44317</v>
      </c>
      <c r="AB396" t="s">
        <v>3604</v>
      </c>
      <c r="AC396">
        <v>1</v>
      </c>
      <c r="AD396" t="s">
        <v>3605</v>
      </c>
      <c r="AE396" s="3">
        <v>45994.037509884307</v>
      </c>
    </row>
    <row r="397" spans="2:31" x14ac:dyDescent="0.25">
      <c r="B397" t="s">
        <v>1160</v>
      </c>
      <c r="C397">
        <v>1</v>
      </c>
      <c r="D397">
        <v>2021</v>
      </c>
      <c r="E397" t="s">
        <v>3652</v>
      </c>
      <c r="F397">
        <v>2025</v>
      </c>
      <c r="G397" s="2">
        <v>45692</v>
      </c>
      <c r="H397">
        <v>0.87960000000000005</v>
      </c>
      <c r="I397">
        <v>11.98</v>
      </c>
      <c r="J397">
        <v>3.86</v>
      </c>
      <c r="K397">
        <v>7.26</v>
      </c>
      <c r="L397">
        <v>1.84</v>
      </c>
      <c r="N397">
        <v>2.0099999999999998</v>
      </c>
      <c r="O397">
        <v>0.88</v>
      </c>
      <c r="P397">
        <v>95</v>
      </c>
      <c r="R397">
        <v>0.61</v>
      </c>
      <c r="T397">
        <v>0.61</v>
      </c>
      <c r="W397" t="s">
        <v>3756</v>
      </c>
      <c r="X397" t="s">
        <v>3603</v>
      </c>
      <c r="Y397">
        <v>108</v>
      </c>
      <c r="Z397">
        <v>0.12039999999999999</v>
      </c>
      <c r="AA397" s="2">
        <v>44317</v>
      </c>
      <c r="AB397" t="s">
        <v>3604</v>
      </c>
      <c r="AC397">
        <v>1</v>
      </c>
      <c r="AD397" t="s">
        <v>3605</v>
      </c>
      <c r="AE397" s="3">
        <v>45994.037509884307</v>
      </c>
    </row>
    <row r="398" spans="2:31" x14ac:dyDescent="0.25">
      <c r="B398" t="s">
        <v>1164</v>
      </c>
      <c r="C398">
        <v>1</v>
      </c>
      <c r="D398">
        <v>2021</v>
      </c>
      <c r="E398" t="s">
        <v>3661</v>
      </c>
      <c r="F398">
        <v>2025</v>
      </c>
      <c r="G398" s="2">
        <v>45706</v>
      </c>
      <c r="H398">
        <v>0.95960000000000001</v>
      </c>
      <c r="I398">
        <v>16.05</v>
      </c>
      <c r="J398">
        <v>7.09</v>
      </c>
      <c r="K398">
        <v>11.74</v>
      </c>
      <c r="L398">
        <v>2.73</v>
      </c>
      <c r="N398">
        <v>2.69</v>
      </c>
      <c r="O398">
        <v>1.77</v>
      </c>
      <c r="P398">
        <v>95</v>
      </c>
      <c r="R398">
        <v>3.76</v>
      </c>
      <c r="S398">
        <v>2.19</v>
      </c>
      <c r="T398">
        <v>357.08</v>
      </c>
      <c r="W398" t="s">
        <v>3844</v>
      </c>
      <c r="X398" t="s">
        <v>3603</v>
      </c>
      <c r="Y398">
        <v>95</v>
      </c>
      <c r="Z398">
        <v>4.0399999999999998E-2</v>
      </c>
      <c r="AA398" s="2">
        <v>44317</v>
      </c>
      <c r="AB398" t="s">
        <v>3604</v>
      </c>
      <c r="AC398">
        <v>1</v>
      </c>
    </row>
    <row r="399" spans="2:31" hidden="1" x14ac:dyDescent="0.25">
      <c r="B399" t="s">
        <v>1167</v>
      </c>
      <c r="C399">
        <v>0</v>
      </c>
      <c r="AB399" t="s">
        <v>3787</v>
      </c>
      <c r="AC399">
        <v>1</v>
      </c>
    </row>
    <row r="400" spans="2:31" x14ac:dyDescent="0.25">
      <c r="B400" t="s">
        <v>1168</v>
      </c>
      <c r="C400">
        <v>1</v>
      </c>
      <c r="D400">
        <v>2021</v>
      </c>
      <c r="E400" t="s">
        <v>3655</v>
      </c>
      <c r="F400">
        <v>2025</v>
      </c>
      <c r="G400" s="2">
        <v>45681</v>
      </c>
      <c r="H400">
        <v>0.96230000000000004</v>
      </c>
      <c r="I400">
        <v>15.77</v>
      </c>
      <c r="J400">
        <v>5.3</v>
      </c>
      <c r="K400">
        <v>6.89</v>
      </c>
      <c r="L400">
        <v>1.69</v>
      </c>
      <c r="N400">
        <v>2.91</v>
      </c>
      <c r="O400">
        <v>1.26</v>
      </c>
      <c r="P400">
        <v>102</v>
      </c>
      <c r="R400">
        <v>1.04</v>
      </c>
      <c r="S400">
        <v>1.26</v>
      </c>
      <c r="T400">
        <v>15.64</v>
      </c>
      <c r="W400" t="s">
        <v>3749</v>
      </c>
      <c r="X400" t="s">
        <v>3603</v>
      </c>
      <c r="Y400">
        <v>106</v>
      </c>
      <c r="Z400">
        <v>3.7699999999999997E-2</v>
      </c>
      <c r="AA400" s="2">
        <v>44317</v>
      </c>
      <c r="AB400" t="s">
        <v>3604</v>
      </c>
      <c r="AC400">
        <v>1</v>
      </c>
      <c r="AD400" t="s">
        <v>3605</v>
      </c>
      <c r="AE400" s="3">
        <v>45994.037509884307</v>
      </c>
    </row>
    <row r="401" spans="2:31" hidden="1" x14ac:dyDescent="0.25">
      <c r="B401" t="s">
        <v>1171</v>
      </c>
      <c r="C401">
        <v>0</v>
      </c>
      <c r="AB401" t="s">
        <v>3787</v>
      </c>
      <c r="AC401">
        <v>1</v>
      </c>
    </row>
    <row r="402" spans="2:31" hidden="1" x14ac:dyDescent="0.25">
      <c r="B402" t="s">
        <v>1174</v>
      </c>
      <c r="C402">
        <v>0</v>
      </c>
      <c r="AB402" t="s">
        <v>3787</v>
      </c>
      <c r="AC402">
        <v>1</v>
      </c>
    </row>
    <row r="403" spans="2:31" x14ac:dyDescent="0.25">
      <c r="B403" t="s">
        <v>1175</v>
      </c>
      <c r="C403">
        <v>1</v>
      </c>
      <c r="D403">
        <v>2021</v>
      </c>
      <c r="E403" t="s">
        <v>3655</v>
      </c>
      <c r="F403">
        <v>2025</v>
      </c>
      <c r="G403" s="2">
        <v>45685</v>
      </c>
      <c r="H403">
        <v>0.87</v>
      </c>
      <c r="I403">
        <v>14.76</v>
      </c>
      <c r="J403">
        <v>7.89</v>
      </c>
      <c r="K403">
        <v>11.83</v>
      </c>
      <c r="L403">
        <v>4.33</v>
      </c>
      <c r="N403">
        <v>2.63</v>
      </c>
      <c r="O403">
        <v>1.91</v>
      </c>
      <c r="P403">
        <v>84</v>
      </c>
      <c r="R403">
        <v>10.26</v>
      </c>
      <c r="S403">
        <v>12.06</v>
      </c>
      <c r="T403">
        <v>123.14</v>
      </c>
      <c r="W403" t="s">
        <v>3751</v>
      </c>
      <c r="X403" t="s">
        <v>3603</v>
      </c>
      <c r="Y403">
        <v>100</v>
      </c>
      <c r="Z403">
        <v>0.13</v>
      </c>
      <c r="AA403" s="2">
        <v>44317</v>
      </c>
      <c r="AB403" t="s">
        <v>3604</v>
      </c>
      <c r="AC403">
        <v>1</v>
      </c>
      <c r="AD403" t="s">
        <v>3605</v>
      </c>
      <c r="AE403" s="3">
        <v>45994.037509884307</v>
      </c>
    </row>
    <row r="404" spans="2:31" x14ac:dyDescent="0.25">
      <c r="B404" t="s">
        <v>1179</v>
      </c>
      <c r="C404">
        <v>1</v>
      </c>
      <c r="D404">
        <v>2021</v>
      </c>
      <c r="F404">
        <v>2024</v>
      </c>
      <c r="H404">
        <v>0</v>
      </c>
      <c r="J404">
        <v>0.48</v>
      </c>
      <c r="P404">
        <v>0</v>
      </c>
      <c r="T404">
        <v>0</v>
      </c>
      <c r="W404" t="s">
        <v>3855</v>
      </c>
      <c r="X404" t="s">
        <v>3603</v>
      </c>
      <c r="AA404" s="2">
        <v>44317</v>
      </c>
      <c r="AB404" t="s">
        <v>3607</v>
      </c>
      <c r="AC404">
        <v>1</v>
      </c>
      <c r="AD404" t="s">
        <v>3607</v>
      </c>
      <c r="AE404" s="3">
        <v>45991.880598007949</v>
      </c>
    </row>
    <row r="405" spans="2:31" hidden="1" x14ac:dyDescent="0.25">
      <c r="B405" t="s">
        <v>1182</v>
      </c>
      <c r="C405">
        <v>0</v>
      </c>
      <c r="AB405" t="s">
        <v>3787</v>
      </c>
      <c r="AC405">
        <v>1</v>
      </c>
    </row>
    <row r="406" spans="2:31" hidden="1" x14ac:dyDescent="0.25">
      <c r="B406" t="s">
        <v>1186</v>
      </c>
      <c r="C406">
        <v>0</v>
      </c>
      <c r="H406">
        <v>1</v>
      </c>
      <c r="AB406" t="s">
        <v>3830</v>
      </c>
      <c r="AC406">
        <v>1</v>
      </c>
    </row>
    <row r="407" spans="2:31" x14ac:dyDescent="0.25">
      <c r="B407" t="s">
        <v>1190</v>
      </c>
      <c r="C407">
        <v>1</v>
      </c>
      <c r="D407">
        <v>2021</v>
      </c>
      <c r="E407" t="s">
        <v>3661</v>
      </c>
      <c r="F407">
        <v>2025</v>
      </c>
      <c r="G407" s="2">
        <v>45722</v>
      </c>
      <c r="H407">
        <v>0.90700000000000003</v>
      </c>
      <c r="I407">
        <v>11.58</v>
      </c>
      <c r="J407">
        <v>6.59</v>
      </c>
      <c r="K407">
        <v>6.3</v>
      </c>
      <c r="L407">
        <v>2.21</v>
      </c>
      <c r="N407">
        <v>2.25</v>
      </c>
      <c r="O407">
        <v>1.55</v>
      </c>
      <c r="P407">
        <v>78</v>
      </c>
      <c r="R407">
        <v>0.92</v>
      </c>
      <c r="S407">
        <v>1.08</v>
      </c>
      <c r="T407">
        <v>13.75</v>
      </c>
      <c r="W407" t="s">
        <v>3754</v>
      </c>
      <c r="X407" t="s">
        <v>3603</v>
      </c>
      <c r="Y407">
        <v>86</v>
      </c>
      <c r="Z407">
        <v>9.2999999999999999E-2</v>
      </c>
      <c r="AA407" s="2">
        <v>44317</v>
      </c>
      <c r="AB407" t="s">
        <v>3604</v>
      </c>
      <c r="AC407">
        <v>1</v>
      </c>
      <c r="AD407" t="s">
        <v>3605</v>
      </c>
      <c r="AE407" s="3">
        <v>45994.037509884307</v>
      </c>
    </row>
    <row r="408" spans="2:31" x14ac:dyDescent="0.25">
      <c r="B408" t="s">
        <v>1194</v>
      </c>
      <c r="C408">
        <v>1</v>
      </c>
      <c r="D408">
        <v>2021</v>
      </c>
      <c r="E408" t="s">
        <v>3661</v>
      </c>
      <c r="F408">
        <v>2025</v>
      </c>
      <c r="G408" s="2">
        <v>45722</v>
      </c>
      <c r="H408">
        <v>1</v>
      </c>
      <c r="I408">
        <v>29.69</v>
      </c>
      <c r="J408">
        <v>3.24</v>
      </c>
      <c r="K408">
        <v>12.61</v>
      </c>
      <c r="L408">
        <v>2.11</v>
      </c>
      <c r="N408">
        <v>6.01</v>
      </c>
      <c r="O408">
        <v>0.8</v>
      </c>
      <c r="P408">
        <v>99</v>
      </c>
      <c r="R408">
        <v>3.95</v>
      </c>
      <c r="S408">
        <v>2.91</v>
      </c>
      <c r="T408">
        <v>383.23</v>
      </c>
      <c r="W408" t="s">
        <v>3757</v>
      </c>
      <c r="X408" t="s">
        <v>3603</v>
      </c>
      <c r="Y408">
        <v>99</v>
      </c>
      <c r="Z408">
        <v>0</v>
      </c>
      <c r="AA408" s="2">
        <v>44317</v>
      </c>
      <c r="AB408" t="s">
        <v>3604</v>
      </c>
      <c r="AC408">
        <v>1</v>
      </c>
      <c r="AD408" t="s">
        <v>3605</v>
      </c>
      <c r="AE408" s="3">
        <v>45994.037509884307</v>
      </c>
    </row>
    <row r="409" spans="2:31" x14ac:dyDescent="0.25">
      <c r="B409" t="s">
        <v>1198</v>
      </c>
      <c r="C409">
        <v>1</v>
      </c>
      <c r="D409">
        <v>2021</v>
      </c>
      <c r="E409" t="s">
        <v>3652</v>
      </c>
      <c r="F409">
        <v>2025</v>
      </c>
      <c r="G409" s="2">
        <v>45691</v>
      </c>
      <c r="H409">
        <v>0.5413</v>
      </c>
      <c r="I409">
        <v>6.3</v>
      </c>
      <c r="J409">
        <v>4.18</v>
      </c>
      <c r="K409">
        <v>3.9</v>
      </c>
      <c r="L409">
        <v>1.9</v>
      </c>
      <c r="N409">
        <v>1.33</v>
      </c>
      <c r="O409">
        <v>0.55000000000000004</v>
      </c>
      <c r="P409">
        <v>59</v>
      </c>
      <c r="T409">
        <v>0</v>
      </c>
      <c r="W409" t="s">
        <v>3758</v>
      </c>
      <c r="X409" t="s">
        <v>3603</v>
      </c>
      <c r="Y409">
        <v>109</v>
      </c>
      <c r="Z409">
        <v>0.4587</v>
      </c>
      <c r="AA409" s="2">
        <v>44317</v>
      </c>
      <c r="AB409" t="s">
        <v>3604</v>
      </c>
      <c r="AC409">
        <v>1</v>
      </c>
      <c r="AD409" t="s">
        <v>3605</v>
      </c>
      <c r="AE409" s="3">
        <v>45994.037509884307</v>
      </c>
    </row>
    <row r="410" spans="2:31" x14ac:dyDescent="0.25">
      <c r="B410" t="s">
        <v>1202</v>
      </c>
      <c r="C410">
        <v>1</v>
      </c>
      <c r="D410">
        <v>2021</v>
      </c>
      <c r="F410">
        <v>2025</v>
      </c>
      <c r="H410">
        <v>0.87009999999999998</v>
      </c>
      <c r="J410">
        <v>1.77</v>
      </c>
      <c r="K410">
        <v>5.01</v>
      </c>
      <c r="L410">
        <v>1.97</v>
      </c>
      <c r="O410">
        <v>1.33</v>
      </c>
      <c r="P410">
        <v>67</v>
      </c>
      <c r="R410">
        <v>2.94</v>
      </c>
      <c r="S410">
        <v>1.85</v>
      </c>
      <c r="T410">
        <v>8.82</v>
      </c>
      <c r="W410" t="s">
        <v>3760</v>
      </c>
      <c r="X410" t="s">
        <v>3603</v>
      </c>
      <c r="AA410" s="2">
        <v>44317</v>
      </c>
      <c r="AB410" t="s">
        <v>3605</v>
      </c>
      <c r="AC410">
        <v>1</v>
      </c>
      <c r="AD410" t="s">
        <v>3605</v>
      </c>
      <c r="AE410" s="3">
        <v>45994.037509884307</v>
      </c>
    </row>
    <row r="411" spans="2:31" x14ac:dyDescent="0.25">
      <c r="B411" t="s">
        <v>1203</v>
      </c>
      <c r="C411">
        <v>1</v>
      </c>
      <c r="D411">
        <v>2021</v>
      </c>
      <c r="E411" t="s">
        <v>3652</v>
      </c>
      <c r="F411">
        <v>2025</v>
      </c>
      <c r="G411" s="2">
        <v>45714</v>
      </c>
      <c r="H411">
        <v>0.85289999999999999</v>
      </c>
      <c r="I411">
        <v>19.579999999999998</v>
      </c>
      <c r="J411">
        <v>6.56</v>
      </c>
      <c r="K411">
        <v>10.09</v>
      </c>
      <c r="L411">
        <v>2.4</v>
      </c>
      <c r="N411">
        <v>3.96</v>
      </c>
      <c r="O411">
        <v>1.94</v>
      </c>
      <c r="P411">
        <v>29</v>
      </c>
      <c r="R411">
        <v>3.3</v>
      </c>
      <c r="S411">
        <v>3.86</v>
      </c>
      <c r="T411">
        <v>42.88</v>
      </c>
      <c r="W411" t="s">
        <v>3762</v>
      </c>
      <c r="X411" t="s">
        <v>3603</v>
      </c>
      <c r="Y411">
        <v>34</v>
      </c>
      <c r="Z411">
        <v>0.14710000000000001</v>
      </c>
      <c r="AA411" s="2">
        <v>44317</v>
      </c>
      <c r="AB411" t="s">
        <v>3604</v>
      </c>
      <c r="AC411">
        <v>1</v>
      </c>
      <c r="AD411" t="s">
        <v>3605</v>
      </c>
      <c r="AE411" s="3">
        <v>45994.037509884307</v>
      </c>
    </row>
    <row r="412" spans="2:31" x14ac:dyDescent="0.25">
      <c r="B412" t="s">
        <v>1204</v>
      </c>
      <c r="C412">
        <v>1</v>
      </c>
      <c r="D412">
        <v>2021</v>
      </c>
      <c r="E412" t="s">
        <v>3652</v>
      </c>
      <c r="F412">
        <v>2025</v>
      </c>
      <c r="G412" s="2">
        <v>45716</v>
      </c>
      <c r="H412">
        <v>0.89670000000000005</v>
      </c>
      <c r="I412">
        <v>23.6</v>
      </c>
      <c r="J412">
        <v>5.71</v>
      </c>
      <c r="K412">
        <v>8.7200000000000006</v>
      </c>
      <c r="L412">
        <v>1.94</v>
      </c>
      <c r="N412">
        <v>4.97</v>
      </c>
      <c r="O412">
        <v>1.52</v>
      </c>
      <c r="P412">
        <v>190</v>
      </c>
      <c r="R412">
        <v>2.0499999999999998</v>
      </c>
      <c r="S412">
        <v>2.2200000000000002</v>
      </c>
      <c r="T412">
        <v>303.64</v>
      </c>
      <c r="W412" t="s">
        <v>3653</v>
      </c>
      <c r="X412" t="s">
        <v>3603</v>
      </c>
      <c r="Y412">
        <v>213</v>
      </c>
      <c r="Z412">
        <v>0.1033</v>
      </c>
      <c r="AA412" s="2">
        <v>44317</v>
      </c>
      <c r="AB412" t="s">
        <v>3604</v>
      </c>
      <c r="AC412">
        <v>1</v>
      </c>
      <c r="AD412" t="s">
        <v>3605</v>
      </c>
      <c r="AE412" s="3">
        <v>45994.037509884307</v>
      </c>
    </row>
    <row r="413" spans="2:31" hidden="1" x14ac:dyDescent="0.25">
      <c r="B413" t="s">
        <v>1208</v>
      </c>
      <c r="C413">
        <v>0</v>
      </c>
      <c r="AB413" t="s">
        <v>3787</v>
      </c>
      <c r="AC413">
        <v>1</v>
      </c>
    </row>
    <row r="414" spans="2:31" x14ac:dyDescent="0.25">
      <c r="B414" t="s">
        <v>1209</v>
      </c>
      <c r="C414">
        <v>1</v>
      </c>
      <c r="D414">
        <v>2021</v>
      </c>
      <c r="E414" t="s">
        <v>3652</v>
      </c>
      <c r="F414">
        <v>2025</v>
      </c>
      <c r="G414" s="2">
        <v>45695</v>
      </c>
      <c r="H414">
        <v>0.47249999999999998</v>
      </c>
      <c r="I414">
        <v>34.32</v>
      </c>
      <c r="J414">
        <v>8.56</v>
      </c>
      <c r="K414">
        <v>11.79</v>
      </c>
      <c r="L414">
        <v>2.04</v>
      </c>
      <c r="N414">
        <v>9.26</v>
      </c>
      <c r="O414">
        <v>2.41</v>
      </c>
      <c r="P414">
        <v>8</v>
      </c>
      <c r="R414">
        <v>26.97</v>
      </c>
      <c r="S414">
        <v>14.27</v>
      </c>
      <c r="T414">
        <v>1078.69</v>
      </c>
      <c r="W414" t="s">
        <v>3654</v>
      </c>
      <c r="X414" t="s">
        <v>3603</v>
      </c>
      <c r="Y414">
        <v>91</v>
      </c>
      <c r="Z414">
        <v>0.52749999999999997</v>
      </c>
      <c r="AA414" s="2">
        <v>44317</v>
      </c>
      <c r="AB414" t="s">
        <v>3604</v>
      </c>
      <c r="AC414">
        <v>1</v>
      </c>
      <c r="AD414" t="s">
        <v>3605</v>
      </c>
      <c r="AE414" s="3">
        <v>45994.037509884307</v>
      </c>
    </row>
    <row r="415" spans="2:31" x14ac:dyDescent="0.25">
      <c r="B415" t="s">
        <v>1213</v>
      </c>
      <c r="C415">
        <v>1</v>
      </c>
      <c r="D415">
        <v>2021</v>
      </c>
      <c r="E415" t="s">
        <v>3655</v>
      </c>
      <c r="F415">
        <v>2025</v>
      </c>
      <c r="G415" s="2">
        <v>45681</v>
      </c>
      <c r="H415">
        <v>0.97199999999999998</v>
      </c>
      <c r="I415">
        <v>7.37</v>
      </c>
      <c r="J415">
        <v>5.0199999999999996</v>
      </c>
      <c r="K415">
        <v>5.51</v>
      </c>
      <c r="L415">
        <v>2.76</v>
      </c>
      <c r="N415">
        <v>1.5</v>
      </c>
      <c r="O415">
        <v>0.9</v>
      </c>
      <c r="P415">
        <v>104</v>
      </c>
      <c r="R415">
        <v>1.1000000000000001</v>
      </c>
      <c r="S415">
        <v>1.86</v>
      </c>
      <c r="T415">
        <v>3.29</v>
      </c>
      <c r="W415" t="s">
        <v>3656</v>
      </c>
      <c r="X415" t="s">
        <v>3603</v>
      </c>
      <c r="Y415">
        <v>107</v>
      </c>
      <c r="Z415">
        <v>2.8000000000000001E-2</v>
      </c>
      <c r="AA415" s="2">
        <v>44317</v>
      </c>
      <c r="AB415" t="s">
        <v>3604</v>
      </c>
      <c r="AC415">
        <v>1</v>
      </c>
      <c r="AD415" t="s">
        <v>3605</v>
      </c>
      <c r="AE415" s="3">
        <v>45994.037509884307</v>
      </c>
    </row>
    <row r="416" spans="2:31" hidden="1" x14ac:dyDescent="0.25">
      <c r="B416" t="s">
        <v>1216</v>
      </c>
      <c r="C416">
        <v>0</v>
      </c>
      <c r="AB416" t="s">
        <v>3787</v>
      </c>
      <c r="AC416">
        <v>1</v>
      </c>
    </row>
    <row r="417" spans="2:31" x14ac:dyDescent="0.25">
      <c r="B417" t="s">
        <v>1220</v>
      </c>
      <c r="C417">
        <v>1</v>
      </c>
      <c r="D417">
        <v>2021</v>
      </c>
      <c r="E417" t="s">
        <v>3652</v>
      </c>
      <c r="F417">
        <v>2025</v>
      </c>
      <c r="G417" s="2">
        <v>45699</v>
      </c>
      <c r="H417">
        <v>0.71060000000000001</v>
      </c>
      <c r="I417">
        <v>9.94</v>
      </c>
      <c r="J417">
        <v>5.59</v>
      </c>
      <c r="K417">
        <v>5.79</v>
      </c>
      <c r="L417">
        <v>2.5099999999999998</v>
      </c>
      <c r="N417">
        <v>1.73</v>
      </c>
      <c r="O417">
        <v>1.26</v>
      </c>
      <c r="P417">
        <v>246</v>
      </c>
      <c r="R417">
        <v>2.14</v>
      </c>
      <c r="S417">
        <v>2.06</v>
      </c>
      <c r="T417">
        <v>42.75</v>
      </c>
      <c r="W417" t="s">
        <v>3657</v>
      </c>
      <c r="X417" t="s">
        <v>3603</v>
      </c>
      <c r="Y417">
        <v>349</v>
      </c>
      <c r="Z417">
        <v>0.28939999999999999</v>
      </c>
      <c r="AA417" s="2">
        <v>44317</v>
      </c>
      <c r="AB417" t="s">
        <v>3604</v>
      </c>
      <c r="AC417">
        <v>1</v>
      </c>
      <c r="AD417" t="s">
        <v>3605</v>
      </c>
      <c r="AE417" s="3">
        <v>45994.037509884307</v>
      </c>
    </row>
    <row r="418" spans="2:31" x14ac:dyDescent="0.25">
      <c r="B418" t="s">
        <v>1224</v>
      </c>
      <c r="C418">
        <v>1</v>
      </c>
      <c r="D418">
        <v>2021</v>
      </c>
      <c r="E418" t="s">
        <v>3652</v>
      </c>
      <c r="F418">
        <v>2025</v>
      </c>
      <c r="G418" s="2">
        <v>45713</v>
      </c>
      <c r="H418">
        <v>0.6623</v>
      </c>
      <c r="I418">
        <v>24.26</v>
      </c>
      <c r="J418">
        <v>7.46</v>
      </c>
      <c r="K418">
        <v>9.9</v>
      </c>
      <c r="L418">
        <v>2.25</v>
      </c>
      <c r="N418">
        <v>6.17</v>
      </c>
      <c r="O418">
        <v>2.35</v>
      </c>
      <c r="P418">
        <v>39</v>
      </c>
      <c r="R418">
        <v>7.57</v>
      </c>
      <c r="S418">
        <v>9.01</v>
      </c>
      <c r="T418">
        <v>318.08</v>
      </c>
      <c r="W418" t="s">
        <v>3658</v>
      </c>
      <c r="X418" t="s">
        <v>3603</v>
      </c>
      <c r="Y418">
        <v>77</v>
      </c>
      <c r="Z418">
        <v>0.3377</v>
      </c>
      <c r="AA418" s="2">
        <v>44317</v>
      </c>
      <c r="AB418" t="s">
        <v>3604</v>
      </c>
      <c r="AC418">
        <v>1</v>
      </c>
      <c r="AD418" t="s">
        <v>3605</v>
      </c>
      <c r="AE418" s="3">
        <v>45994.037509884307</v>
      </c>
    </row>
    <row r="419" spans="2:31" hidden="1" x14ac:dyDescent="0.25">
      <c r="B419" t="s">
        <v>1228</v>
      </c>
      <c r="C419">
        <v>0</v>
      </c>
      <c r="AB419" t="s">
        <v>3787</v>
      </c>
      <c r="AC419">
        <v>1</v>
      </c>
    </row>
    <row r="420" spans="2:31" x14ac:dyDescent="0.25">
      <c r="B420" t="s">
        <v>1232</v>
      </c>
      <c r="C420">
        <v>1</v>
      </c>
      <c r="D420">
        <v>2021</v>
      </c>
      <c r="E420" t="s">
        <v>3652</v>
      </c>
      <c r="F420">
        <v>2025</v>
      </c>
      <c r="G420" s="2">
        <v>45688</v>
      </c>
      <c r="H420">
        <v>0.93979999999999997</v>
      </c>
      <c r="I420">
        <v>10.48</v>
      </c>
      <c r="J420">
        <v>7.29</v>
      </c>
      <c r="K420">
        <v>7.17</v>
      </c>
      <c r="L420">
        <v>3.2</v>
      </c>
      <c r="N420">
        <v>1.89</v>
      </c>
      <c r="O420">
        <v>1.22</v>
      </c>
      <c r="P420">
        <v>77</v>
      </c>
      <c r="R420">
        <v>1.36</v>
      </c>
      <c r="S420">
        <v>2.02</v>
      </c>
      <c r="T420">
        <v>5.43</v>
      </c>
      <c r="W420" t="s">
        <v>3659</v>
      </c>
      <c r="X420" t="s">
        <v>3603</v>
      </c>
      <c r="Y420">
        <v>83</v>
      </c>
      <c r="Z420">
        <v>6.0199999999999997E-2</v>
      </c>
      <c r="AA420" s="2">
        <v>44317</v>
      </c>
      <c r="AB420" t="s">
        <v>3604</v>
      </c>
      <c r="AC420">
        <v>1</v>
      </c>
      <c r="AD420" t="s">
        <v>3605</v>
      </c>
      <c r="AE420" s="3">
        <v>45994.037509884307</v>
      </c>
    </row>
    <row r="421" spans="2:31" x14ac:dyDescent="0.25">
      <c r="B421" t="s">
        <v>1235</v>
      </c>
      <c r="C421">
        <v>1</v>
      </c>
      <c r="D421">
        <v>2021</v>
      </c>
      <c r="E421" t="s">
        <v>3661</v>
      </c>
      <c r="F421">
        <v>2025</v>
      </c>
      <c r="G421" s="2">
        <v>45720</v>
      </c>
      <c r="H421">
        <v>0.93420000000000003</v>
      </c>
      <c r="I421">
        <v>14.14</v>
      </c>
      <c r="J421">
        <v>7.97</v>
      </c>
      <c r="K421">
        <v>8.74</v>
      </c>
      <c r="L421">
        <v>3.62</v>
      </c>
      <c r="N421">
        <v>2.62</v>
      </c>
      <c r="O421">
        <v>1.7</v>
      </c>
      <c r="P421">
        <v>71</v>
      </c>
      <c r="R421">
        <v>4.5199999999999996</v>
      </c>
      <c r="S421">
        <v>2.4</v>
      </c>
      <c r="T421">
        <v>49.73</v>
      </c>
      <c r="W421" t="s">
        <v>3662</v>
      </c>
      <c r="X421" t="s">
        <v>3603</v>
      </c>
      <c r="Y421">
        <v>76</v>
      </c>
      <c r="Z421">
        <v>6.5799999999999997E-2</v>
      </c>
      <c r="AA421" s="2">
        <v>44317</v>
      </c>
      <c r="AB421" t="s">
        <v>3604</v>
      </c>
      <c r="AC421">
        <v>1</v>
      </c>
      <c r="AD421" t="s">
        <v>3605</v>
      </c>
      <c r="AE421" s="3">
        <v>45994.037509884307</v>
      </c>
    </row>
    <row r="422" spans="2:31" x14ac:dyDescent="0.25">
      <c r="B422" t="s">
        <v>1238</v>
      </c>
      <c r="C422">
        <v>1</v>
      </c>
      <c r="D422">
        <v>2022</v>
      </c>
      <c r="F422">
        <v>2024</v>
      </c>
      <c r="H422">
        <v>0.94299999999999995</v>
      </c>
      <c r="J422">
        <v>3.2</v>
      </c>
      <c r="O422">
        <v>0.7</v>
      </c>
      <c r="P422">
        <v>23</v>
      </c>
      <c r="T422">
        <v>0</v>
      </c>
      <c r="W422" t="s">
        <v>3694</v>
      </c>
      <c r="X422" t="s">
        <v>3603</v>
      </c>
      <c r="AA422" s="2">
        <v>44682</v>
      </c>
      <c r="AB422" t="s">
        <v>3607</v>
      </c>
      <c r="AC422">
        <v>1</v>
      </c>
      <c r="AD422" t="s">
        <v>3607</v>
      </c>
      <c r="AE422" s="3">
        <v>45992.941863407672</v>
      </c>
    </row>
    <row r="423" spans="2:31" x14ac:dyDescent="0.25">
      <c r="B423" t="s">
        <v>1241</v>
      </c>
      <c r="C423">
        <v>1</v>
      </c>
      <c r="D423">
        <v>2022</v>
      </c>
      <c r="E423" t="s">
        <v>3852</v>
      </c>
      <c r="F423">
        <v>2022</v>
      </c>
      <c r="G423" s="2">
        <v>44562</v>
      </c>
      <c r="H423">
        <v>0.75</v>
      </c>
      <c r="I423">
        <v>2.11</v>
      </c>
      <c r="J423">
        <v>1.08</v>
      </c>
      <c r="P423">
        <v>0</v>
      </c>
      <c r="T423">
        <v>0</v>
      </c>
      <c r="W423" t="s">
        <v>3854</v>
      </c>
      <c r="X423" t="s">
        <v>3603</v>
      </c>
      <c r="Y423">
        <v>24</v>
      </c>
      <c r="Z423">
        <v>25</v>
      </c>
      <c r="AA423" s="2">
        <v>44682</v>
      </c>
      <c r="AB423" t="s">
        <v>3604</v>
      </c>
      <c r="AC423">
        <v>1</v>
      </c>
    </row>
    <row r="424" spans="2:31" x14ac:dyDescent="0.25">
      <c r="B424" t="s">
        <v>1242</v>
      </c>
      <c r="C424">
        <v>1</v>
      </c>
      <c r="D424">
        <v>2022</v>
      </c>
      <c r="E424" t="s">
        <v>3845</v>
      </c>
      <c r="F424">
        <v>2022</v>
      </c>
      <c r="G424" s="2">
        <v>44562</v>
      </c>
      <c r="H424">
        <v>0.99080000000000001</v>
      </c>
      <c r="I424">
        <v>4.7</v>
      </c>
      <c r="J424">
        <v>1.18</v>
      </c>
      <c r="P424">
        <v>0</v>
      </c>
      <c r="T424">
        <v>0</v>
      </c>
      <c r="W424" t="s">
        <v>3851</v>
      </c>
      <c r="X424" t="s">
        <v>3603</v>
      </c>
      <c r="Y424">
        <v>109</v>
      </c>
      <c r="Z424">
        <v>0.92</v>
      </c>
      <c r="AA424" s="2">
        <v>44682</v>
      </c>
      <c r="AB424" t="s">
        <v>3604</v>
      </c>
      <c r="AC424">
        <v>1</v>
      </c>
    </row>
    <row r="425" spans="2:31" x14ac:dyDescent="0.25">
      <c r="B425" t="s">
        <v>1243</v>
      </c>
      <c r="C425">
        <v>1</v>
      </c>
      <c r="D425">
        <v>2022</v>
      </c>
      <c r="F425">
        <v>2024</v>
      </c>
      <c r="H425">
        <v>0.98</v>
      </c>
      <c r="K425">
        <v>9.68</v>
      </c>
      <c r="L425">
        <v>1.32</v>
      </c>
      <c r="P425">
        <v>1</v>
      </c>
      <c r="T425">
        <v>0</v>
      </c>
      <c r="W425" t="s">
        <v>3695</v>
      </c>
      <c r="X425" t="s">
        <v>3603</v>
      </c>
      <c r="AA425" s="2">
        <v>44682</v>
      </c>
      <c r="AB425" t="s">
        <v>3607</v>
      </c>
      <c r="AC425">
        <v>1</v>
      </c>
      <c r="AD425" t="s">
        <v>3607</v>
      </c>
      <c r="AE425" s="3">
        <v>45992.941863407672</v>
      </c>
    </row>
    <row r="426" spans="2:31" x14ac:dyDescent="0.25">
      <c r="B426" t="s">
        <v>1246</v>
      </c>
      <c r="C426">
        <v>1</v>
      </c>
      <c r="D426">
        <v>2022</v>
      </c>
      <c r="F426">
        <v>2024</v>
      </c>
      <c r="H426">
        <v>0.98</v>
      </c>
      <c r="J426">
        <v>5.17</v>
      </c>
      <c r="P426">
        <v>0</v>
      </c>
      <c r="T426">
        <v>0</v>
      </c>
      <c r="W426" t="s">
        <v>3679</v>
      </c>
      <c r="X426" t="s">
        <v>3603</v>
      </c>
      <c r="AA426" s="2">
        <v>44682</v>
      </c>
      <c r="AB426" t="s">
        <v>3607</v>
      </c>
      <c r="AC426">
        <v>1</v>
      </c>
      <c r="AD426" t="s">
        <v>3607</v>
      </c>
      <c r="AE426" s="3">
        <v>45992.941863407672</v>
      </c>
    </row>
    <row r="427" spans="2:31" hidden="1" x14ac:dyDescent="0.25">
      <c r="B427" t="s">
        <v>1249</v>
      </c>
      <c r="C427">
        <v>0</v>
      </c>
      <c r="H427">
        <v>0</v>
      </c>
      <c r="AB427" t="s">
        <v>3830</v>
      </c>
      <c r="AC427">
        <v>1</v>
      </c>
    </row>
    <row r="428" spans="2:31" x14ac:dyDescent="0.25">
      <c r="B428" t="s">
        <v>1252</v>
      </c>
      <c r="C428">
        <v>1</v>
      </c>
      <c r="D428">
        <v>2022</v>
      </c>
      <c r="F428">
        <v>2024</v>
      </c>
      <c r="H428">
        <v>0.67</v>
      </c>
      <c r="J428">
        <v>0.42</v>
      </c>
      <c r="P428">
        <v>0</v>
      </c>
      <c r="T428">
        <v>0</v>
      </c>
      <c r="W428" t="s">
        <v>3687</v>
      </c>
      <c r="X428" t="s">
        <v>3603</v>
      </c>
      <c r="AA428" s="2">
        <v>44682</v>
      </c>
      <c r="AB428" t="s">
        <v>3607</v>
      </c>
      <c r="AC428">
        <v>1</v>
      </c>
      <c r="AD428" t="s">
        <v>3607</v>
      </c>
      <c r="AE428" s="3">
        <v>45992.941863407672</v>
      </c>
    </row>
    <row r="429" spans="2:31" x14ac:dyDescent="0.25">
      <c r="B429" t="s">
        <v>1255</v>
      </c>
      <c r="C429">
        <v>1</v>
      </c>
      <c r="D429">
        <v>2022</v>
      </c>
      <c r="E429" t="s">
        <v>3852</v>
      </c>
      <c r="F429">
        <v>2022</v>
      </c>
      <c r="G429" s="2">
        <v>44562</v>
      </c>
      <c r="H429">
        <v>0.90739999999999998</v>
      </c>
      <c r="I429">
        <v>1.62</v>
      </c>
      <c r="J429">
        <v>1.02</v>
      </c>
      <c r="P429">
        <v>0</v>
      </c>
      <c r="T429">
        <v>0</v>
      </c>
      <c r="W429" t="s">
        <v>3853</v>
      </c>
      <c r="X429" t="s">
        <v>3603</v>
      </c>
      <c r="Y429">
        <v>54</v>
      </c>
      <c r="Z429">
        <v>9.26</v>
      </c>
      <c r="AA429" s="2">
        <v>44682</v>
      </c>
      <c r="AB429" t="s">
        <v>3604</v>
      </c>
      <c r="AC429">
        <v>1</v>
      </c>
    </row>
    <row r="430" spans="2:31" x14ac:dyDescent="0.25">
      <c r="B430" t="s">
        <v>1256</v>
      </c>
      <c r="C430">
        <v>1</v>
      </c>
      <c r="D430">
        <v>2022</v>
      </c>
      <c r="E430" t="s">
        <v>3845</v>
      </c>
      <c r="F430">
        <v>2022</v>
      </c>
      <c r="G430" s="2">
        <v>44562</v>
      </c>
      <c r="H430">
        <v>0.95330000000000004</v>
      </c>
      <c r="I430">
        <v>4.5999999999999996</v>
      </c>
      <c r="J430">
        <v>1.21</v>
      </c>
      <c r="P430">
        <v>0</v>
      </c>
      <c r="T430">
        <v>0</v>
      </c>
      <c r="W430" t="s">
        <v>3848</v>
      </c>
      <c r="X430" t="s">
        <v>3603</v>
      </c>
      <c r="Y430">
        <v>107</v>
      </c>
      <c r="Z430">
        <v>4.67</v>
      </c>
      <c r="AA430" s="2">
        <v>44682</v>
      </c>
      <c r="AB430" t="s">
        <v>3604</v>
      </c>
      <c r="AC430">
        <v>1</v>
      </c>
    </row>
    <row r="431" spans="2:31" x14ac:dyDescent="0.25">
      <c r="B431" t="s">
        <v>1259</v>
      </c>
      <c r="C431">
        <v>1</v>
      </c>
      <c r="D431">
        <v>2022</v>
      </c>
      <c r="E431" t="s">
        <v>3845</v>
      </c>
      <c r="F431">
        <v>2022</v>
      </c>
      <c r="G431" s="2">
        <v>44562</v>
      </c>
      <c r="H431">
        <v>0.66100000000000003</v>
      </c>
      <c r="I431">
        <v>1</v>
      </c>
      <c r="J431">
        <v>0</v>
      </c>
      <c r="N431">
        <v>0.1</v>
      </c>
      <c r="O431">
        <v>0</v>
      </c>
      <c r="P431">
        <v>4</v>
      </c>
      <c r="R431">
        <v>0.95</v>
      </c>
      <c r="S431">
        <v>0</v>
      </c>
      <c r="T431">
        <v>3.8</v>
      </c>
      <c r="W431" t="s">
        <v>3847</v>
      </c>
      <c r="X431" t="s">
        <v>3603</v>
      </c>
      <c r="Y431">
        <v>4</v>
      </c>
      <c r="Z431">
        <v>0.33900000000000002</v>
      </c>
      <c r="AA431" s="2">
        <v>44682</v>
      </c>
      <c r="AB431" t="s">
        <v>3604</v>
      </c>
      <c r="AC431">
        <v>1</v>
      </c>
    </row>
    <row r="432" spans="2:31" x14ac:dyDescent="0.25">
      <c r="B432" t="s">
        <v>1260</v>
      </c>
      <c r="C432">
        <v>1</v>
      </c>
      <c r="D432">
        <v>2022</v>
      </c>
      <c r="F432">
        <v>2024</v>
      </c>
      <c r="H432">
        <v>0</v>
      </c>
      <c r="J432">
        <v>0.72</v>
      </c>
      <c r="P432">
        <v>0</v>
      </c>
      <c r="T432">
        <v>0</v>
      </c>
      <c r="W432" t="s">
        <v>3849</v>
      </c>
      <c r="X432" t="s">
        <v>3603</v>
      </c>
      <c r="AA432" s="2">
        <v>44682</v>
      </c>
      <c r="AB432" t="s">
        <v>3607</v>
      </c>
      <c r="AC432">
        <v>1</v>
      </c>
      <c r="AD432" t="s">
        <v>3607</v>
      </c>
      <c r="AE432" s="3">
        <v>45991.880598007949</v>
      </c>
    </row>
    <row r="433" spans="2:31" x14ac:dyDescent="0.25">
      <c r="B433" t="s">
        <v>1264</v>
      </c>
      <c r="C433">
        <v>1</v>
      </c>
      <c r="D433">
        <v>2022</v>
      </c>
      <c r="F433">
        <v>2024</v>
      </c>
      <c r="H433">
        <v>0.41</v>
      </c>
      <c r="J433">
        <v>2.72</v>
      </c>
      <c r="O433">
        <v>0.51</v>
      </c>
      <c r="P433">
        <v>6</v>
      </c>
      <c r="T433">
        <v>0</v>
      </c>
      <c r="W433" t="s">
        <v>3747</v>
      </c>
      <c r="X433" t="s">
        <v>3603</v>
      </c>
      <c r="AA433" s="2">
        <v>44682</v>
      </c>
      <c r="AB433" t="s">
        <v>3607</v>
      </c>
      <c r="AC433">
        <v>1</v>
      </c>
      <c r="AD433" t="s">
        <v>3607</v>
      </c>
      <c r="AE433" s="3">
        <v>45992.941863407672</v>
      </c>
    </row>
    <row r="434" spans="2:31" hidden="1" x14ac:dyDescent="0.25">
      <c r="B434" t="s">
        <v>1267</v>
      </c>
      <c r="C434">
        <v>0</v>
      </c>
      <c r="H434">
        <v>1</v>
      </c>
      <c r="AB434" t="s">
        <v>3830</v>
      </c>
      <c r="AC434">
        <v>1</v>
      </c>
    </row>
    <row r="435" spans="2:31" x14ac:dyDescent="0.25">
      <c r="B435" t="s">
        <v>1270</v>
      </c>
      <c r="C435">
        <v>1</v>
      </c>
      <c r="D435">
        <v>2022</v>
      </c>
      <c r="F435">
        <v>2024</v>
      </c>
      <c r="H435">
        <v>0.73</v>
      </c>
      <c r="J435">
        <v>0.89</v>
      </c>
      <c r="P435">
        <v>0</v>
      </c>
      <c r="T435">
        <v>0</v>
      </c>
      <c r="W435" t="s">
        <v>3748</v>
      </c>
      <c r="X435" t="s">
        <v>3603</v>
      </c>
      <c r="AA435" s="2">
        <v>44682</v>
      </c>
      <c r="AB435" t="s">
        <v>3607</v>
      </c>
      <c r="AC435">
        <v>1</v>
      </c>
      <c r="AD435" t="s">
        <v>3607</v>
      </c>
      <c r="AE435" s="3">
        <v>45992.941863407672</v>
      </c>
    </row>
    <row r="436" spans="2:31" x14ac:dyDescent="0.25">
      <c r="B436" t="s">
        <v>1271</v>
      </c>
      <c r="C436">
        <v>1</v>
      </c>
      <c r="D436">
        <v>2022</v>
      </c>
      <c r="F436">
        <v>2024</v>
      </c>
      <c r="H436">
        <v>0.06</v>
      </c>
      <c r="J436">
        <v>1.18</v>
      </c>
      <c r="P436">
        <v>0</v>
      </c>
      <c r="T436">
        <v>0</v>
      </c>
      <c r="W436" t="s">
        <v>3769</v>
      </c>
      <c r="X436" t="s">
        <v>3603</v>
      </c>
      <c r="AA436" s="2">
        <v>44682</v>
      </c>
      <c r="AB436" t="s">
        <v>3605</v>
      </c>
      <c r="AC436">
        <v>1</v>
      </c>
      <c r="AD436" t="s">
        <v>3605</v>
      </c>
      <c r="AE436" s="3">
        <v>45992.941863407672</v>
      </c>
    </row>
    <row r="437" spans="2:31" x14ac:dyDescent="0.25">
      <c r="B437" t="s">
        <v>1272</v>
      </c>
      <c r="C437">
        <v>1</v>
      </c>
      <c r="D437">
        <v>2022</v>
      </c>
      <c r="F437">
        <v>2024</v>
      </c>
      <c r="H437">
        <v>0.99170000000000003</v>
      </c>
      <c r="J437">
        <v>3.73</v>
      </c>
      <c r="P437">
        <v>0</v>
      </c>
      <c r="T437">
        <v>0</v>
      </c>
      <c r="W437" t="s">
        <v>3771</v>
      </c>
      <c r="X437" t="s">
        <v>3603</v>
      </c>
      <c r="AA437" s="2">
        <v>44682</v>
      </c>
      <c r="AB437" t="s">
        <v>3605</v>
      </c>
      <c r="AC437">
        <v>1</v>
      </c>
      <c r="AD437" t="s">
        <v>3605</v>
      </c>
      <c r="AE437" s="3">
        <v>45992.941863407672</v>
      </c>
    </row>
    <row r="438" spans="2:31" x14ac:dyDescent="0.25">
      <c r="B438" t="s">
        <v>1275</v>
      </c>
      <c r="C438">
        <v>1</v>
      </c>
      <c r="D438">
        <v>2022</v>
      </c>
      <c r="F438">
        <v>2022</v>
      </c>
      <c r="H438">
        <v>1</v>
      </c>
      <c r="J438">
        <v>2.12</v>
      </c>
      <c r="P438">
        <v>0</v>
      </c>
      <c r="T438">
        <v>0</v>
      </c>
      <c r="W438" t="s">
        <v>3850</v>
      </c>
      <c r="X438" t="s">
        <v>3603</v>
      </c>
      <c r="AA438" s="2">
        <v>44682</v>
      </c>
      <c r="AB438" t="s">
        <v>3605</v>
      </c>
      <c r="AC438">
        <v>1</v>
      </c>
      <c r="AD438" t="s">
        <v>3605</v>
      </c>
      <c r="AE438" s="3">
        <v>45991.880598007949</v>
      </c>
    </row>
    <row r="439" spans="2:31" hidden="1" x14ac:dyDescent="0.25">
      <c r="B439" t="s">
        <v>1278</v>
      </c>
      <c r="C439">
        <v>0</v>
      </c>
      <c r="AB439" t="s">
        <v>3605</v>
      </c>
      <c r="AC439">
        <v>1</v>
      </c>
      <c r="AD439" t="s">
        <v>3605</v>
      </c>
      <c r="AE439" s="3">
        <v>45994.037509884307</v>
      </c>
    </row>
    <row r="440" spans="2:31" x14ac:dyDescent="0.25">
      <c r="B440" t="s">
        <v>1281</v>
      </c>
      <c r="C440">
        <v>1</v>
      </c>
      <c r="D440">
        <v>2023</v>
      </c>
      <c r="E440" t="s">
        <v>3663</v>
      </c>
      <c r="F440">
        <v>2025</v>
      </c>
      <c r="G440" s="2">
        <v>45685</v>
      </c>
      <c r="H440">
        <v>0.9</v>
      </c>
      <c r="I440">
        <v>12.25</v>
      </c>
      <c r="J440">
        <v>4.09</v>
      </c>
      <c r="K440">
        <v>10.050000000000001</v>
      </c>
      <c r="L440">
        <v>3.16</v>
      </c>
      <c r="N440">
        <v>2.19</v>
      </c>
      <c r="O440">
        <v>0.71</v>
      </c>
      <c r="P440">
        <v>215</v>
      </c>
      <c r="T440">
        <v>0</v>
      </c>
      <c r="W440" t="s">
        <v>3675</v>
      </c>
      <c r="X440" t="s">
        <v>3603</v>
      </c>
      <c r="Y440">
        <v>240</v>
      </c>
      <c r="Z440">
        <v>0.1</v>
      </c>
      <c r="AA440" s="2">
        <v>45047</v>
      </c>
      <c r="AB440" t="s">
        <v>3604</v>
      </c>
      <c r="AC440">
        <v>1</v>
      </c>
      <c r="AD440" t="s">
        <v>3605</v>
      </c>
      <c r="AE440" s="3">
        <v>45994.037509884307</v>
      </c>
    </row>
    <row r="441" spans="2:31" x14ac:dyDescent="0.25">
      <c r="B441" t="s">
        <v>1285</v>
      </c>
      <c r="C441">
        <v>1</v>
      </c>
      <c r="D441">
        <v>2023</v>
      </c>
      <c r="E441" t="s">
        <v>3663</v>
      </c>
      <c r="F441">
        <v>2025</v>
      </c>
      <c r="G441" s="2">
        <v>45681</v>
      </c>
      <c r="H441">
        <v>0.99150000000000005</v>
      </c>
      <c r="I441">
        <v>15.32</v>
      </c>
      <c r="J441">
        <v>3.59</v>
      </c>
      <c r="K441">
        <v>11.53</v>
      </c>
      <c r="L441">
        <v>2.33</v>
      </c>
      <c r="N441">
        <v>2.38</v>
      </c>
      <c r="O441">
        <v>0.63</v>
      </c>
      <c r="P441">
        <v>116</v>
      </c>
      <c r="T441">
        <v>0</v>
      </c>
      <c r="W441" t="s">
        <v>3664</v>
      </c>
      <c r="X441" t="s">
        <v>3603</v>
      </c>
      <c r="Y441">
        <v>117</v>
      </c>
      <c r="Z441">
        <v>8.5000000000000006E-3</v>
      </c>
      <c r="AA441" s="2">
        <v>45047</v>
      </c>
      <c r="AB441" t="s">
        <v>3604</v>
      </c>
      <c r="AC441">
        <v>1</v>
      </c>
      <c r="AD441" t="s">
        <v>3605</v>
      </c>
      <c r="AE441" s="3">
        <v>45994.037509884307</v>
      </c>
    </row>
    <row r="442" spans="2:31" x14ac:dyDescent="0.25">
      <c r="B442" t="s">
        <v>1288</v>
      </c>
      <c r="C442">
        <v>1</v>
      </c>
      <c r="D442">
        <v>2023</v>
      </c>
      <c r="E442" t="s">
        <v>3665</v>
      </c>
      <c r="F442">
        <v>2025</v>
      </c>
      <c r="G442" s="2">
        <v>45721</v>
      </c>
      <c r="H442">
        <v>1</v>
      </c>
      <c r="I442">
        <v>18.899999999999999</v>
      </c>
      <c r="J442">
        <v>2.66</v>
      </c>
      <c r="N442">
        <v>3.64</v>
      </c>
      <c r="O442">
        <v>1.52</v>
      </c>
      <c r="P442">
        <v>7</v>
      </c>
      <c r="R442">
        <v>1.19</v>
      </c>
      <c r="S442">
        <v>1.8</v>
      </c>
      <c r="T442">
        <v>4.7699999999999996</v>
      </c>
      <c r="W442" t="s">
        <v>3666</v>
      </c>
      <c r="X442" t="s">
        <v>3603</v>
      </c>
      <c r="Y442">
        <v>108</v>
      </c>
      <c r="Z442">
        <v>0</v>
      </c>
      <c r="AA442" s="2">
        <v>45047</v>
      </c>
      <c r="AB442" t="s">
        <v>3604</v>
      </c>
      <c r="AC442">
        <v>1</v>
      </c>
      <c r="AD442" t="s">
        <v>3605</v>
      </c>
      <c r="AE442" s="3">
        <v>45994.037509884307</v>
      </c>
    </row>
    <row r="443" spans="2:31" x14ac:dyDescent="0.25">
      <c r="B443" t="s">
        <v>1289</v>
      </c>
      <c r="C443">
        <v>1</v>
      </c>
      <c r="D443">
        <v>2023</v>
      </c>
      <c r="E443" t="s">
        <v>3665</v>
      </c>
      <c r="F443">
        <v>2025</v>
      </c>
      <c r="G443" s="2">
        <v>45721</v>
      </c>
      <c r="H443">
        <v>0.9909</v>
      </c>
      <c r="I443">
        <v>3.37</v>
      </c>
      <c r="J443">
        <v>1.55</v>
      </c>
      <c r="N443">
        <v>0.51</v>
      </c>
      <c r="O443">
        <v>0.06</v>
      </c>
      <c r="P443">
        <v>109</v>
      </c>
      <c r="T443">
        <v>0</v>
      </c>
      <c r="W443" t="s">
        <v>3667</v>
      </c>
      <c r="X443" t="s">
        <v>3603</v>
      </c>
      <c r="Y443">
        <v>110</v>
      </c>
      <c r="Z443">
        <v>9.1000000000000004E-3</v>
      </c>
      <c r="AA443" s="2">
        <v>45047</v>
      </c>
      <c r="AB443" t="s">
        <v>3604</v>
      </c>
      <c r="AC443">
        <v>1</v>
      </c>
      <c r="AD443" t="s">
        <v>3605</v>
      </c>
      <c r="AE443" s="3">
        <v>45994.037509884307</v>
      </c>
    </row>
    <row r="444" spans="2:31" hidden="1" x14ac:dyDescent="0.25">
      <c r="B444" t="s">
        <v>1293</v>
      </c>
      <c r="C444">
        <v>0</v>
      </c>
      <c r="AB444" t="s">
        <v>3605</v>
      </c>
      <c r="AC444">
        <v>1</v>
      </c>
      <c r="AD444" t="s">
        <v>3605</v>
      </c>
      <c r="AE444" s="3">
        <v>45994.037509884307</v>
      </c>
    </row>
    <row r="445" spans="2:31" x14ac:dyDescent="0.25">
      <c r="B445" t="s">
        <v>1297</v>
      </c>
      <c r="C445">
        <v>1</v>
      </c>
      <c r="D445">
        <v>2023</v>
      </c>
      <c r="E445" t="s">
        <v>3668</v>
      </c>
      <c r="F445">
        <v>2025</v>
      </c>
      <c r="G445" s="2">
        <v>45706</v>
      </c>
      <c r="H445">
        <v>0.98699999999999999</v>
      </c>
      <c r="I445">
        <v>9.49</v>
      </c>
      <c r="J445">
        <v>2.4900000000000002</v>
      </c>
      <c r="K445">
        <v>9.02</v>
      </c>
      <c r="L445">
        <v>2.71</v>
      </c>
      <c r="N445">
        <v>1.57</v>
      </c>
      <c r="O445">
        <v>0.46</v>
      </c>
      <c r="P445">
        <v>76</v>
      </c>
      <c r="T445">
        <v>0</v>
      </c>
      <c r="W445" t="s">
        <v>3669</v>
      </c>
      <c r="X445" t="s">
        <v>3603</v>
      </c>
      <c r="Y445">
        <v>77</v>
      </c>
      <c r="Z445">
        <v>1.2999999999999999E-2</v>
      </c>
      <c r="AA445" s="2">
        <v>45047</v>
      </c>
      <c r="AB445" t="s">
        <v>3604</v>
      </c>
      <c r="AC445">
        <v>1</v>
      </c>
      <c r="AD445" t="s">
        <v>3605</v>
      </c>
      <c r="AE445" s="3">
        <v>45994.037509884307</v>
      </c>
    </row>
    <row r="446" spans="2:31" hidden="1" x14ac:dyDescent="0.25">
      <c r="B446" t="s">
        <v>1298</v>
      </c>
      <c r="C446">
        <v>0</v>
      </c>
      <c r="D446">
        <v>2023</v>
      </c>
      <c r="E446" t="s">
        <v>2055</v>
      </c>
      <c r="H446">
        <v>1</v>
      </c>
      <c r="Z446">
        <v>0</v>
      </c>
      <c r="AC446">
        <v>1</v>
      </c>
    </row>
    <row r="447" spans="2:31" hidden="1" x14ac:dyDescent="0.25">
      <c r="B447" t="s">
        <v>1299</v>
      </c>
      <c r="C447">
        <v>0</v>
      </c>
      <c r="H447">
        <v>1</v>
      </c>
      <c r="Z447">
        <v>0</v>
      </c>
      <c r="AC447">
        <v>1</v>
      </c>
    </row>
    <row r="448" spans="2:31" hidden="1" x14ac:dyDescent="0.25">
      <c r="B448" t="s">
        <v>1300</v>
      </c>
      <c r="C448">
        <v>0</v>
      </c>
      <c r="AB448" t="s">
        <v>3605</v>
      </c>
      <c r="AC448">
        <v>1</v>
      </c>
      <c r="AD448" t="s">
        <v>3605</v>
      </c>
      <c r="AE448" s="3">
        <v>45994.037509884307</v>
      </c>
    </row>
    <row r="449" spans="2:31" hidden="1" x14ac:dyDescent="0.25">
      <c r="B449" t="s">
        <v>1303</v>
      </c>
      <c r="C449">
        <v>0</v>
      </c>
      <c r="AB449" t="s">
        <v>3605</v>
      </c>
      <c r="AC449">
        <v>1</v>
      </c>
      <c r="AD449" t="s">
        <v>3605</v>
      </c>
      <c r="AE449" s="3">
        <v>45994.037509884307</v>
      </c>
    </row>
    <row r="450" spans="2:31" hidden="1" x14ac:dyDescent="0.25">
      <c r="B450" t="s">
        <v>1304</v>
      </c>
      <c r="C450">
        <v>0</v>
      </c>
      <c r="AB450" t="s">
        <v>3605</v>
      </c>
      <c r="AC450">
        <v>1</v>
      </c>
      <c r="AD450" t="s">
        <v>3605</v>
      </c>
      <c r="AE450" s="3">
        <v>45994.037509884307</v>
      </c>
    </row>
    <row r="451" spans="2:31" hidden="1" x14ac:dyDescent="0.25">
      <c r="B451" t="s">
        <v>1308</v>
      </c>
      <c r="C451">
        <v>0</v>
      </c>
      <c r="AB451" t="s">
        <v>3605</v>
      </c>
      <c r="AC451">
        <v>1</v>
      </c>
      <c r="AD451" t="s">
        <v>3605</v>
      </c>
      <c r="AE451" s="3">
        <v>45994.037509884307</v>
      </c>
    </row>
    <row r="452" spans="2:31" x14ac:dyDescent="0.25">
      <c r="B452" t="s">
        <v>1311</v>
      </c>
      <c r="C452">
        <v>1</v>
      </c>
      <c r="D452">
        <v>2024</v>
      </c>
      <c r="E452" t="s">
        <v>3670</v>
      </c>
      <c r="F452">
        <v>2025</v>
      </c>
      <c r="G452" s="2">
        <v>45688</v>
      </c>
      <c r="H452">
        <v>0.89290000000000003</v>
      </c>
      <c r="I452">
        <v>4.28</v>
      </c>
      <c r="J452">
        <v>1.84</v>
      </c>
      <c r="N452">
        <v>0.97</v>
      </c>
      <c r="O452">
        <v>0.33</v>
      </c>
      <c r="P452">
        <v>75</v>
      </c>
      <c r="T452">
        <v>0</v>
      </c>
      <c r="W452" t="s">
        <v>3671</v>
      </c>
      <c r="X452" t="s">
        <v>3603</v>
      </c>
      <c r="Y452">
        <v>84</v>
      </c>
      <c r="Z452">
        <v>0.1071</v>
      </c>
      <c r="AA452" s="2">
        <v>45413</v>
      </c>
      <c r="AB452" t="s">
        <v>3604</v>
      </c>
      <c r="AC452">
        <v>1</v>
      </c>
      <c r="AD452" t="s">
        <v>3605</v>
      </c>
      <c r="AE452" s="3">
        <v>45994.037509884307</v>
      </c>
    </row>
    <row r="453" spans="2:31" x14ac:dyDescent="0.25">
      <c r="B453" t="s">
        <v>1315</v>
      </c>
      <c r="C453">
        <v>1</v>
      </c>
      <c r="D453">
        <v>2024</v>
      </c>
      <c r="E453" t="s">
        <v>3672</v>
      </c>
      <c r="F453">
        <v>2025</v>
      </c>
      <c r="G453" s="2">
        <v>45721</v>
      </c>
      <c r="H453">
        <v>0.91139999999999999</v>
      </c>
      <c r="I453">
        <v>7.11</v>
      </c>
      <c r="J453">
        <v>3.04</v>
      </c>
      <c r="N453">
        <v>0.85</v>
      </c>
      <c r="O453">
        <v>0.23</v>
      </c>
      <c r="P453">
        <v>72</v>
      </c>
      <c r="T453">
        <v>0</v>
      </c>
      <c r="W453" t="s">
        <v>3673</v>
      </c>
      <c r="X453" t="s">
        <v>3603</v>
      </c>
      <c r="Y453">
        <v>79</v>
      </c>
      <c r="Z453">
        <v>8.8599999999999998E-2</v>
      </c>
      <c r="AA453" s="2">
        <v>45413</v>
      </c>
      <c r="AB453" t="s">
        <v>3604</v>
      </c>
      <c r="AC453">
        <v>1</v>
      </c>
      <c r="AD453" t="s">
        <v>3605</v>
      </c>
      <c r="AE453" s="3">
        <v>45994.037509884307</v>
      </c>
    </row>
    <row r="454" spans="2:31" x14ac:dyDescent="0.25">
      <c r="B454" t="s">
        <v>1316</v>
      </c>
      <c r="C454">
        <v>1</v>
      </c>
      <c r="D454">
        <v>2024</v>
      </c>
      <c r="E454" t="s">
        <v>3672</v>
      </c>
      <c r="F454">
        <v>2025</v>
      </c>
      <c r="G454" s="2">
        <v>45721</v>
      </c>
      <c r="H454">
        <v>0.97370000000000001</v>
      </c>
      <c r="I454">
        <v>5.83</v>
      </c>
      <c r="J454">
        <v>2.21</v>
      </c>
      <c r="N454">
        <v>0.84</v>
      </c>
      <c r="O454">
        <v>0.23</v>
      </c>
      <c r="P454">
        <v>74</v>
      </c>
      <c r="T454">
        <v>0</v>
      </c>
      <c r="W454" t="s">
        <v>3674</v>
      </c>
      <c r="X454" t="s">
        <v>3603</v>
      </c>
      <c r="Y454">
        <v>76</v>
      </c>
      <c r="Z454">
        <v>2.63E-2</v>
      </c>
      <c r="AA454" s="2">
        <v>45413</v>
      </c>
      <c r="AB454" t="s">
        <v>3604</v>
      </c>
      <c r="AC454">
        <v>1</v>
      </c>
      <c r="AD454" t="s">
        <v>3605</v>
      </c>
      <c r="AE454" s="3">
        <v>45994.037509884307</v>
      </c>
    </row>
    <row r="455" spans="2:31" hidden="1" x14ac:dyDescent="0.25">
      <c r="B455" t="s">
        <v>1319</v>
      </c>
      <c r="C455">
        <v>0</v>
      </c>
      <c r="AB455" t="s">
        <v>3605</v>
      </c>
      <c r="AC455">
        <v>1</v>
      </c>
      <c r="AD455" t="s">
        <v>3605</v>
      </c>
      <c r="AE455" s="3">
        <v>45994.037509884307</v>
      </c>
    </row>
    <row r="456" spans="2:31" x14ac:dyDescent="0.25">
      <c r="B456" t="s">
        <v>1322</v>
      </c>
      <c r="C456">
        <v>1</v>
      </c>
      <c r="D456">
        <v>2024</v>
      </c>
      <c r="E456" t="s">
        <v>3672</v>
      </c>
      <c r="F456">
        <v>2025</v>
      </c>
      <c r="G456" s="2">
        <v>45722</v>
      </c>
      <c r="H456">
        <v>0.2077</v>
      </c>
      <c r="I456">
        <v>2.0299999999999998</v>
      </c>
      <c r="J456">
        <v>0.8</v>
      </c>
      <c r="N456">
        <v>0.5</v>
      </c>
      <c r="O456">
        <v>0</v>
      </c>
      <c r="P456">
        <v>27</v>
      </c>
      <c r="T456">
        <v>0</v>
      </c>
      <c r="W456" t="s">
        <v>3746</v>
      </c>
      <c r="X456" t="s">
        <v>3603</v>
      </c>
      <c r="Y456">
        <v>130</v>
      </c>
      <c r="Z456">
        <v>0.7923</v>
      </c>
      <c r="AA456" s="2">
        <v>45413</v>
      </c>
      <c r="AB456" t="s">
        <v>3604</v>
      </c>
      <c r="AC456">
        <v>1</v>
      </c>
      <c r="AD456" t="s">
        <v>3605</v>
      </c>
      <c r="AE456" s="3">
        <v>45994.037509884307</v>
      </c>
    </row>
    <row r="457" spans="2:31" hidden="1" x14ac:dyDescent="0.25">
      <c r="B457" t="s">
        <v>1325</v>
      </c>
      <c r="C457">
        <v>0</v>
      </c>
      <c r="AB457" t="s">
        <v>3605</v>
      </c>
      <c r="AC457">
        <v>1</v>
      </c>
      <c r="AD457" t="s">
        <v>3605</v>
      </c>
      <c r="AE457" s="3">
        <v>45994.037509884307</v>
      </c>
    </row>
    <row r="458" spans="2:31" x14ac:dyDescent="0.25">
      <c r="B458" t="s">
        <v>1326</v>
      </c>
      <c r="C458">
        <v>1</v>
      </c>
      <c r="D458">
        <v>2024</v>
      </c>
      <c r="E458" t="s">
        <v>3672</v>
      </c>
      <c r="F458">
        <v>2025</v>
      </c>
      <c r="G458" s="2">
        <v>45722</v>
      </c>
      <c r="H458">
        <v>0.72529999999999994</v>
      </c>
      <c r="I458">
        <v>0.68</v>
      </c>
      <c r="J458">
        <v>0.27</v>
      </c>
      <c r="K458">
        <v>0.67</v>
      </c>
      <c r="L458">
        <v>0.28000000000000003</v>
      </c>
      <c r="N458">
        <v>0.5</v>
      </c>
      <c r="O458">
        <v>0</v>
      </c>
      <c r="P458">
        <v>99</v>
      </c>
      <c r="T458">
        <v>0</v>
      </c>
      <c r="W458" t="s">
        <v>3786</v>
      </c>
      <c r="X458" t="s">
        <v>3603</v>
      </c>
      <c r="Y458">
        <v>273</v>
      </c>
      <c r="Z458">
        <v>0.2747</v>
      </c>
      <c r="AA458" s="2">
        <v>45413</v>
      </c>
      <c r="AB458" t="s">
        <v>3604</v>
      </c>
      <c r="AC458">
        <v>1</v>
      </c>
      <c r="AD458" t="s">
        <v>3605</v>
      </c>
      <c r="AE458" s="3">
        <v>45994.037509884307</v>
      </c>
    </row>
    <row r="459" spans="2:31" hidden="1" x14ac:dyDescent="0.25">
      <c r="B459" t="s">
        <v>1327</v>
      </c>
      <c r="C459">
        <v>0</v>
      </c>
      <c r="AB459" t="s">
        <v>3605</v>
      </c>
      <c r="AC459">
        <v>1</v>
      </c>
      <c r="AD459" t="s">
        <v>3605</v>
      </c>
      <c r="AE459" s="3">
        <v>45994.037509884307</v>
      </c>
    </row>
    <row r="460" spans="2:31" hidden="1" x14ac:dyDescent="0.25">
      <c r="B460" t="s">
        <v>1328</v>
      </c>
      <c r="C460">
        <v>0</v>
      </c>
      <c r="H460">
        <v>1</v>
      </c>
      <c r="Z460">
        <v>0</v>
      </c>
      <c r="AC460">
        <v>1</v>
      </c>
    </row>
    <row r="461" spans="2:31" hidden="1" x14ac:dyDescent="0.25">
      <c r="B461" t="s">
        <v>1329</v>
      </c>
      <c r="C461">
        <v>0</v>
      </c>
      <c r="H461">
        <v>1</v>
      </c>
      <c r="Z461">
        <v>0</v>
      </c>
      <c r="AC461">
        <v>1</v>
      </c>
    </row>
    <row r="462" spans="2:31" hidden="1" x14ac:dyDescent="0.25">
      <c r="B462" t="s">
        <v>1330</v>
      </c>
      <c r="C462">
        <v>0</v>
      </c>
      <c r="H462">
        <v>1</v>
      </c>
      <c r="Z462">
        <v>0</v>
      </c>
      <c r="AC462">
        <v>1</v>
      </c>
    </row>
    <row r="463" spans="2:31" hidden="1" x14ac:dyDescent="0.25">
      <c r="B463" t="s">
        <v>1334</v>
      </c>
      <c r="C463">
        <v>0</v>
      </c>
      <c r="H463">
        <v>1</v>
      </c>
      <c r="Z463">
        <v>0</v>
      </c>
      <c r="AC463">
        <v>1</v>
      </c>
    </row>
    <row r="464" spans="2:31" hidden="1" x14ac:dyDescent="0.25">
      <c r="B464" t="s">
        <v>1338</v>
      </c>
      <c r="C464">
        <v>0</v>
      </c>
      <c r="H464">
        <v>1</v>
      </c>
      <c r="Z464">
        <v>0</v>
      </c>
      <c r="AC464">
        <v>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71"/>
  <sheetViews>
    <sheetView workbookViewId="0">
      <selection activeCell="B17" sqref="B17"/>
    </sheetView>
  </sheetViews>
  <sheetFormatPr baseColWidth="10" defaultColWidth="9.140625" defaultRowHeight="15" x14ac:dyDescent="0.25"/>
  <cols>
    <col min="1" max="1" width="10.5703125" customWidth="1"/>
    <col min="2" max="2" width="15.5703125" customWidth="1"/>
    <col min="3" max="3" width="11" customWidth="1"/>
    <col min="4" max="4" width="16.5703125" customWidth="1"/>
    <col min="5" max="5" width="16.7109375" customWidth="1"/>
    <col min="6" max="6" width="11.7109375" customWidth="1"/>
    <col min="7" max="7" width="9.42578125" customWidth="1"/>
    <col min="8" max="8" width="12.7109375" customWidth="1"/>
    <col min="9" max="9" width="10.42578125" customWidth="1"/>
    <col min="10" max="10" width="12.5703125" customWidth="1"/>
    <col min="11" max="11" width="10.28515625" customWidth="1"/>
    <col min="12" max="12" width="20.7109375" customWidth="1"/>
    <col min="13" max="13" width="17" customWidth="1"/>
    <col min="14" max="14" width="14.7109375" customWidth="1"/>
    <col min="15" max="15" width="16.140625" customWidth="1"/>
    <col min="17" max="17" width="10.7109375" customWidth="1"/>
    <col min="18" max="18" width="12.85546875" customWidth="1"/>
    <col min="19" max="19" width="16.7109375" customWidth="1"/>
    <col min="20" max="20" width="15.42578125" customWidth="1"/>
    <col min="21" max="21" width="15.28515625" customWidth="1"/>
    <col min="22" max="22" width="10" customWidth="1"/>
    <col min="23" max="23" width="19.5703125" customWidth="1"/>
    <col min="24" max="24" width="19.42578125" customWidth="1"/>
    <col min="25" max="25" width="16.140625" customWidth="1"/>
    <col min="26" max="26" width="20.5703125" customWidth="1"/>
    <col min="27" max="27" width="11.28515625" customWidth="1"/>
  </cols>
  <sheetData>
    <row r="1" spans="1:27" x14ac:dyDescent="0.25">
      <c r="F1" s="4"/>
      <c r="G1" t="s">
        <v>3947</v>
      </c>
    </row>
    <row r="2" spans="1:27" x14ac:dyDescent="0.25">
      <c r="F2" s="5"/>
      <c r="G2" t="s">
        <v>3948</v>
      </c>
    </row>
    <row r="3" spans="1:27" x14ac:dyDescent="0.25">
      <c r="F3" s="8"/>
      <c r="G3" t="s">
        <v>3949</v>
      </c>
    </row>
    <row r="4" spans="1:27" x14ac:dyDescent="0.25">
      <c r="F4" s="20"/>
      <c r="G4" t="s">
        <v>3978</v>
      </c>
    </row>
    <row r="5" spans="1:27" x14ac:dyDescent="0.25">
      <c r="F5" s="7"/>
      <c r="G5" t="s">
        <v>3922</v>
      </c>
    </row>
    <row r="6" spans="1:27" x14ac:dyDescent="0.25">
      <c r="F6" s="6"/>
      <c r="G6" t="s">
        <v>3950</v>
      </c>
    </row>
    <row r="7" spans="1:27" x14ac:dyDescent="0.25">
      <c r="F7" s="11"/>
      <c r="G7" t="s">
        <v>3951</v>
      </c>
    </row>
    <row r="8" spans="1:27" x14ac:dyDescent="0.25">
      <c r="F8" s="14"/>
      <c r="G8" t="s">
        <v>3977</v>
      </c>
    </row>
    <row r="9" spans="1:27" x14ac:dyDescent="0.25">
      <c r="F9" s="21"/>
      <c r="G9" t="s">
        <v>4006</v>
      </c>
    </row>
    <row r="12" spans="1:27" x14ac:dyDescent="0.25">
      <c r="A12" s="15" t="s">
        <v>3575</v>
      </c>
      <c r="B12" s="15" t="s">
        <v>0</v>
      </c>
      <c r="C12" s="15" t="s">
        <v>3576</v>
      </c>
      <c r="D12" s="15" t="s">
        <v>3577</v>
      </c>
      <c r="E12" s="15" t="s">
        <v>14</v>
      </c>
      <c r="F12" s="15" t="s">
        <v>3579</v>
      </c>
      <c r="G12" s="15" t="s">
        <v>3580</v>
      </c>
      <c r="H12" s="15" t="s">
        <v>3581</v>
      </c>
      <c r="I12" s="15" t="s">
        <v>3582</v>
      </c>
      <c r="J12" s="15" t="s">
        <v>3584</v>
      </c>
      <c r="K12" s="15" t="s">
        <v>3585</v>
      </c>
      <c r="L12" s="15" t="s">
        <v>3586</v>
      </c>
      <c r="M12" s="15" t="s">
        <v>3588</v>
      </c>
      <c r="N12" s="15" t="s">
        <v>3589</v>
      </c>
      <c r="O12" s="15" t="s">
        <v>3590</v>
      </c>
      <c r="P12" s="15" t="s">
        <v>3593</v>
      </c>
      <c r="Q12" s="15" t="s">
        <v>3594</v>
      </c>
      <c r="R12" s="15" t="s">
        <v>3595</v>
      </c>
      <c r="S12" s="15" t="s">
        <v>3597</v>
      </c>
      <c r="T12" s="15" t="s">
        <v>13</v>
      </c>
      <c r="U12" s="15" t="s">
        <v>8</v>
      </c>
      <c r="V12" s="15" t="s">
        <v>3578</v>
      </c>
      <c r="W12" s="15" t="s">
        <v>3583</v>
      </c>
      <c r="X12" s="15" t="s">
        <v>3587</v>
      </c>
      <c r="Y12" s="15" t="s">
        <v>3591</v>
      </c>
      <c r="Z12" s="15" t="s">
        <v>3592</v>
      </c>
      <c r="AA12" s="15" t="s">
        <v>3596</v>
      </c>
    </row>
    <row r="13" spans="1:27" x14ac:dyDescent="0.25">
      <c r="B13" t="s">
        <v>19</v>
      </c>
    </row>
    <row r="14" spans="1:27" x14ac:dyDescent="0.25">
      <c r="B14" t="s">
        <v>23</v>
      </c>
    </row>
    <row r="15" spans="1:27" x14ac:dyDescent="0.25">
      <c r="B15" t="s">
        <v>26</v>
      </c>
    </row>
    <row r="16" spans="1:27" x14ac:dyDescent="0.25">
      <c r="B16" t="s">
        <v>30</v>
      </c>
    </row>
    <row r="17" spans="2:27" x14ac:dyDescent="0.25">
      <c r="B17" t="s">
        <v>34</v>
      </c>
    </row>
    <row r="18" spans="2:27" x14ac:dyDescent="0.25">
      <c r="B18" t="s">
        <v>38</v>
      </c>
    </row>
    <row r="19" spans="2:27" x14ac:dyDescent="0.25">
      <c r="B19" t="s">
        <v>42</v>
      </c>
    </row>
    <row r="20" spans="2:27" x14ac:dyDescent="0.25">
      <c r="B20" t="s">
        <v>46</v>
      </c>
    </row>
    <row r="21" spans="2:27" x14ac:dyDescent="0.25">
      <c r="B21" t="s">
        <v>49</v>
      </c>
    </row>
    <row r="22" spans="2:27" x14ac:dyDescent="0.25">
      <c r="B22" t="s">
        <v>53</v>
      </c>
    </row>
    <row r="23" spans="2:27" x14ac:dyDescent="0.25">
      <c r="B23" t="s">
        <v>56</v>
      </c>
    </row>
    <row r="24" spans="2:27" x14ac:dyDescent="0.25">
      <c r="B24" t="s">
        <v>59</v>
      </c>
    </row>
    <row r="25" spans="2:27" x14ac:dyDescent="0.25">
      <c r="B25" t="s">
        <v>63</v>
      </c>
      <c r="C25" t="s">
        <v>3621</v>
      </c>
      <c r="D25">
        <v>2021</v>
      </c>
      <c r="E25" s="2">
        <v>44197</v>
      </c>
      <c r="F25">
        <v>39.47</v>
      </c>
      <c r="G25">
        <v>13.27</v>
      </c>
      <c r="J25">
        <v>0.97</v>
      </c>
      <c r="K25">
        <v>0.4</v>
      </c>
      <c r="L25">
        <v>126</v>
      </c>
      <c r="M25">
        <v>21.52</v>
      </c>
      <c r="N25">
        <v>5.14</v>
      </c>
      <c r="O25">
        <v>2712.02</v>
      </c>
      <c r="P25" t="s">
        <v>3788</v>
      </c>
      <c r="Q25" t="s">
        <v>3603</v>
      </c>
      <c r="R25">
        <v>126</v>
      </c>
      <c r="S25" t="s">
        <v>3604</v>
      </c>
      <c r="T25" s="2">
        <v>42917</v>
      </c>
      <c r="U25">
        <v>2017</v>
      </c>
      <c r="V25">
        <v>0.87590000000000001</v>
      </c>
      <c r="AA25">
        <v>0.1241</v>
      </c>
    </row>
    <row r="26" spans="2:27" x14ac:dyDescent="0.25">
      <c r="B26" t="s">
        <v>1438</v>
      </c>
    </row>
    <row r="27" spans="2:27" x14ac:dyDescent="0.25">
      <c r="B27" t="s">
        <v>66</v>
      </c>
    </row>
    <row r="28" spans="2:27" x14ac:dyDescent="0.25">
      <c r="B28" t="s">
        <v>67</v>
      </c>
    </row>
    <row r="29" spans="2:27" x14ac:dyDescent="0.25">
      <c r="B29" t="s">
        <v>70</v>
      </c>
    </row>
    <row r="30" spans="2:27" x14ac:dyDescent="0.25">
      <c r="B30" t="s">
        <v>74</v>
      </c>
    </row>
    <row r="31" spans="2:27" x14ac:dyDescent="0.25">
      <c r="B31" t="s">
        <v>77</v>
      </c>
    </row>
    <row r="32" spans="2:27" x14ac:dyDescent="0.25">
      <c r="B32" t="s">
        <v>81</v>
      </c>
    </row>
    <row r="33" spans="2:27" x14ac:dyDescent="0.25">
      <c r="B33" t="s">
        <v>85</v>
      </c>
    </row>
    <row r="34" spans="2:27" x14ac:dyDescent="0.25">
      <c r="B34" t="s">
        <v>89</v>
      </c>
    </row>
    <row r="35" spans="2:27" x14ac:dyDescent="0.25">
      <c r="B35" t="s">
        <v>92</v>
      </c>
    </row>
    <row r="36" spans="2:27" x14ac:dyDescent="0.25">
      <c r="B36" t="s">
        <v>95</v>
      </c>
    </row>
    <row r="37" spans="2:27" x14ac:dyDescent="0.25">
      <c r="B37" t="s">
        <v>98</v>
      </c>
    </row>
    <row r="38" spans="2:27" x14ac:dyDescent="0.25">
      <c r="B38" t="s">
        <v>99</v>
      </c>
    </row>
    <row r="39" spans="2:27" x14ac:dyDescent="0.25">
      <c r="B39" t="s">
        <v>100</v>
      </c>
    </row>
    <row r="40" spans="2:27" x14ac:dyDescent="0.25">
      <c r="B40" t="s">
        <v>103</v>
      </c>
      <c r="C40" t="s">
        <v>3626</v>
      </c>
      <c r="D40">
        <v>2021</v>
      </c>
      <c r="E40" s="2">
        <v>44197</v>
      </c>
      <c r="F40">
        <v>47.89</v>
      </c>
      <c r="G40">
        <v>18.14</v>
      </c>
      <c r="H40">
        <v>38.57</v>
      </c>
      <c r="I40">
        <v>13.35</v>
      </c>
      <c r="J40">
        <v>1.39</v>
      </c>
      <c r="K40">
        <v>0.6</v>
      </c>
      <c r="L40">
        <v>89</v>
      </c>
      <c r="M40">
        <v>18.7</v>
      </c>
      <c r="N40">
        <v>7.61</v>
      </c>
      <c r="O40">
        <v>1663.9</v>
      </c>
      <c r="P40" t="s">
        <v>3789</v>
      </c>
      <c r="Q40" t="s">
        <v>3603</v>
      </c>
      <c r="R40">
        <v>89</v>
      </c>
      <c r="S40" t="s">
        <v>3604</v>
      </c>
      <c r="T40" s="2">
        <v>43282</v>
      </c>
      <c r="U40">
        <v>2018</v>
      </c>
      <c r="V40">
        <v>0.98880000000000001</v>
      </c>
      <c r="AA40">
        <v>1.12E-2</v>
      </c>
    </row>
    <row r="41" spans="2:27" x14ac:dyDescent="0.25">
      <c r="B41" t="s">
        <v>107</v>
      </c>
      <c r="C41" t="s">
        <v>3626</v>
      </c>
      <c r="D41">
        <v>2021</v>
      </c>
      <c r="E41" s="2">
        <v>44197</v>
      </c>
      <c r="F41">
        <v>64.27</v>
      </c>
      <c r="G41">
        <v>17.07</v>
      </c>
      <c r="H41">
        <v>51.13</v>
      </c>
      <c r="I41">
        <v>10.31</v>
      </c>
      <c r="J41">
        <v>1.78</v>
      </c>
      <c r="K41">
        <v>0.64</v>
      </c>
      <c r="L41">
        <v>34</v>
      </c>
      <c r="M41">
        <v>18.66</v>
      </c>
      <c r="N41">
        <v>6.8</v>
      </c>
      <c r="O41">
        <v>634.37</v>
      </c>
      <c r="P41" t="s">
        <v>3790</v>
      </c>
      <c r="Q41" t="s">
        <v>3603</v>
      </c>
      <c r="R41">
        <v>34</v>
      </c>
      <c r="S41" t="s">
        <v>3604</v>
      </c>
      <c r="T41" s="2">
        <v>43282</v>
      </c>
      <c r="U41">
        <v>2018</v>
      </c>
      <c r="V41">
        <v>1</v>
      </c>
      <c r="AA41">
        <v>0</v>
      </c>
    </row>
    <row r="42" spans="2:27" x14ac:dyDescent="0.25">
      <c r="B42" t="s">
        <v>110</v>
      </c>
      <c r="C42" t="s">
        <v>3601</v>
      </c>
      <c r="D42">
        <v>2025</v>
      </c>
      <c r="E42" s="2">
        <v>45680</v>
      </c>
      <c r="F42">
        <v>16.03</v>
      </c>
      <c r="G42">
        <v>3.71</v>
      </c>
      <c r="H42">
        <v>9.1</v>
      </c>
      <c r="I42">
        <v>2.88</v>
      </c>
      <c r="J42">
        <v>4.95</v>
      </c>
      <c r="K42">
        <v>1.67</v>
      </c>
      <c r="L42">
        <v>46</v>
      </c>
      <c r="M42">
        <v>3.56</v>
      </c>
      <c r="N42">
        <v>4.42</v>
      </c>
      <c r="O42">
        <v>106.86</v>
      </c>
      <c r="P42" t="s">
        <v>3602</v>
      </c>
      <c r="Q42" t="s">
        <v>3603</v>
      </c>
      <c r="R42">
        <v>77</v>
      </c>
      <c r="S42" t="s">
        <v>3604</v>
      </c>
      <c r="T42" s="2">
        <v>43282</v>
      </c>
      <c r="U42">
        <v>2018</v>
      </c>
      <c r="V42">
        <v>0.62339999999999995</v>
      </c>
      <c r="AA42">
        <v>0.37659999999999999</v>
      </c>
    </row>
    <row r="43" spans="2:27" x14ac:dyDescent="0.25">
      <c r="B43" t="s">
        <v>113</v>
      </c>
    </row>
    <row r="44" spans="2:27" x14ac:dyDescent="0.25">
      <c r="B44" t="s">
        <v>114</v>
      </c>
    </row>
    <row r="45" spans="2:27" x14ac:dyDescent="0.25">
      <c r="B45" t="s">
        <v>118</v>
      </c>
    </row>
    <row r="46" spans="2:27" x14ac:dyDescent="0.25">
      <c r="B46" t="s">
        <v>121</v>
      </c>
    </row>
    <row r="47" spans="2:27" x14ac:dyDescent="0.25">
      <c r="B47" t="s">
        <v>124</v>
      </c>
      <c r="D47">
        <v>2024</v>
      </c>
      <c r="F47">
        <v>23.83</v>
      </c>
      <c r="G47">
        <v>2.59</v>
      </c>
      <c r="H47">
        <v>13.92</v>
      </c>
      <c r="I47">
        <v>2.59</v>
      </c>
      <c r="J47">
        <v>4.78</v>
      </c>
      <c r="K47">
        <v>0.69</v>
      </c>
      <c r="L47">
        <v>145</v>
      </c>
      <c r="M47">
        <v>1.1299999999999999</v>
      </c>
      <c r="N47">
        <v>1.41</v>
      </c>
      <c r="O47">
        <v>144.56</v>
      </c>
      <c r="P47" t="s">
        <v>3750</v>
      </c>
      <c r="Q47" t="s">
        <v>3603</v>
      </c>
      <c r="R47">
        <v>163</v>
      </c>
      <c r="S47" t="s">
        <v>3604</v>
      </c>
      <c r="T47" s="2">
        <v>44013</v>
      </c>
      <c r="U47">
        <v>2020</v>
      </c>
      <c r="V47">
        <v>0.88959999999999995</v>
      </c>
      <c r="AA47">
        <v>0.1104</v>
      </c>
    </row>
    <row r="48" spans="2:27" x14ac:dyDescent="0.25">
      <c r="B48" t="s">
        <v>127</v>
      </c>
    </row>
    <row r="49" spans="2:27" x14ac:dyDescent="0.25">
      <c r="B49" t="s">
        <v>131</v>
      </c>
      <c r="D49">
        <v>2024</v>
      </c>
      <c r="L49">
        <v>0</v>
      </c>
      <c r="O49">
        <v>0</v>
      </c>
      <c r="P49" t="s">
        <v>3772</v>
      </c>
      <c r="Q49" t="s">
        <v>3603</v>
      </c>
      <c r="R49">
        <v>259</v>
      </c>
      <c r="S49" t="s">
        <v>3604</v>
      </c>
      <c r="T49" s="2">
        <v>44013</v>
      </c>
      <c r="U49">
        <v>2020</v>
      </c>
      <c r="V49">
        <v>0.1313</v>
      </c>
      <c r="AA49">
        <v>0.86870000000000003</v>
      </c>
    </row>
    <row r="50" spans="2:27" x14ac:dyDescent="0.25">
      <c r="B50" t="s">
        <v>135</v>
      </c>
    </row>
    <row r="51" spans="2:27" x14ac:dyDescent="0.25">
      <c r="B51" t="s">
        <v>138</v>
      </c>
      <c r="D51">
        <v>2024</v>
      </c>
      <c r="F51">
        <v>17.579999999999998</v>
      </c>
      <c r="G51">
        <v>4.74</v>
      </c>
      <c r="H51">
        <v>11.35</v>
      </c>
      <c r="I51">
        <v>4.99</v>
      </c>
      <c r="J51">
        <v>2.56</v>
      </c>
      <c r="K51">
        <v>0.79</v>
      </c>
      <c r="L51">
        <v>28</v>
      </c>
      <c r="M51">
        <v>0.03</v>
      </c>
      <c r="N51">
        <v>0</v>
      </c>
      <c r="O51">
        <v>0.06</v>
      </c>
      <c r="P51" t="s">
        <v>3752</v>
      </c>
      <c r="Q51" t="s">
        <v>3603</v>
      </c>
      <c r="R51">
        <v>53</v>
      </c>
      <c r="S51" t="s">
        <v>3604</v>
      </c>
      <c r="T51" s="2">
        <v>44013</v>
      </c>
      <c r="U51">
        <v>2020</v>
      </c>
      <c r="V51">
        <v>0.52829999999999999</v>
      </c>
      <c r="AA51">
        <v>0.47170000000000001</v>
      </c>
    </row>
    <row r="52" spans="2:27" x14ac:dyDescent="0.25">
      <c r="B52" t="s">
        <v>142</v>
      </c>
      <c r="D52">
        <v>2024</v>
      </c>
      <c r="F52">
        <v>22.59</v>
      </c>
      <c r="G52">
        <v>3.43</v>
      </c>
      <c r="H52">
        <v>13.77</v>
      </c>
      <c r="I52">
        <v>2.95</v>
      </c>
      <c r="J52">
        <v>4.75</v>
      </c>
      <c r="K52">
        <v>1.25</v>
      </c>
      <c r="L52">
        <v>82</v>
      </c>
      <c r="M52">
        <v>2.06</v>
      </c>
      <c r="N52">
        <v>2.0699999999999998</v>
      </c>
      <c r="O52">
        <v>123.58</v>
      </c>
      <c r="P52" t="s">
        <v>3879</v>
      </c>
      <c r="Q52" t="s">
        <v>3603</v>
      </c>
      <c r="R52">
        <v>88</v>
      </c>
      <c r="S52" t="s">
        <v>3604</v>
      </c>
      <c r="T52" s="2">
        <v>44013</v>
      </c>
      <c r="U52">
        <v>2020</v>
      </c>
      <c r="V52">
        <v>0.93179999999999996</v>
      </c>
      <c r="AA52">
        <v>6.8199999999999997E-2</v>
      </c>
    </row>
    <row r="53" spans="2:27" x14ac:dyDescent="0.25">
      <c r="B53" t="s">
        <v>142</v>
      </c>
    </row>
    <row r="54" spans="2:27" x14ac:dyDescent="0.25">
      <c r="B54" t="s">
        <v>146</v>
      </c>
    </row>
    <row r="55" spans="2:27" x14ac:dyDescent="0.25">
      <c r="B55" t="s">
        <v>149</v>
      </c>
      <c r="D55">
        <v>2024</v>
      </c>
      <c r="F55">
        <v>20.04</v>
      </c>
      <c r="G55">
        <v>2.9</v>
      </c>
      <c r="H55">
        <v>16.28</v>
      </c>
      <c r="I55">
        <v>2.84</v>
      </c>
      <c r="J55">
        <v>3.5</v>
      </c>
      <c r="K55">
        <v>0.87</v>
      </c>
      <c r="L55">
        <v>232</v>
      </c>
      <c r="M55">
        <v>0.68</v>
      </c>
      <c r="N55">
        <v>1.22</v>
      </c>
      <c r="O55">
        <v>42.79</v>
      </c>
      <c r="P55" t="s">
        <v>3753</v>
      </c>
      <c r="Q55" t="s">
        <v>3603</v>
      </c>
      <c r="R55">
        <v>334</v>
      </c>
      <c r="S55" t="s">
        <v>3604</v>
      </c>
      <c r="T55" s="2">
        <v>44013</v>
      </c>
      <c r="U55">
        <v>2020</v>
      </c>
      <c r="V55">
        <v>0.7036</v>
      </c>
      <c r="AA55">
        <v>0.2964</v>
      </c>
    </row>
    <row r="56" spans="2:27" x14ac:dyDescent="0.25">
      <c r="B56" t="s">
        <v>153</v>
      </c>
    </row>
    <row r="57" spans="2:27" x14ac:dyDescent="0.25">
      <c r="B57" t="s">
        <v>156</v>
      </c>
      <c r="D57">
        <v>2024</v>
      </c>
      <c r="F57">
        <v>20.309999999999999</v>
      </c>
      <c r="G57">
        <v>4.28</v>
      </c>
      <c r="H57">
        <v>12.03</v>
      </c>
      <c r="I57">
        <v>3.74</v>
      </c>
      <c r="J57">
        <v>3.66</v>
      </c>
      <c r="K57">
        <v>1.06</v>
      </c>
      <c r="L57">
        <v>53</v>
      </c>
      <c r="M57">
        <v>0.64</v>
      </c>
      <c r="N57">
        <v>0.61</v>
      </c>
      <c r="O57">
        <v>12.77</v>
      </c>
      <c r="P57" t="s">
        <v>3755</v>
      </c>
      <c r="Q57" t="s">
        <v>3603</v>
      </c>
      <c r="R57">
        <v>90</v>
      </c>
      <c r="S57" t="s">
        <v>3604</v>
      </c>
      <c r="T57" s="2">
        <v>44013</v>
      </c>
      <c r="U57">
        <v>2020</v>
      </c>
      <c r="V57">
        <v>0.58889999999999998</v>
      </c>
      <c r="AA57">
        <v>0.41110000000000002</v>
      </c>
    </row>
    <row r="58" spans="2:27" x14ac:dyDescent="0.25">
      <c r="B58" t="s">
        <v>159</v>
      </c>
    </row>
    <row r="59" spans="2:27" x14ac:dyDescent="0.25">
      <c r="B59" t="s">
        <v>162</v>
      </c>
      <c r="D59">
        <v>2024</v>
      </c>
      <c r="F59">
        <v>21.27</v>
      </c>
      <c r="G59">
        <v>3.07</v>
      </c>
      <c r="H59">
        <v>17</v>
      </c>
      <c r="I59">
        <v>3.19</v>
      </c>
      <c r="J59">
        <v>4.68</v>
      </c>
      <c r="K59">
        <v>0.77</v>
      </c>
      <c r="L59">
        <v>149</v>
      </c>
      <c r="M59">
        <v>1.53</v>
      </c>
      <c r="N59">
        <v>1.9</v>
      </c>
      <c r="O59">
        <v>172.6</v>
      </c>
      <c r="P59" t="s">
        <v>3765</v>
      </c>
      <c r="Q59" t="s">
        <v>3603</v>
      </c>
      <c r="R59">
        <v>149</v>
      </c>
      <c r="S59" t="s">
        <v>3604</v>
      </c>
      <c r="T59" s="2">
        <v>44013</v>
      </c>
      <c r="U59">
        <v>2020</v>
      </c>
      <c r="V59">
        <v>1</v>
      </c>
      <c r="AA59">
        <v>0</v>
      </c>
    </row>
    <row r="60" spans="2:27" x14ac:dyDescent="0.25">
      <c r="B60" t="s">
        <v>166</v>
      </c>
      <c r="D60">
        <v>2024</v>
      </c>
      <c r="F60">
        <v>19.57</v>
      </c>
      <c r="G60">
        <v>3.81</v>
      </c>
      <c r="H60">
        <v>10.86</v>
      </c>
      <c r="I60">
        <v>6.93</v>
      </c>
      <c r="J60">
        <v>4.6399999999999997</v>
      </c>
      <c r="K60">
        <v>1.03</v>
      </c>
      <c r="L60">
        <v>141</v>
      </c>
      <c r="M60">
        <v>1.28</v>
      </c>
      <c r="N60">
        <v>1.46</v>
      </c>
      <c r="O60">
        <v>130.47999999999999</v>
      </c>
      <c r="P60" t="s">
        <v>3759</v>
      </c>
      <c r="Q60" t="s">
        <v>3603</v>
      </c>
      <c r="R60">
        <v>166</v>
      </c>
      <c r="S60" t="s">
        <v>3604</v>
      </c>
      <c r="T60" s="2">
        <v>44013</v>
      </c>
      <c r="U60">
        <v>2020</v>
      </c>
      <c r="V60">
        <v>0.86140000000000005</v>
      </c>
      <c r="AA60">
        <v>0.1386</v>
      </c>
    </row>
    <row r="61" spans="2:27" x14ac:dyDescent="0.25">
      <c r="B61" t="s">
        <v>170</v>
      </c>
      <c r="D61">
        <v>2024</v>
      </c>
      <c r="F61">
        <v>19.55</v>
      </c>
      <c r="G61">
        <v>7.42</v>
      </c>
      <c r="H61">
        <v>15.99</v>
      </c>
      <c r="I61">
        <v>6.47</v>
      </c>
      <c r="J61">
        <v>2.68</v>
      </c>
      <c r="K61">
        <v>1.1499999999999999</v>
      </c>
      <c r="L61">
        <v>143</v>
      </c>
      <c r="M61">
        <v>1.17</v>
      </c>
      <c r="N61">
        <v>0.84</v>
      </c>
      <c r="O61">
        <v>28.08</v>
      </c>
      <c r="P61" t="s">
        <v>3761</v>
      </c>
      <c r="Q61" t="s">
        <v>3603</v>
      </c>
      <c r="R61">
        <v>383</v>
      </c>
      <c r="S61" t="s">
        <v>3604</v>
      </c>
      <c r="T61" s="2">
        <v>44013</v>
      </c>
      <c r="U61">
        <v>2020</v>
      </c>
      <c r="V61">
        <v>0.38640000000000002</v>
      </c>
      <c r="AA61">
        <v>0.61360000000000003</v>
      </c>
    </row>
    <row r="62" spans="2:27" x14ac:dyDescent="0.25">
      <c r="B62" t="s">
        <v>174</v>
      </c>
      <c r="D62">
        <v>2024</v>
      </c>
      <c r="F62">
        <v>18.670000000000002</v>
      </c>
      <c r="G62">
        <v>5.07</v>
      </c>
      <c r="H62">
        <v>15.48</v>
      </c>
      <c r="I62">
        <v>4.0999999999999996</v>
      </c>
      <c r="J62">
        <v>3.41</v>
      </c>
      <c r="K62">
        <v>1.21</v>
      </c>
      <c r="L62">
        <v>39</v>
      </c>
      <c r="M62">
        <v>0.84</v>
      </c>
      <c r="N62">
        <v>1.0900000000000001</v>
      </c>
      <c r="O62">
        <v>10.87</v>
      </c>
      <c r="P62" t="s">
        <v>3763</v>
      </c>
      <c r="Q62" t="s">
        <v>3603</v>
      </c>
      <c r="R62">
        <v>58</v>
      </c>
      <c r="S62" t="s">
        <v>3604</v>
      </c>
      <c r="T62" s="2">
        <v>44013</v>
      </c>
      <c r="U62">
        <v>2020</v>
      </c>
      <c r="V62">
        <v>0.6724</v>
      </c>
      <c r="AA62">
        <v>0.3276</v>
      </c>
    </row>
    <row r="63" spans="2:27" x14ac:dyDescent="0.25">
      <c r="B63" t="s">
        <v>177</v>
      </c>
    </row>
    <row r="64" spans="2:27" x14ac:dyDescent="0.25">
      <c r="B64" t="s">
        <v>180</v>
      </c>
      <c r="D64">
        <v>2024</v>
      </c>
      <c r="F64">
        <v>19.57</v>
      </c>
      <c r="G64">
        <v>4.32</v>
      </c>
      <c r="H64">
        <v>14.6</v>
      </c>
      <c r="I64">
        <v>3.48</v>
      </c>
      <c r="J64">
        <v>4.22</v>
      </c>
      <c r="K64">
        <v>1.31</v>
      </c>
      <c r="L64">
        <v>113</v>
      </c>
      <c r="M64">
        <v>1.71</v>
      </c>
      <c r="N64">
        <v>1.72</v>
      </c>
      <c r="O64">
        <v>114.68</v>
      </c>
      <c r="P64" t="s">
        <v>3764</v>
      </c>
      <c r="Q64" t="s">
        <v>3603</v>
      </c>
      <c r="R64">
        <v>119</v>
      </c>
      <c r="S64" t="s">
        <v>3604</v>
      </c>
      <c r="T64" s="2">
        <v>44013</v>
      </c>
      <c r="U64">
        <v>2020</v>
      </c>
      <c r="V64">
        <v>0.9496</v>
      </c>
      <c r="AA64">
        <v>5.04E-2</v>
      </c>
    </row>
    <row r="65" spans="2:27" x14ac:dyDescent="0.25">
      <c r="B65" t="s">
        <v>183</v>
      </c>
      <c r="D65">
        <v>2024</v>
      </c>
      <c r="F65">
        <v>20.99</v>
      </c>
      <c r="G65">
        <v>4.13</v>
      </c>
      <c r="H65">
        <v>13.43</v>
      </c>
      <c r="I65">
        <v>3.22</v>
      </c>
      <c r="J65">
        <v>4.53</v>
      </c>
      <c r="K65">
        <v>1.34</v>
      </c>
      <c r="L65">
        <v>199</v>
      </c>
      <c r="M65">
        <v>2.0299999999999998</v>
      </c>
      <c r="N65">
        <v>2.5099999999999998</v>
      </c>
      <c r="O65">
        <v>276.70999999999998</v>
      </c>
      <c r="P65" t="s">
        <v>3699</v>
      </c>
      <c r="Q65" t="s">
        <v>3603</v>
      </c>
      <c r="R65">
        <v>234</v>
      </c>
      <c r="S65" t="s">
        <v>3604</v>
      </c>
      <c r="T65" s="2">
        <v>44013</v>
      </c>
      <c r="U65">
        <v>2020</v>
      </c>
      <c r="V65">
        <v>0.85040000000000004</v>
      </c>
      <c r="AA65">
        <v>0.14960000000000001</v>
      </c>
    </row>
    <row r="66" spans="2:27" x14ac:dyDescent="0.25">
      <c r="B66" t="s">
        <v>187</v>
      </c>
      <c r="D66">
        <v>2024</v>
      </c>
      <c r="F66">
        <v>24.67</v>
      </c>
      <c r="G66">
        <v>6.25</v>
      </c>
      <c r="H66">
        <v>19.510000000000002</v>
      </c>
      <c r="I66">
        <v>5.14</v>
      </c>
      <c r="J66">
        <v>4.67</v>
      </c>
      <c r="K66">
        <v>0.85</v>
      </c>
      <c r="L66">
        <v>162</v>
      </c>
      <c r="M66">
        <v>2.0099999999999998</v>
      </c>
      <c r="N66">
        <v>3.01</v>
      </c>
      <c r="O66">
        <v>249.83</v>
      </c>
      <c r="P66" t="s">
        <v>3698</v>
      </c>
      <c r="Q66" t="s">
        <v>3603</v>
      </c>
      <c r="R66">
        <v>170</v>
      </c>
      <c r="S66" t="s">
        <v>3604</v>
      </c>
      <c r="T66" s="2">
        <v>44013</v>
      </c>
      <c r="U66">
        <v>2020</v>
      </c>
      <c r="V66">
        <v>0.95289999999999997</v>
      </c>
      <c r="AA66">
        <v>4.7100000000000003E-2</v>
      </c>
    </row>
    <row r="67" spans="2:27" x14ac:dyDescent="0.25">
      <c r="B67" t="s">
        <v>190</v>
      </c>
    </row>
    <row r="68" spans="2:27" x14ac:dyDescent="0.25">
      <c r="B68" t="s">
        <v>193</v>
      </c>
      <c r="D68">
        <v>2024</v>
      </c>
      <c r="F68">
        <v>14.69</v>
      </c>
      <c r="G68">
        <v>4.08</v>
      </c>
      <c r="H68">
        <v>9.02</v>
      </c>
      <c r="I68">
        <v>3.22</v>
      </c>
      <c r="J68">
        <v>2.82</v>
      </c>
      <c r="K68">
        <v>0.71</v>
      </c>
      <c r="L68">
        <v>54</v>
      </c>
      <c r="M68">
        <v>0.03</v>
      </c>
      <c r="N68">
        <v>0.02</v>
      </c>
      <c r="O68">
        <v>0.11</v>
      </c>
      <c r="P68" t="s">
        <v>3697</v>
      </c>
      <c r="Q68" t="s">
        <v>3603</v>
      </c>
      <c r="R68">
        <v>119</v>
      </c>
      <c r="S68" t="s">
        <v>3604</v>
      </c>
      <c r="T68" s="2">
        <v>44013</v>
      </c>
      <c r="U68">
        <v>2020</v>
      </c>
      <c r="V68">
        <v>0.47060000000000002</v>
      </c>
      <c r="AA68">
        <v>0.52939999999999998</v>
      </c>
    </row>
    <row r="69" spans="2:27" x14ac:dyDescent="0.25">
      <c r="B69" t="s">
        <v>196</v>
      </c>
    </row>
    <row r="70" spans="2:27" x14ac:dyDescent="0.25">
      <c r="B70" t="s">
        <v>200</v>
      </c>
      <c r="C70" t="s">
        <v>3730</v>
      </c>
      <c r="D70">
        <v>2021</v>
      </c>
      <c r="E70" s="2">
        <v>44197</v>
      </c>
      <c r="F70">
        <v>11.52</v>
      </c>
      <c r="G70">
        <v>3.32</v>
      </c>
      <c r="J70">
        <v>0.17</v>
      </c>
      <c r="K70">
        <v>0.09</v>
      </c>
      <c r="L70">
        <v>71</v>
      </c>
      <c r="M70">
        <v>10.41</v>
      </c>
      <c r="N70">
        <v>1.97</v>
      </c>
      <c r="O70">
        <v>739.46</v>
      </c>
      <c r="P70" t="s">
        <v>3791</v>
      </c>
      <c r="Q70" t="s">
        <v>3603</v>
      </c>
      <c r="R70">
        <v>71</v>
      </c>
      <c r="S70" t="s">
        <v>3604</v>
      </c>
      <c r="T70" s="2">
        <v>44013</v>
      </c>
      <c r="U70">
        <v>2020</v>
      </c>
      <c r="V70">
        <v>0.11840000000000001</v>
      </c>
      <c r="AA70">
        <v>0.88160000000000005</v>
      </c>
    </row>
    <row r="71" spans="2:27" x14ac:dyDescent="0.25">
      <c r="B71" t="s">
        <v>203</v>
      </c>
      <c r="D71">
        <v>2024</v>
      </c>
      <c r="F71">
        <v>12.97</v>
      </c>
      <c r="G71">
        <v>3.42</v>
      </c>
      <c r="H71">
        <v>7.79</v>
      </c>
      <c r="I71">
        <v>1.57</v>
      </c>
      <c r="J71">
        <v>2.62</v>
      </c>
      <c r="K71">
        <v>0.44</v>
      </c>
      <c r="L71">
        <v>13</v>
      </c>
      <c r="O71">
        <v>0</v>
      </c>
      <c r="P71" t="s">
        <v>3676</v>
      </c>
      <c r="Q71" t="s">
        <v>3603</v>
      </c>
      <c r="R71">
        <v>31</v>
      </c>
      <c r="S71" t="s">
        <v>3604</v>
      </c>
      <c r="T71" s="2">
        <v>44013</v>
      </c>
      <c r="U71">
        <v>2020</v>
      </c>
      <c r="V71">
        <v>0.4194</v>
      </c>
      <c r="AA71">
        <v>0.5806</v>
      </c>
    </row>
    <row r="72" spans="2:27" x14ac:dyDescent="0.25">
      <c r="B72" t="s">
        <v>206</v>
      </c>
      <c r="D72">
        <v>2024</v>
      </c>
      <c r="F72">
        <v>19.809999999999999</v>
      </c>
      <c r="G72">
        <v>2.54</v>
      </c>
      <c r="H72">
        <v>15.77</v>
      </c>
      <c r="I72">
        <v>2.61</v>
      </c>
      <c r="J72">
        <v>3.66</v>
      </c>
      <c r="K72">
        <v>0.95</v>
      </c>
      <c r="L72">
        <v>204</v>
      </c>
      <c r="M72">
        <v>1.25</v>
      </c>
      <c r="N72">
        <v>1.96</v>
      </c>
      <c r="O72">
        <v>79.78</v>
      </c>
      <c r="P72" t="s">
        <v>3629</v>
      </c>
      <c r="Q72" t="s">
        <v>3603</v>
      </c>
      <c r="R72">
        <v>330</v>
      </c>
      <c r="S72" t="s">
        <v>3604</v>
      </c>
      <c r="T72" s="2">
        <v>44013</v>
      </c>
      <c r="U72">
        <v>2020</v>
      </c>
      <c r="V72">
        <v>0.62729999999999997</v>
      </c>
      <c r="AA72">
        <v>0.37269999999999998</v>
      </c>
    </row>
    <row r="73" spans="2:27" x14ac:dyDescent="0.25">
      <c r="B73" t="s">
        <v>210</v>
      </c>
      <c r="D73">
        <v>2024</v>
      </c>
      <c r="F73">
        <v>20.52</v>
      </c>
      <c r="G73">
        <v>4.8099999999999996</v>
      </c>
      <c r="H73">
        <v>16.440000000000001</v>
      </c>
      <c r="I73">
        <v>3.89</v>
      </c>
      <c r="J73">
        <v>2.81</v>
      </c>
      <c r="K73">
        <v>0.69</v>
      </c>
      <c r="L73">
        <v>217</v>
      </c>
      <c r="M73">
        <v>0.05</v>
      </c>
      <c r="N73">
        <v>0.09</v>
      </c>
      <c r="O73">
        <v>0.24</v>
      </c>
      <c r="P73" t="s">
        <v>3630</v>
      </c>
      <c r="Q73" t="s">
        <v>3603</v>
      </c>
      <c r="R73">
        <v>278</v>
      </c>
      <c r="S73" t="s">
        <v>3604</v>
      </c>
      <c r="T73" s="2">
        <v>44013</v>
      </c>
      <c r="U73">
        <v>2020</v>
      </c>
      <c r="V73">
        <v>0.79139999999999999</v>
      </c>
      <c r="AA73">
        <v>0.20860000000000001</v>
      </c>
    </row>
    <row r="74" spans="2:27" x14ac:dyDescent="0.25">
      <c r="B74" t="s">
        <v>213</v>
      </c>
      <c r="D74">
        <v>2024</v>
      </c>
      <c r="F74">
        <v>17.59</v>
      </c>
      <c r="G74">
        <v>5.9</v>
      </c>
      <c r="H74">
        <v>9.56</v>
      </c>
      <c r="I74">
        <v>3.45</v>
      </c>
      <c r="J74">
        <v>3.93</v>
      </c>
      <c r="K74">
        <v>1.71</v>
      </c>
      <c r="L74">
        <v>35</v>
      </c>
      <c r="M74">
        <v>2.3199999999999998</v>
      </c>
      <c r="N74">
        <v>3.74</v>
      </c>
      <c r="O74">
        <v>39.369999999999997</v>
      </c>
      <c r="P74" t="s">
        <v>3631</v>
      </c>
      <c r="Q74" t="s">
        <v>3603</v>
      </c>
      <c r="R74">
        <v>56</v>
      </c>
      <c r="S74" t="s">
        <v>3604</v>
      </c>
      <c r="T74" s="2">
        <v>44013</v>
      </c>
      <c r="U74">
        <v>2020</v>
      </c>
      <c r="V74">
        <v>0.66069999999999995</v>
      </c>
      <c r="AA74">
        <v>0.33929999999999999</v>
      </c>
    </row>
    <row r="75" spans="2:27" x14ac:dyDescent="0.25">
      <c r="B75" t="s">
        <v>214</v>
      </c>
      <c r="D75">
        <v>2024</v>
      </c>
      <c r="F75">
        <v>20.079999999999998</v>
      </c>
      <c r="G75">
        <v>3.55</v>
      </c>
      <c r="H75">
        <v>16.55</v>
      </c>
      <c r="I75">
        <v>2.58</v>
      </c>
      <c r="J75">
        <v>4.6500000000000004</v>
      </c>
      <c r="K75">
        <v>1.1100000000000001</v>
      </c>
      <c r="L75">
        <v>46</v>
      </c>
      <c r="M75">
        <v>2.14</v>
      </c>
      <c r="N75">
        <v>2.74</v>
      </c>
      <c r="O75">
        <v>70.63</v>
      </c>
      <c r="P75" t="s">
        <v>3632</v>
      </c>
      <c r="Q75" t="s">
        <v>3603</v>
      </c>
      <c r="R75">
        <v>52</v>
      </c>
      <c r="S75" t="s">
        <v>3604</v>
      </c>
      <c r="T75" s="2">
        <v>44013</v>
      </c>
      <c r="U75">
        <v>2020</v>
      </c>
      <c r="V75">
        <v>0.88460000000000005</v>
      </c>
      <c r="AA75">
        <v>0.1154</v>
      </c>
    </row>
    <row r="76" spans="2:27" x14ac:dyDescent="0.25">
      <c r="B76" t="s">
        <v>218</v>
      </c>
      <c r="D76">
        <v>2024</v>
      </c>
      <c r="F76">
        <v>15.86</v>
      </c>
      <c r="G76">
        <v>4.21</v>
      </c>
      <c r="H76">
        <v>9.2100000000000009</v>
      </c>
      <c r="I76">
        <v>3.21</v>
      </c>
      <c r="J76">
        <v>3.03</v>
      </c>
      <c r="K76">
        <v>0.75</v>
      </c>
      <c r="L76">
        <v>51</v>
      </c>
      <c r="M76">
        <v>0.08</v>
      </c>
      <c r="N76">
        <v>0.1</v>
      </c>
      <c r="O76">
        <v>0.5</v>
      </c>
      <c r="P76" t="s">
        <v>3633</v>
      </c>
      <c r="Q76" t="s">
        <v>3603</v>
      </c>
      <c r="R76">
        <v>71</v>
      </c>
      <c r="S76" t="s">
        <v>3604</v>
      </c>
      <c r="T76" s="2">
        <v>44013</v>
      </c>
      <c r="U76">
        <v>2020</v>
      </c>
      <c r="V76">
        <v>0.71830000000000005</v>
      </c>
      <c r="AA76">
        <v>0.28170000000000001</v>
      </c>
    </row>
    <row r="77" spans="2:27" x14ac:dyDescent="0.25">
      <c r="B77" t="s">
        <v>221</v>
      </c>
      <c r="D77">
        <v>2024</v>
      </c>
      <c r="F77">
        <v>19.690000000000001</v>
      </c>
      <c r="G77">
        <v>4.47</v>
      </c>
      <c r="H77">
        <v>12.99</v>
      </c>
      <c r="I77">
        <v>3.1</v>
      </c>
      <c r="J77">
        <v>3.96</v>
      </c>
      <c r="K77">
        <v>1</v>
      </c>
      <c r="L77">
        <v>32</v>
      </c>
      <c r="M77">
        <v>0.6</v>
      </c>
      <c r="N77">
        <v>0.81</v>
      </c>
      <c r="O77">
        <v>10.71</v>
      </c>
      <c r="P77" t="s">
        <v>3739</v>
      </c>
      <c r="Q77" t="s">
        <v>3603</v>
      </c>
      <c r="R77">
        <v>115</v>
      </c>
      <c r="S77" t="s">
        <v>3604</v>
      </c>
      <c r="T77" s="2">
        <v>44013</v>
      </c>
      <c r="U77">
        <v>2020</v>
      </c>
      <c r="V77">
        <v>0.27829999999999999</v>
      </c>
      <c r="AA77">
        <v>0.72170000000000001</v>
      </c>
    </row>
    <row r="78" spans="2:27" x14ac:dyDescent="0.25">
      <c r="B78" t="s">
        <v>225</v>
      </c>
      <c r="D78">
        <v>2024</v>
      </c>
      <c r="F78">
        <v>26.33</v>
      </c>
      <c r="G78">
        <v>4.5199999999999996</v>
      </c>
      <c r="H78">
        <v>21.81</v>
      </c>
      <c r="I78">
        <v>3.44</v>
      </c>
      <c r="J78">
        <v>4.3099999999999996</v>
      </c>
      <c r="K78">
        <v>0.87</v>
      </c>
      <c r="L78">
        <v>162</v>
      </c>
      <c r="M78">
        <v>1.69</v>
      </c>
      <c r="N78">
        <v>2.11</v>
      </c>
      <c r="O78">
        <v>169.24</v>
      </c>
      <c r="P78" t="s">
        <v>3634</v>
      </c>
      <c r="Q78" t="s">
        <v>3603</v>
      </c>
      <c r="R78">
        <v>171</v>
      </c>
      <c r="S78" t="s">
        <v>3604</v>
      </c>
      <c r="T78" s="2">
        <v>44013</v>
      </c>
      <c r="U78">
        <v>2020</v>
      </c>
      <c r="V78">
        <v>0.94740000000000002</v>
      </c>
      <c r="AA78">
        <v>5.2600000000000001E-2</v>
      </c>
    </row>
    <row r="79" spans="2:27" x14ac:dyDescent="0.25">
      <c r="B79" t="s">
        <v>228</v>
      </c>
      <c r="D79">
        <v>2024</v>
      </c>
      <c r="F79">
        <v>20.149999999999999</v>
      </c>
      <c r="G79">
        <v>3.13</v>
      </c>
      <c r="H79">
        <v>11.24</v>
      </c>
      <c r="I79">
        <v>2.98</v>
      </c>
      <c r="J79">
        <v>4.68</v>
      </c>
      <c r="K79">
        <v>0.72</v>
      </c>
      <c r="L79">
        <v>65</v>
      </c>
      <c r="M79">
        <v>0.84</v>
      </c>
      <c r="N79">
        <v>1.1399999999999999</v>
      </c>
      <c r="O79">
        <v>46.08</v>
      </c>
      <c r="P79" t="s">
        <v>3635</v>
      </c>
      <c r="Q79" t="s">
        <v>3603</v>
      </c>
      <c r="R79">
        <v>81</v>
      </c>
      <c r="S79" t="s">
        <v>3604</v>
      </c>
      <c r="T79" s="2">
        <v>44013</v>
      </c>
      <c r="U79">
        <v>2020</v>
      </c>
      <c r="V79">
        <v>0.80249999999999999</v>
      </c>
      <c r="AA79">
        <v>0.19750000000000001</v>
      </c>
    </row>
    <row r="80" spans="2:27" x14ac:dyDescent="0.25">
      <c r="B80" t="s">
        <v>232</v>
      </c>
    </row>
    <row r="81" spans="2:27" x14ac:dyDescent="0.25">
      <c r="B81" t="s">
        <v>235</v>
      </c>
      <c r="D81">
        <v>2024</v>
      </c>
      <c r="F81">
        <v>31.99</v>
      </c>
      <c r="G81">
        <v>5.34</v>
      </c>
      <c r="H81">
        <v>24.8</v>
      </c>
      <c r="I81">
        <v>4.26</v>
      </c>
      <c r="J81">
        <v>5.31</v>
      </c>
      <c r="K81">
        <v>0.85</v>
      </c>
      <c r="L81">
        <v>137</v>
      </c>
      <c r="M81">
        <v>4.29</v>
      </c>
      <c r="N81">
        <v>4.74</v>
      </c>
      <c r="O81">
        <v>554</v>
      </c>
      <c r="P81" t="s">
        <v>3637</v>
      </c>
      <c r="Q81" t="s">
        <v>3603</v>
      </c>
      <c r="R81">
        <v>181</v>
      </c>
      <c r="S81" t="s">
        <v>3604</v>
      </c>
      <c r="T81" s="2">
        <v>44013</v>
      </c>
      <c r="U81">
        <v>2020</v>
      </c>
      <c r="V81">
        <v>0.76239999999999997</v>
      </c>
      <c r="AA81">
        <v>0.23760000000000001</v>
      </c>
    </row>
    <row r="82" spans="2:27" x14ac:dyDescent="0.25">
      <c r="B82" t="s">
        <v>238</v>
      </c>
      <c r="D82">
        <v>2024</v>
      </c>
      <c r="F82">
        <v>17.739999999999998</v>
      </c>
      <c r="G82">
        <v>4.43</v>
      </c>
      <c r="H82">
        <v>10.7</v>
      </c>
      <c r="I82">
        <v>3.18</v>
      </c>
      <c r="J82">
        <v>3.68</v>
      </c>
      <c r="K82">
        <v>1.24</v>
      </c>
      <c r="L82">
        <v>65</v>
      </c>
      <c r="M82">
        <v>1.0900000000000001</v>
      </c>
      <c r="N82">
        <v>1.32</v>
      </c>
      <c r="O82">
        <v>26.11</v>
      </c>
      <c r="P82" t="s">
        <v>3645</v>
      </c>
      <c r="Q82" t="s">
        <v>3603</v>
      </c>
      <c r="R82">
        <v>112</v>
      </c>
      <c r="S82" t="s">
        <v>3604</v>
      </c>
      <c r="T82" s="2">
        <v>44013</v>
      </c>
      <c r="U82">
        <v>2020</v>
      </c>
      <c r="V82">
        <v>0.58040000000000003</v>
      </c>
      <c r="AA82">
        <v>0.41959999999999997</v>
      </c>
    </row>
    <row r="83" spans="2:27" x14ac:dyDescent="0.25">
      <c r="B83" t="s">
        <v>241</v>
      </c>
      <c r="C83" t="s">
        <v>3792</v>
      </c>
      <c r="D83">
        <v>2021</v>
      </c>
      <c r="E83" s="2">
        <v>44197</v>
      </c>
      <c r="F83">
        <v>13.74</v>
      </c>
      <c r="G83">
        <v>5.33</v>
      </c>
      <c r="H83">
        <v>13.7</v>
      </c>
      <c r="I83">
        <v>5.03</v>
      </c>
      <c r="J83">
        <v>0.24</v>
      </c>
      <c r="K83">
        <v>0.11</v>
      </c>
      <c r="L83">
        <v>94</v>
      </c>
      <c r="M83">
        <v>11.98</v>
      </c>
      <c r="N83">
        <v>4.0199999999999996</v>
      </c>
      <c r="O83">
        <v>1126.23</v>
      </c>
      <c r="P83" t="s">
        <v>3793</v>
      </c>
      <c r="Q83" t="s">
        <v>3603</v>
      </c>
      <c r="R83">
        <v>94</v>
      </c>
      <c r="S83" t="s">
        <v>3604</v>
      </c>
      <c r="T83" s="2">
        <v>44378</v>
      </c>
      <c r="U83">
        <v>2021</v>
      </c>
      <c r="V83">
        <v>1</v>
      </c>
      <c r="AA83">
        <v>0</v>
      </c>
    </row>
    <row r="84" spans="2:27" x14ac:dyDescent="0.25">
      <c r="B84" t="s">
        <v>244</v>
      </c>
    </row>
    <row r="85" spans="2:27" x14ac:dyDescent="0.25">
      <c r="B85" t="s">
        <v>245</v>
      </c>
    </row>
    <row r="86" spans="2:27" x14ac:dyDescent="0.25">
      <c r="B86" t="s">
        <v>249</v>
      </c>
      <c r="C86" t="s">
        <v>3621</v>
      </c>
      <c r="D86">
        <v>2025</v>
      </c>
      <c r="E86" s="2">
        <v>45680</v>
      </c>
      <c r="F86">
        <v>21.92</v>
      </c>
      <c r="G86">
        <v>1.8</v>
      </c>
      <c r="H86">
        <v>15.41</v>
      </c>
      <c r="I86">
        <v>2.2000000000000002</v>
      </c>
      <c r="J86">
        <v>6.39</v>
      </c>
      <c r="K86">
        <v>1.37</v>
      </c>
      <c r="L86">
        <v>91</v>
      </c>
      <c r="M86">
        <v>7.91</v>
      </c>
      <c r="N86">
        <v>6.17</v>
      </c>
      <c r="O86">
        <v>751.47</v>
      </c>
      <c r="P86" t="s">
        <v>3643</v>
      </c>
      <c r="Q86" t="s">
        <v>3603</v>
      </c>
      <c r="R86">
        <v>105</v>
      </c>
      <c r="S86" t="s">
        <v>3604</v>
      </c>
      <c r="T86" s="2">
        <v>44378</v>
      </c>
      <c r="U86">
        <v>2021</v>
      </c>
      <c r="V86">
        <v>0.97140000000000004</v>
      </c>
      <c r="AA86">
        <v>2.86E-2</v>
      </c>
    </row>
    <row r="87" spans="2:27" x14ac:dyDescent="0.25">
      <c r="B87" t="s">
        <v>249</v>
      </c>
      <c r="D87">
        <v>2024</v>
      </c>
      <c r="F87">
        <v>25.98</v>
      </c>
      <c r="G87">
        <v>3.22</v>
      </c>
      <c r="H87">
        <v>21.3</v>
      </c>
      <c r="I87">
        <v>2.96</v>
      </c>
      <c r="J87">
        <v>5.58</v>
      </c>
      <c r="K87">
        <v>1.34</v>
      </c>
      <c r="L87">
        <v>131</v>
      </c>
      <c r="M87">
        <v>6.69</v>
      </c>
      <c r="N87">
        <v>7.44</v>
      </c>
      <c r="O87">
        <v>809.38</v>
      </c>
      <c r="P87" t="s">
        <v>3865</v>
      </c>
      <c r="Q87" t="s">
        <v>3603</v>
      </c>
      <c r="R87">
        <v>139</v>
      </c>
      <c r="S87" t="s">
        <v>3604</v>
      </c>
      <c r="T87" s="2">
        <v>44378</v>
      </c>
      <c r="U87">
        <v>2021</v>
      </c>
      <c r="V87">
        <v>0.97840000000000005</v>
      </c>
      <c r="AA87">
        <v>2.1600000000000001E-2</v>
      </c>
    </row>
    <row r="88" spans="2:27" x14ac:dyDescent="0.25">
      <c r="B88" t="s">
        <v>252</v>
      </c>
      <c r="C88" t="s">
        <v>3621</v>
      </c>
      <c r="D88">
        <v>2025</v>
      </c>
      <c r="E88" s="2">
        <v>45680</v>
      </c>
      <c r="F88">
        <v>19.600000000000001</v>
      </c>
      <c r="G88">
        <v>3.51</v>
      </c>
      <c r="H88">
        <v>10.42</v>
      </c>
      <c r="I88">
        <v>3.06</v>
      </c>
      <c r="J88">
        <v>5.21</v>
      </c>
      <c r="K88">
        <v>1.27</v>
      </c>
      <c r="L88">
        <v>110</v>
      </c>
      <c r="M88">
        <v>2.4300000000000002</v>
      </c>
      <c r="N88">
        <v>1.88</v>
      </c>
      <c r="O88">
        <v>216.03</v>
      </c>
      <c r="P88" t="s">
        <v>3644</v>
      </c>
      <c r="Q88" t="s">
        <v>3603</v>
      </c>
      <c r="R88">
        <v>154</v>
      </c>
      <c r="S88" t="s">
        <v>3604</v>
      </c>
      <c r="T88" s="2">
        <v>44378</v>
      </c>
      <c r="U88">
        <v>2021</v>
      </c>
      <c r="V88">
        <v>0.71430000000000005</v>
      </c>
      <c r="AA88">
        <v>0.28570000000000001</v>
      </c>
    </row>
    <row r="89" spans="2:27" x14ac:dyDescent="0.25">
      <c r="B89" t="s">
        <v>252</v>
      </c>
      <c r="D89">
        <v>2024</v>
      </c>
      <c r="F89">
        <v>20.350000000000001</v>
      </c>
      <c r="G89">
        <v>2.6</v>
      </c>
      <c r="H89">
        <v>16.579999999999998</v>
      </c>
      <c r="I89">
        <v>2.5299999999999998</v>
      </c>
      <c r="J89">
        <v>4.16</v>
      </c>
      <c r="K89">
        <v>1.01</v>
      </c>
      <c r="L89">
        <v>119</v>
      </c>
      <c r="M89">
        <v>1.41</v>
      </c>
      <c r="N89">
        <v>1.66</v>
      </c>
      <c r="O89">
        <v>90.01</v>
      </c>
      <c r="P89" t="s">
        <v>3866</v>
      </c>
      <c r="Q89" t="s">
        <v>3603</v>
      </c>
      <c r="R89">
        <v>140</v>
      </c>
      <c r="S89" t="s">
        <v>3604</v>
      </c>
      <c r="T89" s="2">
        <v>44378</v>
      </c>
      <c r="U89">
        <v>2021</v>
      </c>
      <c r="V89">
        <v>0.85</v>
      </c>
      <c r="AA89">
        <v>0.15</v>
      </c>
    </row>
    <row r="90" spans="2:27" x14ac:dyDescent="0.25">
      <c r="B90" t="s">
        <v>256</v>
      </c>
      <c r="C90" t="s">
        <v>3621</v>
      </c>
      <c r="D90">
        <v>2025</v>
      </c>
      <c r="E90" s="2">
        <v>45684</v>
      </c>
      <c r="F90">
        <v>21.88</v>
      </c>
      <c r="G90">
        <v>4.62</v>
      </c>
      <c r="H90">
        <v>12.91</v>
      </c>
      <c r="I90">
        <v>3.59</v>
      </c>
      <c r="J90">
        <v>3.64</v>
      </c>
      <c r="K90">
        <v>1.03</v>
      </c>
      <c r="L90">
        <v>77</v>
      </c>
      <c r="M90">
        <v>0.54</v>
      </c>
      <c r="N90">
        <v>0.79</v>
      </c>
      <c r="O90">
        <v>13.52</v>
      </c>
      <c r="P90" t="s">
        <v>3628</v>
      </c>
      <c r="Q90" t="s">
        <v>3603</v>
      </c>
      <c r="R90">
        <v>98</v>
      </c>
      <c r="S90" t="s">
        <v>3604</v>
      </c>
      <c r="T90" s="2">
        <v>44378</v>
      </c>
      <c r="U90">
        <v>2021</v>
      </c>
      <c r="V90">
        <v>0.78569999999999995</v>
      </c>
      <c r="AA90">
        <v>0.21429999999999999</v>
      </c>
    </row>
    <row r="91" spans="2:27" x14ac:dyDescent="0.25">
      <c r="B91" t="s">
        <v>256</v>
      </c>
      <c r="D91">
        <v>2024</v>
      </c>
      <c r="F91">
        <v>20.16</v>
      </c>
      <c r="G91">
        <v>3.45</v>
      </c>
      <c r="H91">
        <v>16.36</v>
      </c>
      <c r="I91">
        <v>3.37</v>
      </c>
      <c r="J91">
        <v>3.5</v>
      </c>
      <c r="K91">
        <v>0.96</v>
      </c>
      <c r="L91">
        <v>73</v>
      </c>
      <c r="M91">
        <v>0.52</v>
      </c>
      <c r="N91">
        <v>0.52</v>
      </c>
      <c r="O91">
        <v>11.88</v>
      </c>
      <c r="P91" t="s">
        <v>3867</v>
      </c>
      <c r="Q91" t="s">
        <v>3603</v>
      </c>
      <c r="R91">
        <v>81</v>
      </c>
      <c r="S91" t="s">
        <v>3604</v>
      </c>
      <c r="T91" s="2">
        <v>44378</v>
      </c>
      <c r="U91">
        <v>2021</v>
      </c>
      <c r="V91">
        <v>0.9012</v>
      </c>
      <c r="AA91">
        <v>9.8799999999999999E-2</v>
      </c>
    </row>
    <row r="92" spans="2:27" x14ac:dyDescent="0.25">
      <c r="B92" t="s">
        <v>259</v>
      </c>
      <c r="C92" t="s">
        <v>3626</v>
      </c>
      <c r="D92">
        <v>2025</v>
      </c>
      <c r="E92" s="2">
        <v>45307</v>
      </c>
      <c r="F92">
        <v>27.88</v>
      </c>
      <c r="G92">
        <v>3.55</v>
      </c>
      <c r="H92">
        <v>11.95</v>
      </c>
      <c r="I92">
        <v>2.8</v>
      </c>
      <c r="J92">
        <v>6.21</v>
      </c>
      <c r="K92">
        <v>1.04</v>
      </c>
      <c r="L92">
        <v>132</v>
      </c>
      <c r="M92">
        <v>4.8099999999999996</v>
      </c>
      <c r="N92">
        <v>3.53</v>
      </c>
      <c r="O92">
        <v>620.23</v>
      </c>
      <c r="P92" t="s">
        <v>3627</v>
      </c>
      <c r="Q92" t="s">
        <v>3603</v>
      </c>
      <c r="R92">
        <v>135</v>
      </c>
      <c r="S92" t="s">
        <v>3604</v>
      </c>
      <c r="T92" s="2">
        <v>44378</v>
      </c>
      <c r="U92">
        <v>2021</v>
      </c>
      <c r="V92">
        <v>0.99260000000000004</v>
      </c>
      <c r="AA92">
        <v>7.4000000000000003E-3</v>
      </c>
    </row>
    <row r="93" spans="2:27" x14ac:dyDescent="0.25">
      <c r="B93" t="s">
        <v>259</v>
      </c>
      <c r="D93">
        <v>2024</v>
      </c>
      <c r="F93">
        <v>22.04</v>
      </c>
      <c r="G93">
        <v>2.98</v>
      </c>
      <c r="H93">
        <v>13.37</v>
      </c>
      <c r="I93">
        <v>2.52</v>
      </c>
      <c r="J93">
        <v>5.24</v>
      </c>
      <c r="K93">
        <v>1.06</v>
      </c>
      <c r="L93">
        <v>117</v>
      </c>
      <c r="M93">
        <v>2.69</v>
      </c>
      <c r="N93">
        <v>2.27</v>
      </c>
      <c r="O93">
        <v>269.49</v>
      </c>
      <c r="P93" t="s">
        <v>3868</v>
      </c>
      <c r="Q93" t="s">
        <v>3603</v>
      </c>
      <c r="R93">
        <v>119</v>
      </c>
      <c r="S93" t="s">
        <v>3604</v>
      </c>
      <c r="T93" s="2">
        <v>44378</v>
      </c>
      <c r="U93">
        <v>2021</v>
      </c>
      <c r="V93">
        <v>0.98319999999999996</v>
      </c>
      <c r="AA93">
        <v>1.6799999999999999E-2</v>
      </c>
    </row>
    <row r="94" spans="2:27" x14ac:dyDescent="0.25">
      <c r="B94" t="s">
        <v>262</v>
      </c>
      <c r="C94" t="s">
        <v>3619</v>
      </c>
      <c r="D94">
        <v>2025</v>
      </c>
      <c r="E94" s="2">
        <v>45687</v>
      </c>
      <c r="F94">
        <v>10.199999999999999</v>
      </c>
      <c r="G94">
        <v>11.88</v>
      </c>
      <c r="H94">
        <v>4.3</v>
      </c>
      <c r="I94">
        <v>5.18</v>
      </c>
      <c r="J94">
        <v>6.02</v>
      </c>
      <c r="K94">
        <v>1.1399999999999999</v>
      </c>
      <c r="L94">
        <v>67</v>
      </c>
      <c r="M94">
        <v>2.29</v>
      </c>
      <c r="N94">
        <v>2.4</v>
      </c>
      <c r="O94">
        <v>66.42</v>
      </c>
      <c r="P94" t="s">
        <v>3625</v>
      </c>
      <c r="Q94" t="s">
        <v>3603</v>
      </c>
      <c r="R94">
        <v>98</v>
      </c>
      <c r="S94" t="s">
        <v>3604</v>
      </c>
      <c r="T94" s="2">
        <v>44378</v>
      </c>
      <c r="U94">
        <v>2021</v>
      </c>
      <c r="V94">
        <v>0.70409999999999995</v>
      </c>
      <c r="AA94">
        <v>0.2959</v>
      </c>
    </row>
    <row r="95" spans="2:27" x14ac:dyDescent="0.25">
      <c r="B95" t="s">
        <v>262</v>
      </c>
      <c r="D95">
        <v>2024</v>
      </c>
      <c r="F95">
        <v>19.12</v>
      </c>
      <c r="G95">
        <v>4.3099999999999996</v>
      </c>
      <c r="H95">
        <v>11.9</v>
      </c>
      <c r="I95">
        <v>3.31</v>
      </c>
      <c r="J95">
        <v>4.88</v>
      </c>
      <c r="K95">
        <v>1.57</v>
      </c>
      <c r="L95">
        <v>189</v>
      </c>
      <c r="M95">
        <v>3.29</v>
      </c>
      <c r="N95">
        <v>3.23</v>
      </c>
      <c r="O95">
        <v>427.95</v>
      </c>
      <c r="P95" t="s">
        <v>3869</v>
      </c>
      <c r="Q95" t="s">
        <v>3603</v>
      </c>
      <c r="R95">
        <v>204</v>
      </c>
      <c r="S95" t="s">
        <v>3604</v>
      </c>
      <c r="T95" s="2">
        <v>44378</v>
      </c>
      <c r="U95">
        <v>2021</v>
      </c>
      <c r="V95">
        <v>0.93630000000000002</v>
      </c>
      <c r="AA95">
        <v>6.3700000000000007E-2</v>
      </c>
    </row>
    <row r="96" spans="2:27" x14ac:dyDescent="0.25">
      <c r="B96" t="s">
        <v>265</v>
      </c>
      <c r="C96" t="s">
        <v>3619</v>
      </c>
      <c r="D96">
        <v>2025</v>
      </c>
      <c r="E96" s="2">
        <v>45691</v>
      </c>
      <c r="F96">
        <v>23.51</v>
      </c>
      <c r="G96">
        <v>2.04</v>
      </c>
      <c r="H96">
        <v>14.25</v>
      </c>
      <c r="I96">
        <v>2.33</v>
      </c>
      <c r="J96">
        <v>5.21</v>
      </c>
      <c r="K96">
        <v>0.9</v>
      </c>
      <c r="L96">
        <v>81</v>
      </c>
      <c r="M96">
        <v>2.08</v>
      </c>
      <c r="N96">
        <v>1.9</v>
      </c>
      <c r="O96">
        <v>157.76</v>
      </c>
      <c r="P96" t="s">
        <v>3624</v>
      </c>
      <c r="Q96" t="s">
        <v>3603</v>
      </c>
      <c r="R96">
        <v>82</v>
      </c>
      <c r="S96" t="s">
        <v>3604</v>
      </c>
      <c r="T96" s="2">
        <v>44378</v>
      </c>
      <c r="U96">
        <v>2021</v>
      </c>
      <c r="V96">
        <v>0.98780000000000001</v>
      </c>
      <c r="AA96">
        <v>1.2200000000000001E-2</v>
      </c>
    </row>
    <row r="97" spans="2:27" x14ac:dyDescent="0.25">
      <c r="B97" t="s">
        <v>265</v>
      </c>
      <c r="D97">
        <v>2024</v>
      </c>
      <c r="F97">
        <v>32.53</v>
      </c>
      <c r="G97">
        <v>3.41</v>
      </c>
      <c r="H97">
        <v>25.8</v>
      </c>
      <c r="I97">
        <v>3.01</v>
      </c>
      <c r="J97">
        <v>4.9400000000000004</v>
      </c>
      <c r="K97">
        <v>0.71</v>
      </c>
      <c r="L97">
        <v>81</v>
      </c>
      <c r="M97">
        <v>2.62</v>
      </c>
      <c r="N97">
        <v>2.4300000000000002</v>
      </c>
      <c r="O97">
        <v>188.57</v>
      </c>
      <c r="P97" t="s">
        <v>3870</v>
      </c>
      <c r="Q97" t="s">
        <v>3603</v>
      </c>
      <c r="R97">
        <v>85</v>
      </c>
      <c r="S97" t="s">
        <v>3604</v>
      </c>
      <c r="T97" s="2">
        <v>44378</v>
      </c>
      <c r="U97">
        <v>2021</v>
      </c>
      <c r="V97">
        <v>0.95289999999999997</v>
      </c>
      <c r="AA97">
        <v>4.7100000000000003E-2</v>
      </c>
    </row>
    <row r="98" spans="2:27" x14ac:dyDescent="0.25">
      <c r="B98" t="s">
        <v>268</v>
      </c>
    </row>
    <row r="99" spans="2:27" x14ac:dyDescent="0.25">
      <c r="B99" t="s">
        <v>271</v>
      </c>
    </row>
    <row r="100" spans="2:27" x14ac:dyDescent="0.25">
      <c r="B100" t="s">
        <v>274</v>
      </c>
      <c r="C100" t="s">
        <v>3626</v>
      </c>
      <c r="D100">
        <v>2022</v>
      </c>
      <c r="E100" s="2">
        <v>44562</v>
      </c>
      <c r="F100">
        <v>3.04</v>
      </c>
      <c r="G100">
        <v>5.58</v>
      </c>
      <c r="H100">
        <v>0.35</v>
      </c>
      <c r="I100">
        <v>2.21</v>
      </c>
      <c r="J100">
        <v>0.63</v>
      </c>
      <c r="K100">
        <v>1.1499999999999999</v>
      </c>
      <c r="L100">
        <v>250</v>
      </c>
      <c r="M100">
        <v>0.55000000000000004</v>
      </c>
      <c r="N100">
        <v>1.07</v>
      </c>
      <c r="O100">
        <v>136.99</v>
      </c>
      <c r="P100" t="s">
        <v>3794</v>
      </c>
      <c r="Q100" t="s">
        <v>3603</v>
      </c>
      <c r="R100">
        <v>250</v>
      </c>
      <c r="S100" t="s">
        <v>3604</v>
      </c>
      <c r="T100" s="2">
        <v>43647</v>
      </c>
      <c r="U100">
        <v>2019</v>
      </c>
      <c r="V100">
        <v>0.27600000000000002</v>
      </c>
      <c r="AA100">
        <v>0.72399999999999998</v>
      </c>
    </row>
    <row r="101" spans="2:27" x14ac:dyDescent="0.25">
      <c r="B101" t="s">
        <v>278</v>
      </c>
      <c r="C101" t="s">
        <v>3626</v>
      </c>
      <c r="D101">
        <v>2022</v>
      </c>
      <c r="E101" s="2">
        <v>44562</v>
      </c>
      <c r="F101">
        <v>7.37</v>
      </c>
      <c r="G101">
        <v>7.8</v>
      </c>
      <c r="H101">
        <v>1.5</v>
      </c>
      <c r="I101">
        <v>4.79</v>
      </c>
      <c r="J101">
        <v>1.5</v>
      </c>
      <c r="K101">
        <v>1.7</v>
      </c>
      <c r="L101">
        <v>120</v>
      </c>
      <c r="M101">
        <v>1.5</v>
      </c>
      <c r="N101">
        <v>1.97</v>
      </c>
      <c r="O101">
        <v>179.9</v>
      </c>
      <c r="P101" t="s">
        <v>3795</v>
      </c>
      <c r="Q101" t="s">
        <v>3603</v>
      </c>
      <c r="R101">
        <v>120</v>
      </c>
      <c r="S101" t="s">
        <v>3604</v>
      </c>
      <c r="T101" s="2">
        <v>43647</v>
      </c>
      <c r="U101">
        <v>2019</v>
      </c>
      <c r="V101">
        <v>0.5917</v>
      </c>
      <c r="AA101">
        <v>0.4083</v>
      </c>
    </row>
    <row r="102" spans="2:27" x14ac:dyDescent="0.25">
      <c r="B102" t="s">
        <v>282</v>
      </c>
    </row>
    <row r="103" spans="2:27" x14ac:dyDescent="0.25">
      <c r="B103" t="s">
        <v>283</v>
      </c>
      <c r="C103" t="s">
        <v>3646</v>
      </c>
      <c r="D103">
        <v>2021</v>
      </c>
      <c r="E103" s="2">
        <v>44197</v>
      </c>
      <c r="F103">
        <v>33.97</v>
      </c>
      <c r="G103">
        <v>17.309999999999999</v>
      </c>
      <c r="J103">
        <v>0.74</v>
      </c>
      <c r="K103">
        <v>0.38</v>
      </c>
      <c r="L103">
        <v>160</v>
      </c>
      <c r="M103">
        <v>20.64</v>
      </c>
      <c r="N103">
        <v>7.83</v>
      </c>
      <c r="O103">
        <v>3302.33</v>
      </c>
      <c r="P103" t="s">
        <v>3796</v>
      </c>
      <c r="Q103" t="s">
        <v>3603</v>
      </c>
      <c r="R103">
        <v>160</v>
      </c>
      <c r="S103" t="s">
        <v>3604</v>
      </c>
      <c r="T103" s="2">
        <v>43647</v>
      </c>
      <c r="U103">
        <v>2019</v>
      </c>
      <c r="V103">
        <v>0.55630000000000002</v>
      </c>
      <c r="AA103">
        <v>0.44379999999999997</v>
      </c>
    </row>
    <row r="104" spans="2:27" x14ac:dyDescent="0.25">
      <c r="B104" t="s">
        <v>286</v>
      </c>
    </row>
    <row r="105" spans="2:27" x14ac:dyDescent="0.25">
      <c r="B105" t="s">
        <v>287</v>
      </c>
      <c r="D105">
        <v>2024</v>
      </c>
      <c r="F105">
        <v>14.6</v>
      </c>
      <c r="G105">
        <v>4.1500000000000004</v>
      </c>
      <c r="H105">
        <v>9.59</v>
      </c>
      <c r="I105">
        <v>2.78</v>
      </c>
      <c r="J105">
        <v>2.96</v>
      </c>
      <c r="K105">
        <v>0.96</v>
      </c>
      <c r="L105">
        <v>81</v>
      </c>
      <c r="M105">
        <v>0.49</v>
      </c>
      <c r="N105">
        <v>0.65</v>
      </c>
      <c r="O105">
        <v>5.87</v>
      </c>
      <c r="P105" t="s">
        <v>3638</v>
      </c>
      <c r="Q105" t="s">
        <v>3603</v>
      </c>
      <c r="R105">
        <v>150</v>
      </c>
      <c r="S105" t="s">
        <v>3604</v>
      </c>
      <c r="T105" s="2">
        <v>43647</v>
      </c>
      <c r="U105">
        <v>2019</v>
      </c>
      <c r="V105">
        <v>0.54669999999999996</v>
      </c>
      <c r="AA105">
        <v>0.45329999999999998</v>
      </c>
    </row>
    <row r="106" spans="2:27" x14ac:dyDescent="0.25">
      <c r="B106" t="s">
        <v>291</v>
      </c>
      <c r="D106">
        <v>2024</v>
      </c>
      <c r="F106">
        <v>16.66</v>
      </c>
      <c r="G106">
        <v>4.22</v>
      </c>
      <c r="H106">
        <v>9.83</v>
      </c>
      <c r="I106">
        <v>2.84</v>
      </c>
      <c r="J106">
        <v>3.38</v>
      </c>
      <c r="K106">
        <v>1.24</v>
      </c>
      <c r="L106">
        <v>223</v>
      </c>
      <c r="M106">
        <v>1.19</v>
      </c>
      <c r="N106">
        <v>2.12</v>
      </c>
      <c r="O106">
        <v>71.489999999999995</v>
      </c>
      <c r="P106" t="s">
        <v>3639</v>
      </c>
      <c r="Q106" t="s">
        <v>3603</v>
      </c>
      <c r="R106">
        <v>386</v>
      </c>
      <c r="S106" t="s">
        <v>3604</v>
      </c>
      <c r="T106" s="2">
        <v>43647</v>
      </c>
      <c r="U106">
        <v>2019</v>
      </c>
      <c r="V106">
        <v>0.58550000000000002</v>
      </c>
      <c r="AA106">
        <v>0.41449999999999998</v>
      </c>
    </row>
    <row r="107" spans="2:27" x14ac:dyDescent="0.25">
      <c r="B107" t="s">
        <v>295</v>
      </c>
      <c r="C107" t="s">
        <v>3646</v>
      </c>
      <c r="D107">
        <v>2021</v>
      </c>
      <c r="E107" s="2">
        <v>44197</v>
      </c>
      <c r="F107">
        <v>33.409999999999997</v>
      </c>
      <c r="G107">
        <v>17.420000000000002</v>
      </c>
      <c r="J107">
        <v>0.68</v>
      </c>
      <c r="K107">
        <v>0.37</v>
      </c>
      <c r="L107">
        <v>96</v>
      </c>
      <c r="M107">
        <v>21.15</v>
      </c>
      <c r="N107">
        <v>8.19</v>
      </c>
      <c r="O107">
        <v>2030.52</v>
      </c>
      <c r="P107" t="s">
        <v>3797</v>
      </c>
      <c r="Q107" t="s">
        <v>3603</v>
      </c>
      <c r="R107">
        <v>96</v>
      </c>
      <c r="S107" t="s">
        <v>3604</v>
      </c>
      <c r="T107" s="2">
        <v>43647</v>
      </c>
      <c r="U107">
        <v>2019</v>
      </c>
      <c r="V107">
        <v>0.41670000000000001</v>
      </c>
      <c r="AA107">
        <v>0.58330000000000004</v>
      </c>
    </row>
    <row r="108" spans="2:27" x14ac:dyDescent="0.25">
      <c r="B108" t="s">
        <v>299</v>
      </c>
      <c r="D108">
        <v>2024</v>
      </c>
      <c r="F108">
        <v>17.27</v>
      </c>
      <c r="G108">
        <v>4.42</v>
      </c>
      <c r="H108">
        <v>10.57</v>
      </c>
      <c r="I108">
        <v>3.57</v>
      </c>
      <c r="J108">
        <v>3.47</v>
      </c>
      <c r="K108">
        <v>0.8</v>
      </c>
      <c r="L108">
        <v>101</v>
      </c>
      <c r="M108">
        <v>0.31</v>
      </c>
      <c r="N108">
        <v>0.55000000000000004</v>
      </c>
      <c r="O108">
        <v>7.63</v>
      </c>
      <c r="P108" t="s">
        <v>3640</v>
      </c>
      <c r="Q108" t="s">
        <v>3603</v>
      </c>
      <c r="R108">
        <v>126</v>
      </c>
      <c r="S108" t="s">
        <v>3604</v>
      </c>
      <c r="T108" s="2">
        <v>43647</v>
      </c>
      <c r="U108">
        <v>2019</v>
      </c>
      <c r="V108">
        <v>0.80159999999999998</v>
      </c>
      <c r="AA108">
        <v>0.19839999999999999</v>
      </c>
    </row>
    <row r="109" spans="2:27" x14ac:dyDescent="0.25">
      <c r="B109" t="s">
        <v>302</v>
      </c>
    </row>
    <row r="110" spans="2:27" x14ac:dyDescent="0.25">
      <c r="B110" t="s">
        <v>305</v>
      </c>
    </row>
    <row r="111" spans="2:27" x14ac:dyDescent="0.25">
      <c r="B111" t="s">
        <v>308</v>
      </c>
      <c r="C111" t="s">
        <v>3619</v>
      </c>
      <c r="D111">
        <v>2025</v>
      </c>
      <c r="E111" s="2">
        <v>45691</v>
      </c>
      <c r="F111">
        <v>22.56</v>
      </c>
      <c r="G111">
        <v>7.48</v>
      </c>
      <c r="H111">
        <v>13.17</v>
      </c>
      <c r="I111">
        <v>5.47</v>
      </c>
      <c r="J111">
        <v>3.73</v>
      </c>
      <c r="K111">
        <v>1.1000000000000001</v>
      </c>
      <c r="L111">
        <v>69</v>
      </c>
      <c r="M111">
        <v>0.66</v>
      </c>
      <c r="N111">
        <v>0.66</v>
      </c>
      <c r="O111">
        <v>18.350000000000001</v>
      </c>
      <c r="P111" t="s">
        <v>3726</v>
      </c>
      <c r="Q111" t="s">
        <v>3603</v>
      </c>
      <c r="R111">
        <v>78</v>
      </c>
      <c r="S111" t="s">
        <v>3604</v>
      </c>
      <c r="T111" s="2">
        <v>44378</v>
      </c>
      <c r="U111">
        <v>2021</v>
      </c>
      <c r="V111">
        <v>0.88460000000000005</v>
      </c>
      <c r="AA111">
        <v>0.1154</v>
      </c>
    </row>
    <row r="112" spans="2:27" x14ac:dyDescent="0.25">
      <c r="B112" t="s">
        <v>308</v>
      </c>
      <c r="D112">
        <v>2024</v>
      </c>
      <c r="F112">
        <v>19.97</v>
      </c>
      <c r="G112">
        <v>7.63</v>
      </c>
      <c r="H112">
        <v>18.190000000000001</v>
      </c>
      <c r="I112">
        <v>3.77</v>
      </c>
      <c r="J112">
        <v>3.66</v>
      </c>
      <c r="K112">
        <v>0.97</v>
      </c>
      <c r="L112">
        <v>56</v>
      </c>
      <c r="M112">
        <v>1.04</v>
      </c>
      <c r="N112">
        <v>1.3</v>
      </c>
      <c r="O112">
        <v>18.68</v>
      </c>
      <c r="P112" t="s">
        <v>3871</v>
      </c>
      <c r="Q112" t="s">
        <v>3603</v>
      </c>
      <c r="R112">
        <v>90</v>
      </c>
      <c r="S112" t="s">
        <v>3604</v>
      </c>
      <c r="T112" s="2">
        <v>44378</v>
      </c>
      <c r="U112">
        <v>2021</v>
      </c>
      <c r="V112">
        <v>0.88890000000000002</v>
      </c>
      <c r="AA112">
        <v>0.1111</v>
      </c>
    </row>
    <row r="113" spans="2:27" x14ac:dyDescent="0.25">
      <c r="B113" t="s">
        <v>311</v>
      </c>
    </row>
    <row r="114" spans="2:27" x14ac:dyDescent="0.25">
      <c r="B114" t="s">
        <v>315</v>
      </c>
    </row>
    <row r="115" spans="2:27" x14ac:dyDescent="0.25">
      <c r="B115" t="s">
        <v>319</v>
      </c>
    </row>
    <row r="116" spans="2:27" x14ac:dyDescent="0.25">
      <c r="B116" t="s">
        <v>323</v>
      </c>
    </row>
    <row r="117" spans="2:27" x14ac:dyDescent="0.25">
      <c r="B117" t="s">
        <v>326</v>
      </c>
    </row>
    <row r="118" spans="2:27" x14ac:dyDescent="0.25">
      <c r="B118" t="s">
        <v>329</v>
      </c>
      <c r="D118">
        <v>2024</v>
      </c>
      <c r="F118">
        <v>21.65</v>
      </c>
      <c r="G118">
        <v>2.0099999999999998</v>
      </c>
      <c r="H118">
        <v>16.86</v>
      </c>
      <c r="I118">
        <v>1.84</v>
      </c>
      <c r="J118">
        <v>3.9</v>
      </c>
      <c r="K118">
        <v>0.7</v>
      </c>
      <c r="L118">
        <v>165</v>
      </c>
      <c r="M118">
        <v>0.56000000000000005</v>
      </c>
      <c r="N118">
        <v>0.98</v>
      </c>
      <c r="O118">
        <v>37.74</v>
      </c>
      <c r="P118" t="s">
        <v>3641</v>
      </c>
      <c r="Q118" t="s">
        <v>3603</v>
      </c>
      <c r="R118">
        <v>168</v>
      </c>
      <c r="S118" t="s">
        <v>3604</v>
      </c>
      <c r="T118" s="2">
        <v>44743</v>
      </c>
      <c r="U118">
        <v>2022</v>
      </c>
      <c r="V118">
        <v>0.98209999999999997</v>
      </c>
      <c r="AA118">
        <v>1.7899999999999999E-2</v>
      </c>
    </row>
    <row r="119" spans="2:27" x14ac:dyDescent="0.25">
      <c r="B119" t="s">
        <v>333</v>
      </c>
      <c r="D119">
        <v>2024</v>
      </c>
      <c r="L119">
        <v>0</v>
      </c>
      <c r="O119">
        <v>0</v>
      </c>
      <c r="P119" t="s">
        <v>3642</v>
      </c>
      <c r="Q119" t="s">
        <v>3603</v>
      </c>
      <c r="R119">
        <v>289</v>
      </c>
      <c r="S119" t="s">
        <v>3604</v>
      </c>
      <c r="T119" s="2">
        <v>44743</v>
      </c>
      <c r="U119">
        <v>2022</v>
      </c>
      <c r="V119">
        <v>0.89270000000000005</v>
      </c>
      <c r="AA119">
        <v>0.10730000000000001</v>
      </c>
    </row>
    <row r="120" spans="2:27" x14ac:dyDescent="0.25">
      <c r="B120" t="s">
        <v>336</v>
      </c>
      <c r="C120" t="s">
        <v>3727</v>
      </c>
      <c r="D120">
        <v>2025</v>
      </c>
      <c r="E120" s="2">
        <v>45691</v>
      </c>
      <c r="F120">
        <v>21.82</v>
      </c>
      <c r="G120">
        <v>1.66</v>
      </c>
      <c r="H120">
        <v>11.89</v>
      </c>
      <c r="I120">
        <v>1.65</v>
      </c>
      <c r="J120">
        <v>5</v>
      </c>
      <c r="K120">
        <v>0.64</v>
      </c>
      <c r="L120">
        <v>121</v>
      </c>
      <c r="M120">
        <v>1.18</v>
      </c>
      <c r="N120">
        <v>0.87</v>
      </c>
      <c r="O120">
        <v>127.08</v>
      </c>
      <c r="P120" t="s">
        <v>3728</v>
      </c>
      <c r="Q120" t="s">
        <v>3603</v>
      </c>
      <c r="R120">
        <v>129</v>
      </c>
      <c r="S120" t="s">
        <v>3604</v>
      </c>
      <c r="T120" s="2">
        <v>45108</v>
      </c>
      <c r="U120">
        <v>2023</v>
      </c>
      <c r="V120">
        <v>0.94569999999999999</v>
      </c>
      <c r="AA120">
        <v>5.4300000000000001E-2</v>
      </c>
    </row>
    <row r="121" spans="2:27" x14ac:dyDescent="0.25">
      <c r="B121" t="s">
        <v>336</v>
      </c>
      <c r="D121">
        <v>2024</v>
      </c>
      <c r="L121">
        <v>0</v>
      </c>
      <c r="O121">
        <v>0</v>
      </c>
      <c r="P121" t="s">
        <v>3872</v>
      </c>
      <c r="Q121" t="s">
        <v>3603</v>
      </c>
      <c r="R121">
        <v>116</v>
      </c>
      <c r="S121" t="s">
        <v>3604</v>
      </c>
      <c r="T121" s="2">
        <v>45108</v>
      </c>
      <c r="U121">
        <v>2023</v>
      </c>
      <c r="V121">
        <v>0.93969999999999998</v>
      </c>
      <c r="AA121">
        <v>6.0299999999999999E-2</v>
      </c>
    </row>
    <row r="122" spans="2:27" x14ac:dyDescent="0.25">
      <c r="B122" t="s">
        <v>340</v>
      </c>
      <c r="D122">
        <v>2024</v>
      </c>
      <c r="L122">
        <v>0</v>
      </c>
      <c r="O122">
        <v>0</v>
      </c>
      <c r="P122" t="s">
        <v>3873</v>
      </c>
      <c r="Q122" t="s">
        <v>3603</v>
      </c>
      <c r="R122">
        <v>356</v>
      </c>
      <c r="S122" t="s">
        <v>3604</v>
      </c>
      <c r="T122" s="2">
        <v>45108</v>
      </c>
      <c r="U122">
        <v>2023</v>
      </c>
      <c r="V122">
        <v>0.78649999999999998</v>
      </c>
      <c r="AA122">
        <v>0.2135</v>
      </c>
    </row>
    <row r="123" spans="2:27" x14ac:dyDescent="0.25">
      <c r="B123" t="s">
        <v>340</v>
      </c>
    </row>
    <row r="124" spans="2:27" x14ac:dyDescent="0.25">
      <c r="B124" t="s">
        <v>344</v>
      </c>
      <c r="C124" t="s">
        <v>3646</v>
      </c>
      <c r="D124">
        <v>2025</v>
      </c>
      <c r="E124" s="2">
        <v>45685</v>
      </c>
      <c r="F124">
        <v>22.16</v>
      </c>
      <c r="G124">
        <v>2.82</v>
      </c>
      <c r="H124">
        <v>13.18</v>
      </c>
      <c r="I124">
        <v>2.2599999999999998</v>
      </c>
      <c r="J124">
        <v>4.28</v>
      </c>
      <c r="K124">
        <v>1.1200000000000001</v>
      </c>
      <c r="L124">
        <v>119</v>
      </c>
      <c r="M124">
        <v>1.47</v>
      </c>
      <c r="N124">
        <v>1.95</v>
      </c>
      <c r="O124">
        <v>103.1</v>
      </c>
      <c r="P124" t="s">
        <v>3729</v>
      </c>
      <c r="Q124" t="s">
        <v>3603</v>
      </c>
      <c r="R124">
        <v>141</v>
      </c>
      <c r="S124" t="s">
        <v>3604</v>
      </c>
      <c r="T124" s="2">
        <v>45108</v>
      </c>
      <c r="U124">
        <v>2023</v>
      </c>
      <c r="V124">
        <v>0.84399999999999997</v>
      </c>
      <c r="AA124">
        <v>0.156</v>
      </c>
    </row>
    <row r="125" spans="2:27" x14ac:dyDescent="0.25">
      <c r="B125" t="s">
        <v>344</v>
      </c>
      <c r="D125">
        <v>2024</v>
      </c>
      <c r="F125">
        <v>21.12</v>
      </c>
      <c r="G125">
        <v>3.52</v>
      </c>
      <c r="H125">
        <v>16.93</v>
      </c>
      <c r="I125">
        <v>3.42</v>
      </c>
      <c r="J125">
        <v>3.27</v>
      </c>
      <c r="K125">
        <v>0.66</v>
      </c>
      <c r="L125">
        <v>181</v>
      </c>
      <c r="M125">
        <v>0.06</v>
      </c>
      <c r="N125">
        <v>0.05</v>
      </c>
      <c r="O125">
        <v>0.47</v>
      </c>
      <c r="P125" t="s">
        <v>3874</v>
      </c>
      <c r="Q125" t="s">
        <v>3603</v>
      </c>
      <c r="R125">
        <v>190</v>
      </c>
      <c r="S125" t="s">
        <v>3604</v>
      </c>
      <c r="T125" s="2">
        <v>45108</v>
      </c>
      <c r="U125">
        <v>2023</v>
      </c>
      <c r="V125">
        <v>0.9526</v>
      </c>
      <c r="AA125">
        <v>4.7399999999999998E-2</v>
      </c>
    </row>
    <row r="126" spans="2:27" x14ac:dyDescent="0.25">
      <c r="B126" t="s">
        <v>348</v>
      </c>
    </row>
    <row r="127" spans="2:27" x14ac:dyDescent="0.25">
      <c r="B127" t="s">
        <v>352</v>
      </c>
      <c r="D127">
        <v>2024</v>
      </c>
      <c r="L127">
        <v>0</v>
      </c>
      <c r="O127">
        <v>0</v>
      </c>
      <c r="P127" t="s">
        <v>3875</v>
      </c>
      <c r="Q127" t="s">
        <v>3603</v>
      </c>
      <c r="R127">
        <v>319</v>
      </c>
      <c r="S127" t="s">
        <v>3604</v>
      </c>
      <c r="T127" s="2">
        <v>45108</v>
      </c>
      <c r="U127">
        <v>2023</v>
      </c>
      <c r="V127">
        <v>0.93100000000000005</v>
      </c>
      <c r="AA127">
        <v>6.9000000000000006E-2</v>
      </c>
    </row>
    <row r="128" spans="2:27" x14ac:dyDescent="0.25">
      <c r="B128" t="s">
        <v>356</v>
      </c>
      <c r="D128">
        <v>2024</v>
      </c>
      <c r="L128">
        <v>0</v>
      </c>
      <c r="O128">
        <v>0</v>
      </c>
      <c r="P128" t="s">
        <v>3881</v>
      </c>
      <c r="Q128" t="s">
        <v>3603</v>
      </c>
      <c r="R128">
        <v>262</v>
      </c>
      <c r="S128" t="s">
        <v>3604</v>
      </c>
      <c r="T128" s="2">
        <v>45108</v>
      </c>
      <c r="U128">
        <v>2023</v>
      </c>
      <c r="V128">
        <v>0.85880000000000001</v>
      </c>
      <c r="AA128">
        <v>0.14119999999999999</v>
      </c>
    </row>
    <row r="129" spans="2:27" x14ac:dyDescent="0.25">
      <c r="B129" t="s">
        <v>356</v>
      </c>
    </row>
    <row r="130" spans="2:27" x14ac:dyDescent="0.25">
      <c r="B130" t="s">
        <v>359</v>
      </c>
    </row>
    <row r="131" spans="2:27" x14ac:dyDescent="0.25">
      <c r="B131" t="s">
        <v>362</v>
      </c>
      <c r="C131" t="s">
        <v>3730</v>
      </c>
      <c r="D131">
        <v>2025</v>
      </c>
      <c r="E131" s="2">
        <v>45673</v>
      </c>
      <c r="F131">
        <v>14.69</v>
      </c>
      <c r="G131">
        <v>6.61</v>
      </c>
      <c r="H131">
        <v>7.54</v>
      </c>
      <c r="I131">
        <v>4.1100000000000003</v>
      </c>
      <c r="J131">
        <v>2.57</v>
      </c>
      <c r="K131">
        <v>1.1599999999999999</v>
      </c>
      <c r="L131">
        <v>139</v>
      </c>
      <c r="M131">
        <v>0.04</v>
      </c>
      <c r="N131">
        <v>0.09</v>
      </c>
      <c r="O131">
        <v>0.3</v>
      </c>
      <c r="P131" t="s">
        <v>3731</v>
      </c>
      <c r="Q131" t="s">
        <v>3603</v>
      </c>
      <c r="R131">
        <v>166</v>
      </c>
      <c r="S131" t="s">
        <v>3604</v>
      </c>
      <c r="T131" s="2">
        <v>45474</v>
      </c>
      <c r="U131">
        <v>2024</v>
      </c>
      <c r="V131">
        <v>0.84340000000000004</v>
      </c>
      <c r="AA131">
        <v>0.15659999999999999</v>
      </c>
    </row>
    <row r="132" spans="2:27" x14ac:dyDescent="0.25">
      <c r="B132" t="s">
        <v>365</v>
      </c>
    </row>
    <row r="133" spans="2:27" x14ac:dyDescent="0.25">
      <c r="B133" t="s">
        <v>369</v>
      </c>
    </row>
    <row r="134" spans="2:27" x14ac:dyDescent="0.25">
      <c r="B134" t="s">
        <v>372</v>
      </c>
    </row>
    <row r="135" spans="2:27" x14ac:dyDescent="0.25">
      <c r="B135" t="s">
        <v>373</v>
      </c>
    </row>
    <row r="136" spans="2:27" x14ac:dyDescent="0.25">
      <c r="B136" t="s">
        <v>380</v>
      </c>
      <c r="D136">
        <v>2024</v>
      </c>
      <c r="F136">
        <v>14.21</v>
      </c>
      <c r="G136">
        <v>9.89</v>
      </c>
      <c r="J136">
        <v>1.84</v>
      </c>
      <c r="K136">
        <v>0.98</v>
      </c>
      <c r="L136">
        <v>23</v>
      </c>
      <c r="M136">
        <v>0.22</v>
      </c>
      <c r="O136">
        <v>0.22</v>
      </c>
      <c r="P136" t="s">
        <v>3606</v>
      </c>
      <c r="Q136" t="s">
        <v>3603</v>
      </c>
      <c r="R136">
        <v>26</v>
      </c>
      <c r="S136" t="s">
        <v>3604</v>
      </c>
      <c r="T136" s="2">
        <v>43647</v>
      </c>
      <c r="U136">
        <v>2019</v>
      </c>
      <c r="V136">
        <v>1</v>
      </c>
      <c r="AA136">
        <v>0</v>
      </c>
    </row>
    <row r="137" spans="2:27" x14ac:dyDescent="0.25">
      <c r="B137" t="s">
        <v>383</v>
      </c>
    </row>
    <row r="138" spans="2:27" x14ac:dyDescent="0.25">
      <c r="B138" t="s">
        <v>386</v>
      </c>
    </row>
    <row r="139" spans="2:27" x14ac:dyDescent="0.25">
      <c r="B139" t="s">
        <v>389</v>
      </c>
    </row>
    <row r="140" spans="2:27" x14ac:dyDescent="0.25">
      <c r="B140" t="s">
        <v>392</v>
      </c>
    </row>
    <row r="141" spans="2:27" x14ac:dyDescent="0.25">
      <c r="B141" t="s">
        <v>395</v>
      </c>
      <c r="C141" t="s">
        <v>3626</v>
      </c>
      <c r="D141">
        <v>2022</v>
      </c>
      <c r="E141" s="2">
        <v>44562</v>
      </c>
      <c r="F141">
        <v>10.53</v>
      </c>
      <c r="G141">
        <v>7.73</v>
      </c>
      <c r="H141">
        <v>3.95</v>
      </c>
      <c r="I141">
        <v>6.14</v>
      </c>
      <c r="J141">
        <v>1.79</v>
      </c>
      <c r="K141">
        <v>1.74</v>
      </c>
      <c r="L141">
        <v>229</v>
      </c>
      <c r="M141">
        <v>2.58</v>
      </c>
      <c r="N141">
        <v>3.32</v>
      </c>
      <c r="O141">
        <v>590.72</v>
      </c>
      <c r="P141" t="s">
        <v>3798</v>
      </c>
      <c r="Q141" t="s">
        <v>3603</v>
      </c>
      <c r="R141">
        <v>229</v>
      </c>
      <c r="S141" t="s">
        <v>3604</v>
      </c>
      <c r="T141" s="2">
        <v>43647</v>
      </c>
      <c r="U141">
        <v>2019</v>
      </c>
      <c r="V141">
        <v>0.75109999999999999</v>
      </c>
      <c r="AA141">
        <v>0.24890000000000001</v>
      </c>
    </row>
    <row r="142" spans="2:27" x14ac:dyDescent="0.25">
      <c r="B142" t="s">
        <v>398</v>
      </c>
      <c r="C142" t="s">
        <v>3626</v>
      </c>
      <c r="D142">
        <v>2022</v>
      </c>
      <c r="E142" s="2">
        <v>44562</v>
      </c>
      <c r="F142">
        <v>10.91</v>
      </c>
      <c r="G142">
        <v>10.14</v>
      </c>
      <c r="H142">
        <v>0</v>
      </c>
      <c r="I142">
        <v>0</v>
      </c>
      <c r="J142">
        <v>1.53</v>
      </c>
      <c r="K142">
        <v>1.2</v>
      </c>
      <c r="L142">
        <v>30</v>
      </c>
      <c r="M142">
        <v>3.62</v>
      </c>
      <c r="N142">
        <v>8.5399999999999991</v>
      </c>
      <c r="O142">
        <v>108.74</v>
      </c>
      <c r="P142" t="s">
        <v>3799</v>
      </c>
      <c r="Q142" t="s">
        <v>3603</v>
      </c>
      <c r="R142">
        <v>30</v>
      </c>
      <c r="S142" t="s">
        <v>3604</v>
      </c>
      <c r="T142" s="2">
        <v>43647</v>
      </c>
      <c r="U142">
        <v>2019</v>
      </c>
      <c r="V142">
        <v>0.86670000000000003</v>
      </c>
      <c r="AA142">
        <v>0.1333</v>
      </c>
    </row>
    <row r="143" spans="2:27" x14ac:dyDescent="0.25">
      <c r="B143" t="s">
        <v>401</v>
      </c>
    </row>
    <row r="144" spans="2:27" x14ac:dyDescent="0.25">
      <c r="B144" t="s">
        <v>404</v>
      </c>
      <c r="C144" t="s">
        <v>3626</v>
      </c>
      <c r="D144">
        <v>2022</v>
      </c>
      <c r="E144" s="2">
        <v>44562</v>
      </c>
      <c r="F144">
        <v>6.34</v>
      </c>
      <c r="G144">
        <v>4.7300000000000004</v>
      </c>
      <c r="H144">
        <v>0</v>
      </c>
      <c r="I144">
        <v>0</v>
      </c>
      <c r="J144">
        <v>0.91</v>
      </c>
      <c r="K144">
        <v>0.89</v>
      </c>
      <c r="L144">
        <v>32</v>
      </c>
      <c r="M144">
        <v>2.71</v>
      </c>
      <c r="N144">
        <v>1.76</v>
      </c>
      <c r="O144">
        <v>86.73</v>
      </c>
      <c r="P144" t="s">
        <v>3800</v>
      </c>
      <c r="Q144" t="s">
        <v>3603</v>
      </c>
      <c r="R144">
        <v>32</v>
      </c>
      <c r="S144" t="s">
        <v>3604</v>
      </c>
      <c r="T144" s="2">
        <v>43647</v>
      </c>
      <c r="U144">
        <v>2019</v>
      </c>
      <c r="V144">
        <v>0.8125</v>
      </c>
      <c r="AA144">
        <v>0.1875</v>
      </c>
    </row>
    <row r="145" spans="2:27" x14ac:dyDescent="0.25">
      <c r="B145" t="s">
        <v>407</v>
      </c>
    </row>
    <row r="146" spans="2:27" x14ac:dyDescent="0.25">
      <c r="B146" t="s">
        <v>410</v>
      </c>
      <c r="C146" t="s">
        <v>3626</v>
      </c>
      <c r="D146">
        <v>2022</v>
      </c>
      <c r="E146" s="2">
        <v>44562</v>
      </c>
      <c r="F146">
        <v>3.36</v>
      </c>
      <c r="G146">
        <v>2.36</v>
      </c>
      <c r="H146">
        <v>0</v>
      </c>
      <c r="I146">
        <v>0</v>
      </c>
      <c r="J146">
        <v>0.31</v>
      </c>
      <c r="K146">
        <v>0.41</v>
      </c>
      <c r="L146">
        <v>34</v>
      </c>
      <c r="M146">
        <v>2.59</v>
      </c>
      <c r="N146">
        <v>1.59</v>
      </c>
      <c r="O146">
        <v>88.18</v>
      </c>
      <c r="P146" t="s">
        <v>3801</v>
      </c>
      <c r="Q146" t="s">
        <v>3603</v>
      </c>
      <c r="R146">
        <v>34</v>
      </c>
      <c r="S146" t="s">
        <v>3604</v>
      </c>
      <c r="T146" s="2">
        <v>43647</v>
      </c>
      <c r="U146">
        <v>2019</v>
      </c>
      <c r="V146">
        <v>0.61760000000000004</v>
      </c>
      <c r="AA146">
        <v>0.38240000000000002</v>
      </c>
    </row>
    <row r="147" spans="2:27" x14ac:dyDescent="0.25">
      <c r="B147" t="s">
        <v>414</v>
      </c>
      <c r="C147" t="s">
        <v>3730</v>
      </c>
      <c r="D147">
        <v>2021</v>
      </c>
      <c r="E147" s="2">
        <v>44197</v>
      </c>
      <c r="F147">
        <v>4.16</v>
      </c>
      <c r="G147">
        <v>1.67</v>
      </c>
      <c r="J147">
        <v>0.48</v>
      </c>
      <c r="K147">
        <v>0.2</v>
      </c>
      <c r="L147">
        <v>195</v>
      </c>
      <c r="M147">
        <v>3.12</v>
      </c>
      <c r="N147">
        <v>0.87</v>
      </c>
      <c r="O147">
        <v>607.78</v>
      </c>
      <c r="P147" t="s">
        <v>3802</v>
      </c>
      <c r="Q147" t="s">
        <v>3603</v>
      </c>
      <c r="R147">
        <v>195</v>
      </c>
      <c r="S147" t="s">
        <v>3604</v>
      </c>
      <c r="T147" s="2">
        <v>44013</v>
      </c>
      <c r="U147">
        <v>2020</v>
      </c>
      <c r="V147">
        <v>0.74360000000000004</v>
      </c>
      <c r="AA147">
        <v>0.25640000000000002</v>
      </c>
    </row>
    <row r="148" spans="2:27" x14ac:dyDescent="0.25">
      <c r="B148" t="s">
        <v>417</v>
      </c>
      <c r="C148" t="s">
        <v>3730</v>
      </c>
      <c r="D148">
        <v>2021</v>
      </c>
      <c r="E148" s="2">
        <v>44197</v>
      </c>
      <c r="F148">
        <v>2.84</v>
      </c>
      <c r="G148">
        <v>1.41</v>
      </c>
      <c r="J148">
        <v>0.39</v>
      </c>
      <c r="K148">
        <v>0</v>
      </c>
      <c r="L148">
        <v>119</v>
      </c>
      <c r="M148">
        <v>2.31</v>
      </c>
      <c r="N148">
        <v>1.1499999999999999</v>
      </c>
      <c r="O148">
        <v>274.68</v>
      </c>
      <c r="P148" t="s">
        <v>3803</v>
      </c>
      <c r="Q148" t="s">
        <v>3603</v>
      </c>
      <c r="R148">
        <v>119</v>
      </c>
      <c r="S148" t="s">
        <v>3604</v>
      </c>
      <c r="T148" s="2">
        <v>44013</v>
      </c>
      <c r="U148">
        <v>2020</v>
      </c>
      <c r="V148">
        <v>0.63870000000000005</v>
      </c>
      <c r="AA148">
        <v>0.36130000000000001</v>
      </c>
    </row>
    <row r="149" spans="2:27" x14ac:dyDescent="0.25">
      <c r="B149" t="s">
        <v>421</v>
      </c>
      <c r="D149">
        <v>2024</v>
      </c>
      <c r="F149">
        <v>7.63</v>
      </c>
      <c r="G149">
        <v>3.9</v>
      </c>
      <c r="J149">
        <v>1.46</v>
      </c>
      <c r="K149">
        <v>0.84</v>
      </c>
      <c r="L149">
        <v>415</v>
      </c>
      <c r="M149">
        <v>0.48</v>
      </c>
      <c r="O149">
        <v>0.48</v>
      </c>
      <c r="P149" t="s">
        <v>3608</v>
      </c>
      <c r="Q149" t="s">
        <v>3603</v>
      </c>
      <c r="R149">
        <v>450</v>
      </c>
      <c r="S149" t="s">
        <v>3604</v>
      </c>
      <c r="T149" s="2">
        <v>44013</v>
      </c>
      <c r="U149">
        <v>2020</v>
      </c>
      <c r="V149">
        <v>0.92669999999999997</v>
      </c>
      <c r="AA149">
        <v>7.3300000000000004E-2</v>
      </c>
    </row>
    <row r="150" spans="2:27" x14ac:dyDescent="0.25">
      <c r="B150" t="s">
        <v>425</v>
      </c>
    </row>
    <row r="151" spans="2:27" x14ac:dyDescent="0.25">
      <c r="B151" t="s">
        <v>428</v>
      </c>
      <c r="C151" t="s">
        <v>3730</v>
      </c>
      <c r="D151">
        <v>2021</v>
      </c>
      <c r="E151" s="2">
        <v>44197</v>
      </c>
      <c r="F151">
        <v>7.2</v>
      </c>
      <c r="G151">
        <v>4.05</v>
      </c>
      <c r="J151">
        <v>0.86</v>
      </c>
      <c r="K151">
        <v>0.56999999999999995</v>
      </c>
      <c r="L151">
        <v>67</v>
      </c>
      <c r="M151">
        <v>3.8</v>
      </c>
      <c r="N151">
        <v>1.29</v>
      </c>
      <c r="O151">
        <v>254.45</v>
      </c>
      <c r="P151" t="s">
        <v>3804</v>
      </c>
      <c r="Q151" t="s">
        <v>3603</v>
      </c>
      <c r="R151">
        <v>67</v>
      </c>
      <c r="S151" t="s">
        <v>3604</v>
      </c>
      <c r="T151" s="2">
        <v>44013</v>
      </c>
      <c r="U151">
        <v>2020</v>
      </c>
      <c r="V151">
        <v>0.83579999999999999</v>
      </c>
      <c r="AA151">
        <v>0.16420000000000001</v>
      </c>
    </row>
    <row r="152" spans="2:27" x14ac:dyDescent="0.25">
      <c r="B152" t="s">
        <v>432</v>
      </c>
      <c r="C152" t="s">
        <v>3730</v>
      </c>
      <c r="D152">
        <v>2021</v>
      </c>
      <c r="E152" s="2">
        <v>44197</v>
      </c>
      <c r="F152">
        <v>3.54</v>
      </c>
      <c r="G152">
        <v>0.89</v>
      </c>
      <c r="J152">
        <v>0.43</v>
      </c>
      <c r="K152">
        <v>0.11</v>
      </c>
      <c r="L152">
        <v>100</v>
      </c>
      <c r="M152">
        <v>2.79</v>
      </c>
      <c r="N152">
        <v>0.43</v>
      </c>
      <c r="O152">
        <v>278.64999999999998</v>
      </c>
      <c r="P152" t="s">
        <v>3805</v>
      </c>
      <c r="Q152" t="s">
        <v>3603</v>
      </c>
      <c r="R152">
        <v>100</v>
      </c>
      <c r="S152" t="s">
        <v>3604</v>
      </c>
      <c r="T152" s="2">
        <v>44013</v>
      </c>
      <c r="U152">
        <v>2020</v>
      </c>
      <c r="V152">
        <v>0.76</v>
      </c>
      <c r="AA152">
        <v>0.24</v>
      </c>
    </row>
    <row r="153" spans="2:27" x14ac:dyDescent="0.25">
      <c r="B153" t="s">
        <v>435</v>
      </c>
      <c r="D153">
        <v>2024</v>
      </c>
      <c r="F153">
        <v>13.95</v>
      </c>
      <c r="G153">
        <v>5.9</v>
      </c>
      <c r="H153">
        <v>9.35</v>
      </c>
      <c r="I153">
        <v>4.8</v>
      </c>
      <c r="J153">
        <v>2.0099999999999998</v>
      </c>
      <c r="K153">
        <v>1.31</v>
      </c>
      <c r="L153">
        <v>208</v>
      </c>
      <c r="M153">
        <v>1.28</v>
      </c>
      <c r="N153">
        <v>3.01</v>
      </c>
      <c r="O153">
        <v>7.7</v>
      </c>
      <c r="P153" t="s">
        <v>3609</v>
      </c>
      <c r="Q153" t="s">
        <v>3603</v>
      </c>
      <c r="R153">
        <v>222</v>
      </c>
      <c r="S153" t="s">
        <v>3604</v>
      </c>
      <c r="T153" s="2">
        <v>44013</v>
      </c>
      <c r="U153">
        <v>2020</v>
      </c>
      <c r="V153">
        <v>0.94140000000000001</v>
      </c>
      <c r="AA153">
        <v>5.8599999999999999E-2</v>
      </c>
    </row>
    <row r="154" spans="2:27" x14ac:dyDescent="0.25">
      <c r="B154" t="s">
        <v>439</v>
      </c>
    </row>
    <row r="155" spans="2:27" x14ac:dyDescent="0.25">
      <c r="B155" t="s">
        <v>443</v>
      </c>
    </row>
    <row r="156" spans="2:27" x14ac:dyDescent="0.25">
      <c r="B156" t="s">
        <v>446</v>
      </c>
      <c r="C156" t="s">
        <v>3730</v>
      </c>
      <c r="D156">
        <v>2021</v>
      </c>
      <c r="E156" s="2">
        <v>44197</v>
      </c>
      <c r="F156">
        <v>4.1900000000000004</v>
      </c>
      <c r="G156">
        <v>1.85</v>
      </c>
      <c r="J156">
        <v>0.51</v>
      </c>
      <c r="K156">
        <v>0.24</v>
      </c>
      <c r="L156">
        <v>176</v>
      </c>
      <c r="M156">
        <v>3.03</v>
      </c>
      <c r="N156">
        <v>0.71</v>
      </c>
      <c r="O156">
        <v>533.76</v>
      </c>
      <c r="P156" t="s">
        <v>3806</v>
      </c>
      <c r="Q156" t="s">
        <v>3603</v>
      </c>
      <c r="R156">
        <v>176</v>
      </c>
      <c r="S156" t="s">
        <v>3604</v>
      </c>
      <c r="T156" s="2">
        <v>44013</v>
      </c>
      <c r="U156">
        <v>2020</v>
      </c>
      <c r="V156">
        <v>0.82950000000000002</v>
      </c>
      <c r="AA156">
        <v>0.17050000000000001</v>
      </c>
    </row>
    <row r="157" spans="2:27" x14ac:dyDescent="0.25">
      <c r="B157" t="s">
        <v>449</v>
      </c>
    </row>
    <row r="158" spans="2:27" x14ac:dyDescent="0.25">
      <c r="B158" t="s">
        <v>450</v>
      </c>
      <c r="C158" t="s">
        <v>3730</v>
      </c>
      <c r="D158">
        <v>2021</v>
      </c>
      <c r="E158" s="2">
        <v>44197</v>
      </c>
      <c r="F158">
        <v>2.83</v>
      </c>
      <c r="G158">
        <v>1.71</v>
      </c>
      <c r="J158">
        <v>0.43</v>
      </c>
      <c r="K158">
        <v>0.16</v>
      </c>
      <c r="L158">
        <v>132</v>
      </c>
      <c r="M158">
        <v>2.2000000000000002</v>
      </c>
      <c r="N158">
        <v>1.1299999999999999</v>
      </c>
      <c r="O158">
        <v>289.83999999999997</v>
      </c>
      <c r="P158" t="s">
        <v>3807</v>
      </c>
      <c r="Q158" t="s">
        <v>3603</v>
      </c>
      <c r="R158">
        <v>132</v>
      </c>
      <c r="S158" t="s">
        <v>3604</v>
      </c>
      <c r="T158" s="2">
        <v>44013</v>
      </c>
      <c r="U158">
        <v>2020</v>
      </c>
      <c r="V158">
        <v>0.68940000000000001</v>
      </c>
      <c r="AA158">
        <v>0.31059999999999999</v>
      </c>
    </row>
    <row r="159" spans="2:27" x14ac:dyDescent="0.25">
      <c r="B159" t="s">
        <v>453</v>
      </c>
    </row>
    <row r="160" spans="2:27" x14ac:dyDescent="0.25">
      <c r="B160" t="s">
        <v>457</v>
      </c>
      <c r="C160" t="s">
        <v>3646</v>
      </c>
      <c r="D160">
        <v>2022</v>
      </c>
      <c r="E160" s="2">
        <v>44562</v>
      </c>
      <c r="F160">
        <v>5.54</v>
      </c>
      <c r="G160">
        <v>4.8099999999999996</v>
      </c>
      <c r="H160">
        <v>0</v>
      </c>
      <c r="I160">
        <v>0</v>
      </c>
      <c r="J160">
        <v>0</v>
      </c>
      <c r="K160">
        <v>0</v>
      </c>
      <c r="L160">
        <v>408</v>
      </c>
      <c r="M160">
        <v>5.54</v>
      </c>
      <c r="N160">
        <v>4.8099999999999996</v>
      </c>
      <c r="O160">
        <v>2259.6799999999998</v>
      </c>
      <c r="P160" t="s">
        <v>3809</v>
      </c>
      <c r="Q160" t="s">
        <v>3603</v>
      </c>
      <c r="R160">
        <v>408</v>
      </c>
      <c r="S160" t="s">
        <v>3604</v>
      </c>
      <c r="T160" s="2">
        <v>44013</v>
      </c>
      <c r="U160">
        <v>2020</v>
      </c>
      <c r="V160">
        <v>0.59309999999999996</v>
      </c>
      <c r="AA160">
        <v>0.40689999999999998</v>
      </c>
    </row>
    <row r="161" spans="2:27" x14ac:dyDescent="0.25">
      <c r="B161" t="s">
        <v>460</v>
      </c>
    </row>
    <row r="162" spans="2:27" x14ac:dyDescent="0.25">
      <c r="B162" t="s">
        <v>464</v>
      </c>
      <c r="C162" t="s">
        <v>3646</v>
      </c>
      <c r="D162">
        <v>2022</v>
      </c>
      <c r="E162" s="2">
        <v>44562</v>
      </c>
      <c r="F162">
        <v>4.12</v>
      </c>
      <c r="G162">
        <v>1.93</v>
      </c>
      <c r="H162">
        <v>0</v>
      </c>
      <c r="I162">
        <v>0</v>
      </c>
      <c r="J162">
        <v>0.39</v>
      </c>
      <c r="K162">
        <v>0.56000000000000005</v>
      </c>
      <c r="L162">
        <v>153</v>
      </c>
      <c r="M162">
        <v>3.13</v>
      </c>
      <c r="N162">
        <v>1.1499999999999999</v>
      </c>
      <c r="O162">
        <v>479.11</v>
      </c>
      <c r="P162" t="s">
        <v>3810</v>
      </c>
      <c r="Q162" t="s">
        <v>3603</v>
      </c>
      <c r="R162">
        <v>153</v>
      </c>
      <c r="S162" t="s">
        <v>3604</v>
      </c>
      <c r="T162" s="2">
        <v>44013</v>
      </c>
      <c r="U162">
        <v>2020</v>
      </c>
      <c r="V162">
        <v>0.99350000000000005</v>
      </c>
      <c r="AA162">
        <v>6.4999999999999997E-3</v>
      </c>
    </row>
    <row r="163" spans="2:27" x14ac:dyDescent="0.25">
      <c r="B163" t="s">
        <v>468</v>
      </c>
      <c r="C163" t="s">
        <v>3646</v>
      </c>
      <c r="D163">
        <v>2022</v>
      </c>
      <c r="E163" s="2">
        <v>44562</v>
      </c>
      <c r="F163">
        <v>5.93</v>
      </c>
      <c r="G163">
        <v>2.5499999999999998</v>
      </c>
      <c r="H163">
        <v>0</v>
      </c>
      <c r="I163">
        <v>0</v>
      </c>
      <c r="J163">
        <v>0.43</v>
      </c>
      <c r="K163">
        <v>0.49</v>
      </c>
      <c r="L163">
        <v>34</v>
      </c>
      <c r="M163">
        <v>4.34</v>
      </c>
      <c r="N163">
        <v>0.94</v>
      </c>
      <c r="O163">
        <v>147.43</v>
      </c>
      <c r="P163" t="s">
        <v>3811</v>
      </c>
      <c r="Q163" t="s">
        <v>3603</v>
      </c>
      <c r="R163">
        <v>34</v>
      </c>
      <c r="S163" t="s">
        <v>3604</v>
      </c>
      <c r="T163" s="2">
        <v>44013</v>
      </c>
      <c r="U163">
        <v>2020</v>
      </c>
      <c r="V163">
        <v>0.91180000000000005</v>
      </c>
      <c r="AA163">
        <v>8.8200000000000001E-2</v>
      </c>
    </row>
    <row r="164" spans="2:27" x14ac:dyDescent="0.25">
      <c r="B164" t="s">
        <v>471</v>
      </c>
      <c r="C164" t="s">
        <v>3619</v>
      </c>
      <c r="D164">
        <v>2025</v>
      </c>
      <c r="E164" s="2">
        <v>45713</v>
      </c>
      <c r="F164">
        <v>16.100000000000001</v>
      </c>
      <c r="G164">
        <v>6.19</v>
      </c>
      <c r="H164">
        <v>1.96</v>
      </c>
      <c r="I164">
        <v>4.75</v>
      </c>
      <c r="J164">
        <v>3.05</v>
      </c>
      <c r="K164">
        <v>1.44</v>
      </c>
      <c r="L164">
        <v>132</v>
      </c>
      <c r="M164">
        <v>2.0499999999999998</v>
      </c>
      <c r="N164">
        <v>3.44</v>
      </c>
      <c r="O164">
        <v>28.66</v>
      </c>
      <c r="P164" t="s">
        <v>3620</v>
      </c>
      <c r="Q164" t="s">
        <v>3603</v>
      </c>
      <c r="R164">
        <v>165</v>
      </c>
      <c r="S164" t="s">
        <v>3604</v>
      </c>
      <c r="T164" s="2">
        <v>44378</v>
      </c>
      <c r="U164">
        <v>2021</v>
      </c>
      <c r="V164">
        <v>0.8</v>
      </c>
      <c r="AA164">
        <v>0.2</v>
      </c>
    </row>
    <row r="165" spans="2:27" x14ac:dyDescent="0.25">
      <c r="B165" t="s">
        <v>471</v>
      </c>
      <c r="D165">
        <v>2024</v>
      </c>
      <c r="F165">
        <v>16.32</v>
      </c>
      <c r="G165">
        <v>5.81</v>
      </c>
      <c r="H165">
        <v>9.84</v>
      </c>
      <c r="J165">
        <v>3.18</v>
      </c>
      <c r="K165">
        <v>1.28</v>
      </c>
      <c r="L165">
        <v>123</v>
      </c>
      <c r="M165">
        <v>1.23</v>
      </c>
      <c r="N165">
        <v>1.35</v>
      </c>
      <c r="O165">
        <v>35.79</v>
      </c>
      <c r="P165" t="s">
        <v>3889</v>
      </c>
      <c r="Q165" t="s">
        <v>3603</v>
      </c>
      <c r="R165">
        <v>129</v>
      </c>
      <c r="S165" t="s">
        <v>3604</v>
      </c>
      <c r="T165" s="2">
        <v>44378</v>
      </c>
      <c r="U165">
        <v>2021</v>
      </c>
      <c r="V165">
        <v>0.95350000000000001</v>
      </c>
      <c r="AA165">
        <v>4.65E-2</v>
      </c>
    </row>
    <row r="166" spans="2:27" x14ac:dyDescent="0.25">
      <c r="B166" t="s">
        <v>472</v>
      </c>
      <c r="C166" t="s">
        <v>3621</v>
      </c>
      <c r="D166">
        <v>2025</v>
      </c>
      <c r="E166" s="2">
        <v>45686</v>
      </c>
      <c r="F166">
        <v>27.52</v>
      </c>
      <c r="G166">
        <v>8.49</v>
      </c>
      <c r="H166">
        <v>18.899999999999999</v>
      </c>
      <c r="I166">
        <v>7.02</v>
      </c>
      <c r="J166">
        <v>3.84</v>
      </c>
      <c r="K166">
        <v>1.56</v>
      </c>
      <c r="L166">
        <v>112</v>
      </c>
      <c r="M166">
        <v>3.1</v>
      </c>
      <c r="N166">
        <v>4.16</v>
      </c>
      <c r="O166">
        <v>158.03</v>
      </c>
      <c r="P166" t="s">
        <v>3622</v>
      </c>
      <c r="Q166" t="s">
        <v>3603</v>
      </c>
      <c r="R166">
        <v>124</v>
      </c>
      <c r="S166" t="s">
        <v>3604</v>
      </c>
      <c r="T166" s="2">
        <v>44378</v>
      </c>
      <c r="U166">
        <v>2021</v>
      </c>
      <c r="V166">
        <v>0.9032</v>
      </c>
      <c r="AA166">
        <v>9.6799999999999997E-2</v>
      </c>
    </row>
    <row r="167" spans="2:27" x14ac:dyDescent="0.25">
      <c r="B167" t="s">
        <v>472</v>
      </c>
      <c r="D167">
        <v>2024</v>
      </c>
      <c r="F167">
        <v>26.25</v>
      </c>
      <c r="G167">
        <v>9.4499999999999993</v>
      </c>
      <c r="J167">
        <v>3.5</v>
      </c>
      <c r="K167">
        <v>0.92</v>
      </c>
      <c r="L167">
        <v>33</v>
      </c>
      <c r="M167">
        <v>0.53</v>
      </c>
      <c r="N167">
        <v>0.43</v>
      </c>
      <c r="O167">
        <v>4.74</v>
      </c>
      <c r="P167" t="s">
        <v>3890</v>
      </c>
      <c r="Q167" t="s">
        <v>3603</v>
      </c>
      <c r="R167">
        <v>37</v>
      </c>
      <c r="S167" t="s">
        <v>3604</v>
      </c>
      <c r="T167" s="2">
        <v>44378</v>
      </c>
      <c r="U167">
        <v>2021</v>
      </c>
      <c r="V167">
        <v>0.91890000000000005</v>
      </c>
      <c r="AA167">
        <v>8.1100000000000005E-2</v>
      </c>
    </row>
    <row r="168" spans="2:27" x14ac:dyDescent="0.25">
      <c r="B168" t="s">
        <v>478</v>
      </c>
    </row>
    <row r="169" spans="2:27" x14ac:dyDescent="0.25">
      <c r="B169" t="s">
        <v>479</v>
      </c>
      <c r="C169" t="s">
        <v>3792</v>
      </c>
      <c r="D169">
        <v>2021</v>
      </c>
      <c r="E169" s="2">
        <v>44197</v>
      </c>
      <c r="F169">
        <v>2.66</v>
      </c>
      <c r="G169">
        <v>1.29</v>
      </c>
      <c r="J169">
        <v>0.39</v>
      </c>
      <c r="K169">
        <v>0</v>
      </c>
      <c r="L169">
        <v>101</v>
      </c>
      <c r="M169">
        <v>2.17</v>
      </c>
      <c r="N169">
        <v>1.05</v>
      </c>
      <c r="O169">
        <v>218.68</v>
      </c>
      <c r="P169" t="s">
        <v>3815</v>
      </c>
      <c r="Q169" t="s">
        <v>3603</v>
      </c>
      <c r="R169">
        <v>101</v>
      </c>
      <c r="S169" t="s">
        <v>3604</v>
      </c>
      <c r="T169" s="2">
        <v>44378</v>
      </c>
      <c r="U169">
        <v>2021</v>
      </c>
      <c r="V169">
        <v>0.87129999999999996</v>
      </c>
      <c r="AA169">
        <v>0.12870000000000001</v>
      </c>
    </row>
    <row r="170" spans="2:27" x14ac:dyDescent="0.25">
      <c r="B170" t="s">
        <v>480</v>
      </c>
      <c r="C170" t="s">
        <v>3621</v>
      </c>
      <c r="D170">
        <v>2025</v>
      </c>
      <c r="E170" s="2">
        <v>45685</v>
      </c>
      <c r="F170">
        <v>22.45</v>
      </c>
      <c r="G170">
        <v>7.78</v>
      </c>
      <c r="H170">
        <v>8.41</v>
      </c>
      <c r="I170">
        <v>7.89</v>
      </c>
      <c r="J170">
        <v>3.62</v>
      </c>
      <c r="K170">
        <v>1.74</v>
      </c>
      <c r="L170">
        <v>72</v>
      </c>
      <c r="M170">
        <v>5.7</v>
      </c>
      <c r="N170">
        <v>8.1999999999999993</v>
      </c>
      <c r="O170">
        <v>113.93</v>
      </c>
      <c r="P170" t="s">
        <v>3623</v>
      </c>
      <c r="Q170" t="s">
        <v>3603</v>
      </c>
      <c r="R170">
        <v>98</v>
      </c>
      <c r="S170" t="s">
        <v>3604</v>
      </c>
      <c r="T170" s="2">
        <v>44378</v>
      </c>
      <c r="U170">
        <v>2021</v>
      </c>
      <c r="V170">
        <v>0.74490000000000001</v>
      </c>
      <c r="AA170">
        <v>0.25509999999999999</v>
      </c>
    </row>
    <row r="171" spans="2:27" x14ac:dyDescent="0.25">
      <c r="B171" t="s">
        <v>480</v>
      </c>
      <c r="D171">
        <v>2024</v>
      </c>
      <c r="F171">
        <v>18.07</v>
      </c>
      <c r="G171">
        <v>7.02</v>
      </c>
      <c r="H171">
        <v>8.1999999999999993</v>
      </c>
      <c r="I171">
        <v>2.84</v>
      </c>
      <c r="J171">
        <v>3.26</v>
      </c>
      <c r="K171">
        <v>1.93</v>
      </c>
      <c r="L171">
        <v>89</v>
      </c>
      <c r="M171">
        <v>6.67</v>
      </c>
      <c r="N171">
        <v>8.9499999999999993</v>
      </c>
      <c r="O171">
        <v>173.35</v>
      </c>
      <c r="P171" t="s">
        <v>3891</v>
      </c>
      <c r="Q171" t="s">
        <v>3603</v>
      </c>
      <c r="R171">
        <v>102</v>
      </c>
      <c r="S171" t="s">
        <v>3604</v>
      </c>
      <c r="T171" s="2">
        <v>44378</v>
      </c>
      <c r="U171">
        <v>2021</v>
      </c>
      <c r="V171">
        <v>0.90200000000000002</v>
      </c>
      <c r="AA171">
        <v>9.8000000000000004E-2</v>
      </c>
    </row>
    <row r="172" spans="2:27" x14ac:dyDescent="0.25">
      <c r="B172" t="s">
        <v>481</v>
      </c>
      <c r="C172" t="s">
        <v>3655</v>
      </c>
      <c r="D172">
        <v>2025</v>
      </c>
      <c r="E172" s="2">
        <v>45738</v>
      </c>
      <c r="F172">
        <v>21.03</v>
      </c>
      <c r="G172">
        <v>9.35</v>
      </c>
      <c r="H172">
        <v>7.95</v>
      </c>
      <c r="I172">
        <v>7.17</v>
      </c>
      <c r="J172">
        <v>5.19</v>
      </c>
      <c r="K172">
        <v>3.1</v>
      </c>
      <c r="L172">
        <v>29</v>
      </c>
      <c r="M172">
        <v>14.13</v>
      </c>
      <c r="N172">
        <v>8.89</v>
      </c>
      <c r="O172">
        <v>282.67</v>
      </c>
      <c r="P172" t="s">
        <v>3740</v>
      </c>
      <c r="Q172" t="s">
        <v>3603</v>
      </c>
      <c r="R172">
        <v>42</v>
      </c>
      <c r="S172" t="s">
        <v>3604</v>
      </c>
      <c r="T172" s="2">
        <v>44378</v>
      </c>
      <c r="U172">
        <v>2021</v>
      </c>
      <c r="V172">
        <v>0.92859999999999998</v>
      </c>
      <c r="AA172">
        <v>7.1400000000000005E-2</v>
      </c>
    </row>
    <row r="173" spans="2:27" x14ac:dyDescent="0.25">
      <c r="B173" t="s">
        <v>484</v>
      </c>
      <c r="C173" t="s">
        <v>3619</v>
      </c>
      <c r="D173">
        <v>2025</v>
      </c>
      <c r="E173" s="2">
        <v>45691</v>
      </c>
      <c r="F173">
        <v>14.83</v>
      </c>
      <c r="G173">
        <v>5.33</v>
      </c>
      <c r="H173">
        <v>5.36</v>
      </c>
      <c r="I173">
        <v>6.51</v>
      </c>
      <c r="J173">
        <v>2.38</v>
      </c>
      <c r="K173">
        <v>0.91</v>
      </c>
      <c r="L173">
        <v>67</v>
      </c>
      <c r="M173">
        <v>0.28000000000000003</v>
      </c>
      <c r="N173">
        <v>0.32</v>
      </c>
      <c r="O173">
        <v>0.83</v>
      </c>
      <c r="P173" t="s">
        <v>3741</v>
      </c>
      <c r="Q173" t="s">
        <v>3603</v>
      </c>
      <c r="R173">
        <v>73</v>
      </c>
      <c r="S173" t="s">
        <v>3604</v>
      </c>
      <c r="T173" s="2">
        <v>44378</v>
      </c>
      <c r="U173">
        <v>2021</v>
      </c>
      <c r="V173">
        <v>0.91779999999999995</v>
      </c>
      <c r="AA173">
        <v>8.2199999999999995E-2</v>
      </c>
    </row>
    <row r="174" spans="2:27" x14ac:dyDescent="0.25">
      <c r="B174" t="s">
        <v>488</v>
      </c>
      <c r="C174" t="s">
        <v>3621</v>
      </c>
      <c r="D174">
        <v>2025</v>
      </c>
      <c r="E174" s="2">
        <v>45678</v>
      </c>
      <c r="F174">
        <v>10.18</v>
      </c>
      <c r="G174">
        <v>5.26</v>
      </c>
      <c r="H174">
        <v>0.08</v>
      </c>
      <c r="I174">
        <v>1.08</v>
      </c>
      <c r="J174">
        <v>1.97</v>
      </c>
      <c r="K174">
        <v>1.27</v>
      </c>
      <c r="L174">
        <v>187</v>
      </c>
      <c r="O174">
        <v>0</v>
      </c>
      <c r="P174" t="s">
        <v>3636</v>
      </c>
      <c r="Q174" t="s">
        <v>3603</v>
      </c>
      <c r="R174">
        <v>204</v>
      </c>
      <c r="S174" t="s">
        <v>3604</v>
      </c>
      <c r="T174" s="2">
        <v>44378</v>
      </c>
      <c r="U174">
        <v>2021</v>
      </c>
      <c r="V174">
        <v>0.91669999999999996</v>
      </c>
      <c r="AA174">
        <v>8.3299999999999999E-2</v>
      </c>
    </row>
    <row r="175" spans="2:27" x14ac:dyDescent="0.25">
      <c r="B175" t="s">
        <v>488</v>
      </c>
      <c r="D175">
        <v>2024</v>
      </c>
      <c r="F175">
        <v>12.19</v>
      </c>
      <c r="G175">
        <v>4.1500000000000004</v>
      </c>
      <c r="J175">
        <v>2.31</v>
      </c>
      <c r="K175">
        <v>0.82</v>
      </c>
      <c r="L175">
        <v>98</v>
      </c>
      <c r="M175">
        <v>7.0000000000000007E-2</v>
      </c>
      <c r="N175">
        <v>7.0000000000000007E-2</v>
      </c>
      <c r="O175">
        <v>0.13</v>
      </c>
      <c r="P175" t="s">
        <v>3892</v>
      </c>
      <c r="Q175" t="s">
        <v>3603</v>
      </c>
      <c r="R175">
        <v>101</v>
      </c>
      <c r="S175" t="s">
        <v>3604</v>
      </c>
      <c r="T175" s="2">
        <v>44378</v>
      </c>
      <c r="U175">
        <v>2021</v>
      </c>
      <c r="V175">
        <v>0.97030000000000005</v>
      </c>
      <c r="AA175">
        <v>2.9700000000000001E-2</v>
      </c>
    </row>
    <row r="176" spans="2:27" x14ac:dyDescent="0.25">
      <c r="B176" t="s">
        <v>492</v>
      </c>
      <c r="C176" t="s">
        <v>3655</v>
      </c>
      <c r="D176">
        <v>2025</v>
      </c>
      <c r="E176" s="2">
        <v>45727</v>
      </c>
      <c r="F176">
        <v>8.1</v>
      </c>
      <c r="G176">
        <v>4.08</v>
      </c>
      <c r="H176">
        <v>0</v>
      </c>
      <c r="I176">
        <v>0</v>
      </c>
      <c r="J176">
        <v>1.02</v>
      </c>
      <c r="K176">
        <v>0.52</v>
      </c>
      <c r="L176">
        <v>68</v>
      </c>
      <c r="O176">
        <v>0</v>
      </c>
      <c r="P176" t="s">
        <v>3742</v>
      </c>
      <c r="Q176" t="s">
        <v>3603</v>
      </c>
      <c r="R176">
        <v>71</v>
      </c>
      <c r="S176" t="s">
        <v>3604</v>
      </c>
      <c r="T176" s="2">
        <v>44378</v>
      </c>
      <c r="U176">
        <v>2021</v>
      </c>
      <c r="V176">
        <v>0.9577</v>
      </c>
      <c r="AA176">
        <v>4.2299999999999997E-2</v>
      </c>
    </row>
    <row r="177" spans="2:27" x14ac:dyDescent="0.25">
      <c r="B177" t="s">
        <v>495</v>
      </c>
      <c r="C177" t="s">
        <v>3619</v>
      </c>
      <c r="D177">
        <v>2025</v>
      </c>
      <c r="E177" s="2">
        <v>45706</v>
      </c>
      <c r="F177">
        <v>17.149999999999999</v>
      </c>
      <c r="G177">
        <v>6.5</v>
      </c>
      <c r="H177">
        <v>14.05</v>
      </c>
      <c r="I177">
        <v>6.75</v>
      </c>
      <c r="J177">
        <v>2.99</v>
      </c>
      <c r="K177">
        <v>1.3</v>
      </c>
      <c r="L177">
        <v>125</v>
      </c>
      <c r="M177">
        <v>0.71</v>
      </c>
      <c r="N177">
        <v>1.1299999999999999</v>
      </c>
      <c r="O177">
        <v>21.18</v>
      </c>
      <c r="P177" t="s">
        <v>3743</v>
      </c>
      <c r="Q177" t="s">
        <v>3603</v>
      </c>
      <c r="R177">
        <v>157</v>
      </c>
      <c r="S177" t="s">
        <v>3604</v>
      </c>
      <c r="T177" s="2">
        <v>44378</v>
      </c>
      <c r="U177">
        <v>2021</v>
      </c>
      <c r="V177">
        <v>0.79620000000000002</v>
      </c>
      <c r="AA177">
        <v>0.20380000000000001</v>
      </c>
    </row>
    <row r="178" spans="2:27" x14ac:dyDescent="0.25">
      <c r="B178" t="s">
        <v>496</v>
      </c>
      <c r="C178" t="s">
        <v>3730</v>
      </c>
      <c r="D178">
        <v>2022</v>
      </c>
      <c r="E178" s="2">
        <v>44562</v>
      </c>
      <c r="F178">
        <v>5.54</v>
      </c>
      <c r="G178">
        <v>4.8099999999999996</v>
      </c>
      <c r="H178">
        <v>0</v>
      </c>
      <c r="I178">
        <v>0</v>
      </c>
      <c r="J178">
        <v>0</v>
      </c>
      <c r="K178">
        <v>0</v>
      </c>
      <c r="L178">
        <v>408</v>
      </c>
      <c r="M178">
        <v>5.54</v>
      </c>
      <c r="N178">
        <v>4.8099999999999996</v>
      </c>
      <c r="O178">
        <v>2259.6799999999998</v>
      </c>
      <c r="P178" t="s">
        <v>3816</v>
      </c>
      <c r="Q178" t="s">
        <v>3603</v>
      </c>
      <c r="R178">
        <v>408</v>
      </c>
      <c r="S178" t="s">
        <v>3604</v>
      </c>
      <c r="T178" s="2">
        <v>44378</v>
      </c>
      <c r="U178">
        <v>2021</v>
      </c>
      <c r="V178">
        <v>0.59309999999999996</v>
      </c>
      <c r="AA178">
        <v>0.40689999999999998</v>
      </c>
    </row>
    <row r="179" spans="2:27" x14ac:dyDescent="0.25">
      <c r="B179" t="s">
        <v>497</v>
      </c>
      <c r="C179" t="s">
        <v>3655</v>
      </c>
      <c r="D179">
        <v>2025</v>
      </c>
      <c r="E179" s="2">
        <v>45728</v>
      </c>
      <c r="F179">
        <v>24.93</v>
      </c>
      <c r="G179">
        <v>4.72</v>
      </c>
      <c r="H179">
        <v>10.9</v>
      </c>
      <c r="I179">
        <v>3.32</v>
      </c>
      <c r="J179">
        <v>5</v>
      </c>
      <c r="K179">
        <v>1.39</v>
      </c>
      <c r="L179">
        <v>31</v>
      </c>
      <c r="M179">
        <v>2.0499999999999998</v>
      </c>
      <c r="N179">
        <v>2.11</v>
      </c>
      <c r="O179">
        <v>53.31</v>
      </c>
      <c r="P179" t="s">
        <v>3732</v>
      </c>
      <c r="Q179" t="s">
        <v>3603</v>
      </c>
      <c r="R179">
        <v>31</v>
      </c>
      <c r="S179" t="s">
        <v>3604</v>
      </c>
      <c r="T179" s="2">
        <v>44378</v>
      </c>
      <c r="U179">
        <v>2021</v>
      </c>
      <c r="V179">
        <v>1</v>
      </c>
      <c r="AA179">
        <v>0</v>
      </c>
    </row>
    <row r="180" spans="2:27" x14ac:dyDescent="0.25">
      <c r="B180" t="s">
        <v>498</v>
      </c>
      <c r="D180">
        <v>2024</v>
      </c>
      <c r="F180">
        <v>10.1</v>
      </c>
      <c r="G180">
        <v>3.2</v>
      </c>
      <c r="J180">
        <v>2.23</v>
      </c>
      <c r="K180">
        <v>0.57999999999999996</v>
      </c>
      <c r="L180">
        <v>75</v>
      </c>
      <c r="M180">
        <v>0.09</v>
      </c>
      <c r="O180">
        <v>0.09</v>
      </c>
      <c r="P180" t="s">
        <v>3610</v>
      </c>
      <c r="Q180" t="s">
        <v>3603</v>
      </c>
      <c r="R180">
        <v>93</v>
      </c>
      <c r="S180" t="s">
        <v>3604</v>
      </c>
      <c r="T180" s="2">
        <v>44743</v>
      </c>
      <c r="U180">
        <v>2022</v>
      </c>
      <c r="V180">
        <v>0.9355</v>
      </c>
      <c r="AA180">
        <v>6.4500000000000002E-2</v>
      </c>
    </row>
    <row r="181" spans="2:27" x14ac:dyDescent="0.25">
      <c r="B181" t="s">
        <v>502</v>
      </c>
      <c r="D181">
        <v>2024</v>
      </c>
      <c r="F181">
        <v>9.81</v>
      </c>
      <c r="G181">
        <v>5.1100000000000003</v>
      </c>
      <c r="J181">
        <v>1.53</v>
      </c>
      <c r="K181">
        <v>1.03</v>
      </c>
      <c r="L181">
        <v>229</v>
      </c>
      <c r="M181">
        <v>1.22</v>
      </c>
      <c r="O181">
        <v>1.22</v>
      </c>
      <c r="P181" t="s">
        <v>3611</v>
      </c>
      <c r="Q181" t="s">
        <v>3603</v>
      </c>
      <c r="R181">
        <v>269</v>
      </c>
      <c r="S181" t="s">
        <v>3604</v>
      </c>
      <c r="T181" s="2">
        <v>44743</v>
      </c>
      <c r="U181">
        <v>2022</v>
      </c>
      <c r="V181">
        <v>0.85499999999999998</v>
      </c>
      <c r="AA181">
        <v>0.14499999999999999</v>
      </c>
    </row>
    <row r="182" spans="2:27" x14ac:dyDescent="0.25">
      <c r="B182" t="s">
        <v>503</v>
      </c>
      <c r="D182">
        <v>2024</v>
      </c>
      <c r="F182">
        <v>10.42</v>
      </c>
      <c r="G182">
        <v>3.95</v>
      </c>
      <c r="J182">
        <v>2.0699999999999998</v>
      </c>
      <c r="K182">
        <v>0.5</v>
      </c>
      <c r="L182">
        <v>161</v>
      </c>
      <c r="O182">
        <v>0</v>
      </c>
      <c r="P182" t="s">
        <v>3612</v>
      </c>
      <c r="Q182" t="s">
        <v>3603</v>
      </c>
      <c r="R182">
        <v>212</v>
      </c>
      <c r="S182" t="s">
        <v>3604</v>
      </c>
      <c r="T182" s="2">
        <v>44743</v>
      </c>
      <c r="U182">
        <v>2022</v>
      </c>
      <c r="V182">
        <v>0.97640000000000005</v>
      </c>
      <c r="AA182">
        <v>2.3599999999999999E-2</v>
      </c>
    </row>
    <row r="183" spans="2:27" x14ac:dyDescent="0.25">
      <c r="B183" t="s">
        <v>504</v>
      </c>
      <c r="C183" t="s">
        <v>3646</v>
      </c>
      <c r="D183">
        <v>2025</v>
      </c>
      <c r="E183" s="2">
        <v>45671</v>
      </c>
      <c r="F183">
        <v>22.37</v>
      </c>
      <c r="G183">
        <v>8.65</v>
      </c>
      <c r="H183">
        <v>10.57</v>
      </c>
      <c r="I183">
        <v>6.51</v>
      </c>
      <c r="J183">
        <v>3.29</v>
      </c>
      <c r="K183">
        <v>1.32</v>
      </c>
      <c r="L183">
        <v>49</v>
      </c>
      <c r="M183">
        <v>1.08</v>
      </c>
      <c r="N183">
        <v>1.39</v>
      </c>
      <c r="O183">
        <v>12.92</v>
      </c>
      <c r="P183" t="s">
        <v>3647</v>
      </c>
      <c r="Q183" t="s">
        <v>3603</v>
      </c>
      <c r="R183">
        <v>56</v>
      </c>
      <c r="S183" t="s">
        <v>3604</v>
      </c>
      <c r="T183" s="2">
        <v>45108</v>
      </c>
      <c r="U183">
        <v>2023</v>
      </c>
      <c r="V183">
        <v>0.875</v>
      </c>
      <c r="AA183">
        <v>0.125</v>
      </c>
    </row>
    <row r="184" spans="2:27" x14ac:dyDescent="0.25">
      <c r="B184" t="s">
        <v>504</v>
      </c>
      <c r="D184">
        <v>2024</v>
      </c>
      <c r="F184">
        <v>6.34</v>
      </c>
      <c r="G184">
        <v>3.07</v>
      </c>
      <c r="L184">
        <v>0</v>
      </c>
      <c r="O184">
        <v>0</v>
      </c>
      <c r="P184" t="s">
        <v>3893</v>
      </c>
      <c r="Q184" t="s">
        <v>3603</v>
      </c>
      <c r="R184">
        <v>110</v>
      </c>
      <c r="S184" t="s">
        <v>3604</v>
      </c>
      <c r="T184" s="2">
        <v>45108</v>
      </c>
      <c r="U184">
        <v>2023</v>
      </c>
      <c r="V184">
        <v>0.85450000000000004</v>
      </c>
      <c r="AA184">
        <v>0.14549999999999999</v>
      </c>
    </row>
    <row r="185" spans="2:27" x14ac:dyDescent="0.25">
      <c r="B185" t="s">
        <v>505</v>
      </c>
      <c r="C185" t="s">
        <v>3646</v>
      </c>
      <c r="D185">
        <v>2025</v>
      </c>
      <c r="E185" s="2">
        <v>45672</v>
      </c>
      <c r="F185">
        <v>15.01</v>
      </c>
      <c r="G185">
        <v>4.9400000000000004</v>
      </c>
      <c r="H185">
        <v>7.84</v>
      </c>
      <c r="I185">
        <v>5.0999999999999996</v>
      </c>
      <c r="J185">
        <v>3.06</v>
      </c>
      <c r="K185">
        <v>1.26</v>
      </c>
      <c r="L185">
        <v>87</v>
      </c>
      <c r="M185">
        <v>0.72</v>
      </c>
      <c r="N185">
        <v>0.77</v>
      </c>
      <c r="O185">
        <v>12.26</v>
      </c>
      <c r="P185" t="s">
        <v>3648</v>
      </c>
      <c r="Q185" t="s">
        <v>3603</v>
      </c>
      <c r="R185">
        <v>112</v>
      </c>
      <c r="S185" t="s">
        <v>3604</v>
      </c>
      <c r="T185" s="2">
        <v>45108</v>
      </c>
      <c r="U185">
        <v>2023</v>
      </c>
      <c r="V185">
        <v>0.77680000000000005</v>
      </c>
      <c r="AA185">
        <v>0.22320000000000001</v>
      </c>
    </row>
    <row r="186" spans="2:27" x14ac:dyDescent="0.25">
      <c r="B186" t="s">
        <v>505</v>
      </c>
      <c r="D186">
        <v>2024</v>
      </c>
      <c r="F186">
        <v>7.23</v>
      </c>
      <c r="G186">
        <v>2.77</v>
      </c>
      <c r="J186">
        <v>2.02</v>
      </c>
      <c r="K186">
        <v>0.4</v>
      </c>
      <c r="L186">
        <v>37</v>
      </c>
      <c r="O186">
        <v>0</v>
      </c>
      <c r="P186" t="s">
        <v>3894</v>
      </c>
      <c r="Q186" t="s">
        <v>3603</v>
      </c>
      <c r="R186">
        <v>114</v>
      </c>
      <c r="S186" t="s">
        <v>3604</v>
      </c>
      <c r="T186" s="2">
        <v>45108</v>
      </c>
      <c r="U186">
        <v>2023</v>
      </c>
      <c r="V186">
        <v>0.72809999999999997</v>
      </c>
      <c r="AA186">
        <v>0.27189999999999998</v>
      </c>
    </row>
    <row r="187" spans="2:27" x14ac:dyDescent="0.25">
      <c r="B187" t="s">
        <v>506</v>
      </c>
    </row>
    <row r="188" spans="2:27" x14ac:dyDescent="0.25">
      <c r="B188" t="s">
        <v>509</v>
      </c>
    </row>
    <row r="189" spans="2:27" x14ac:dyDescent="0.25">
      <c r="B189" t="s">
        <v>512</v>
      </c>
      <c r="C189" t="s">
        <v>3899</v>
      </c>
      <c r="D189">
        <v>2021</v>
      </c>
      <c r="E189" s="2">
        <v>44197</v>
      </c>
      <c r="F189">
        <v>7.96</v>
      </c>
      <c r="G189">
        <v>5.19</v>
      </c>
      <c r="J189">
        <v>0.4</v>
      </c>
      <c r="K189">
        <v>0.04</v>
      </c>
      <c r="L189">
        <v>136</v>
      </c>
      <c r="M189">
        <v>6.42</v>
      </c>
      <c r="N189">
        <v>4.0599999999999996</v>
      </c>
      <c r="O189">
        <v>872.5</v>
      </c>
      <c r="P189" t="s">
        <v>3826</v>
      </c>
      <c r="Q189" t="s">
        <v>3603</v>
      </c>
      <c r="R189">
        <v>136</v>
      </c>
      <c r="S189" t="s">
        <v>3604</v>
      </c>
      <c r="T189" s="2">
        <v>44501</v>
      </c>
      <c r="U189">
        <v>2021</v>
      </c>
      <c r="V189">
        <v>0.95099999999999996</v>
      </c>
      <c r="AA189">
        <v>4.9000000000000002E-2</v>
      </c>
    </row>
    <row r="190" spans="2:27" x14ac:dyDescent="0.25">
      <c r="B190" t="s">
        <v>515</v>
      </c>
    </row>
    <row r="191" spans="2:27" x14ac:dyDescent="0.25">
      <c r="B191" t="s">
        <v>519</v>
      </c>
    </row>
    <row r="192" spans="2:27" x14ac:dyDescent="0.25">
      <c r="B192" t="s">
        <v>522</v>
      </c>
    </row>
    <row r="193" spans="2:27" x14ac:dyDescent="0.25">
      <c r="B193" t="s">
        <v>525</v>
      </c>
    </row>
    <row r="194" spans="2:27" x14ac:dyDescent="0.25">
      <c r="B194" t="s">
        <v>526</v>
      </c>
    </row>
    <row r="195" spans="2:27" x14ac:dyDescent="0.25">
      <c r="B195" t="s">
        <v>530</v>
      </c>
      <c r="C195" t="s">
        <v>3817</v>
      </c>
      <c r="D195">
        <v>2022</v>
      </c>
      <c r="E195" s="2">
        <v>44562</v>
      </c>
      <c r="F195">
        <v>3.73</v>
      </c>
      <c r="G195">
        <v>3.53</v>
      </c>
      <c r="H195">
        <v>0</v>
      </c>
      <c r="I195">
        <v>0</v>
      </c>
      <c r="J195">
        <v>0</v>
      </c>
      <c r="K195">
        <v>0</v>
      </c>
      <c r="L195">
        <v>242</v>
      </c>
      <c r="M195">
        <v>3.73</v>
      </c>
      <c r="N195">
        <v>3.53</v>
      </c>
      <c r="O195">
        <v>902.56</v>
      </c>
      <c r="P195" t="s">
        <v>3818</v>
      </c>
      <c r="Q195" t="s">
        <v>3603</v>
      </c>
      <c r="R195">
        <v>242</v>
      </c>
      <c r="S195" t="s">
        <v>3604</v>
      </c>
      <c r="T195" s="2">
        <v>44501</v>
      </c>
      <c r="U195">
        <v>2021</v>
      </c>
      <c r="V195">
        <v>0.76859999999999995</v>
      </c>
      <c r="AA195">
        <v>0.23139999999999999</v>
      </c>
    </row>
    <row r="196" spans="2:27" x14ac:dyDescent="0.25">
      <c r="B196" t="s">
        <v>533</v>
      </c>
    </row>
    <row r="197" spans="2:27" x14ac:dyDescent="0.25">
      <c r="B197" t="s">
        <v>537</v>
      </c>
      <c r="C197" t="s">
        <v>3817</v>
      </c>
      <c r="D197">
        <v>2021</v>
      </c>
      <c r="E197" s="2">
        <v>44197</v>
      </c>
      <c r="F197">
        <v>3.29</v>
      </c>
      <c r="G197">
        <v>0.16</v>
      </c>
      <c r="J197">
        <v>0.39</v>
      </c>
      <c r="K197">
        <v>0</v>
      </c>
      <c r="L197">
        <v>439</v>
      </c>
      <c r="M197">
        <v>2.67</v>
      </c>
      <c r="N197">
        <v>0.13</v>
      </c>
      <c r="O197">
        <v>1173.3900000000001</v>
      </c>
      <c r="P197" t="s">
        <v>3819</v>
      </c>
      <c r="Q197" t="s">
        <v>3603</v>
      </c>
      <c r="R197">
        <v>439</v>
      </c>
      <c r="S197" t="s">
        <v>3604</v>
      </c>
      <c r="T197" s="2">
        <v>44136</v>
      </c>
      <c r="U197">
        <v>2020</v>
      </c>
      <c r="V197">
        <v>0.74409999999999998</v>
      </c>
      <c r="AA197">
        <v>0.25590000000000002</v>
      </c>
    </row>
    <row r="198" spans="2:27" x14ac:dyDescent="0.25">
      <c r="B198" t="s">
        <v>541</v>
      </c>
      <c r="C198" t="s">
        <v>3817</v>
      </c>
      <c r="D198">
        <v>2021</v>
      </c>
      <c r="E198" s="2">
        <v>44197</v>
      </c>
      <c r="F198">
        <v>14.53</v>
      </c>
      <c r="G198">
        <v>9.5</v>
      </c>
      <c r="J198">
        <v>0.42</v>
      </c>
      <c r="K198">
        <v>0.08</v>
      </c>
      <c r="L198">
        <v>412</v>
      </c>
      <c r="M198">
        <v>11.43</v>
      </c>
      <c r="N198">
        <v>7.02</v>
      </c>
      <c r="O198">
        <v>4707.83</v>
      </c>
      <c r="P198" t="s">
        <v>3827</v>
      </c>
      <c r="Q198" t="s">
        <v>3603</v>
      </c>
      <c r="R198">
        <v>412</v>
      </c>
      <c r="S198" t="s">
        <v>3604</v>
      </c>
      <c r="T198" s="2">
        <v>44136</v>
      </c>
      <c r="U198">
        <v>2020</v>
      </c>
      <c r="V198">
        <v>0.63959999999999995</v>
      </c>
      <c r="AA198">
        <v>0.3604</v>
      </c>
    </row>
    <row r="199" spans="2:27" x14ac:dyDescent="0.25">
      <c r="B199" t="s">
        <v>544</v>
      </c>
      <c r="C199" t="s">
        <v>3817</v>
      </c>
      <c r="D199">
        <v>2021</v>
      </c>
      <c r="E199" s="2">
        <v>44197</v>
      </c>
      <c r="F199">
        <v>11.78</v>
      </c>
      <c r="G199">
        <v>7.84</v>
      </c>
      <c r="J199">
        <v>0.42</v>
      </c>
      <c r="K199">
        <v>7.0000000000000007E-2</v>
      </c>
      <c r="L199">
        <v>183</v>
      </c>
      <c r="M199">
        <v>9.33</v>
      </c>
      <c r="N199">
        <v>5.95</v>
      </c>
      <c r="O199">
        <v>1707.89</v>
      </c>
      <c r="P199" t="s">
        <v>3820</v>
      </c>
      <c r="Q199" t="s">
        <v>3603</v>
      </c>
      <c r="R199">
        <v>183</v>
      </c>
      <c r="S199" t="s">
        <v>3604</v>
      </c>
      <c r="T199" s="2">
        <v>44136</v>
      </c>
      <c r="U199">
        <v>2020</v>
      </c>
      <c r="V199">
        <v>0.90590000000000004</v>
      </c>
      <c r="AA199">
        <v>9.4100000000000003E-2</v>
      </c>
    </row>
    <row r="200" spans="2:27" x14ac:dyDescent="0.25">
      <c r="B200" t="s">
        <v>547</v>
      </c>
      <c r="C200" t="s">
        <v>3817</v>
      </c>
      <c r="D200">
        <v>2021</v>
      </c>
      <c r="E200" s="2">
        <v>44197</v>
      </c>
      <c r="F200">
        <v>3.74</v>
      </c>
      <c r="G200">
        <v>1.1399999999999999</v>
      </c>
      <c r="J200">
        <v>0.39</v>
      </c>
      <c r="K200">
        <v>0</v>
      </c>
      <c r="L200">
        <v>209</v>
      </c>
      <c r="M200">
        <v>3.04</v>
      </c>
      <c r="N200">
        <v>0.92</v>
      </c>
      <c r="O200">
        <v>634.70000000000005</v>
      </c>
      <c r="P200" t="s">
        <v>3821</v>
      </c>
      <c r="Q200" t="s">
        <v>3603</v>
      </c>
      <c r="R200">
        <v>209</v>
      </c>
      <c r="S200" t="s">
        <v>3604</v>
      </c>
      <c r="T200" s="2">
        <v>44136</v>
      </c>
      <c r="U200">
        <v>2020</v>
      </c>
      <c r="V200">
        <v>0.57779999999999998</v>
      </c>
      <c r="AA200">
        <v>0.42220000000000002</v>
      </c>
    </row>
    <row r="201" spans="2:27" x14ac:dyDescent="0.25">
      <c r="B201" t="s">
        <v>551</v>
      </c>
    </row>
    <row r="202" spans="2:27" x14ac:dyDescent="0.25">
      <c r="B202" t="s">
        <v>554</v>
      </c>
    </row>
    <row r="203" spans="2:27" x14ac:dyDescent="0.25">
      <c r="B203" t="s">
        <v>557</v>
      </c>
    </row>
    <row r="204" spans="2:27" x14ac:dyDescent="0.25">
      <c r="B204" t="s">
        <v>560</v>
      </c>
      <c r="C204" t="s">
        <v>3817</v>
      </c>
      <c r="D204">
        <v>2021</v>
      </c>
      <c r="E204" s="2">
        <v>44197</v>
      </c>
      <c r="F204">
        <v>3.62</v>
      </c>
      <c r="G204">
        <v>1</v>
      </c>
      <c r="J204">
        <v>0.39</v>
      </c>
      <c r="K204">
        <v>0</v>
      </c>
      <c r="L204">
        <v>107</v>
      </c>
      <c r="M204">
        <v>2.94</v>
      </c>
      <c r="N204">
        <v>0.81</v>
      </c>
      <c r="O204">
        <v>314.68</v>
      </c>
      <c r="P204" t="s">
        <v>3822</v>
      </c>
      <c r="Q204" t="s">
        <v>3603</v>
      </c>
      <c r="R204">
        <v>107</v>
      </c>
      <c r="S204" t="s">
        <v>3604</v>
      </c>
      <c r="T204" s="2">
        <v>44136</v>
      </c>
      <c r="U204">
        <v>2020</v>
      </c>
      <c r="V204">
        <v>0.90680000000000005</v>
      </c>
      <c r="AA204">
        <v>9.3200000000000005E-2</v>
      </c>
    </row>
    <row r="205" spans="2:27" x14ac:dyDescent="0.25">
      <c r="B205" t="s">
        <v>563</v>
      </c>
      <c r="C205" t="s">
        <v>3817</v>
      </c>
      <c r="D205">
        <v>2021</v>
      </c>
      <c r="E205" s="2">
        <v>44197</v>
      </c>
      <c r="F205">
        <v>10</v>
      </c>
      <c r="G205">
        <v>6.62</v>
      </c>
      <c r="J205">
        <v>0.4</v>
      </c>
      <c r="K205">
        <v>0.04</v>
      </c>
      <c r="L205">
        <v>778</v>
      </c>
      <c r="M205">
        <v>8.0500000000000007</v>
      </c>
      <c r="N205">
        <v>5.21</v>
      </c>
      <c r="O205">
        <v>6261.94</v>
      </c>
      <c r="P205" t="s">
        <v>3823</v>
      </c>
      <c r="Q205" t="s">
        <v>3603</v>
      </c>
      <c r="R205">
        <v>778</v>
      </c>
      <c r="S205" t="s">
        <v>3604</v>
      </c>
      <c r="T205" s="2">
        <v>44136</v>
      </c>
      <c r="U205">
        <v>2020</v>
      </c>
      <c r="V205">
        <v>0.76649999999999996</v>
      </c>
      <c r="AA205">
        <v>0.23350000000000001</v>
      </c>
    </row>
    <row r="206" spans="2:27" x14ac:dyDescent="0.25">
      <c r="B206" t="s">
        <v>566</v>
      </c>
    </row>
    <row r="207" spans="2:27" x14ac:dyDescent="0.25">
      <c r="B207" t="s">
        <v>569</v>
      </c>
      <c r="C207" t="s">
        <v>3817</v>
      </c>
      <c r="D207">
        <v>2022</v>
      </c>
      <c r="E207" s="2">
        <v>44562</v>
      </c>
      <c r="F207">
        <v>2.23</v>
      </c>
      <c r="G207">
        <v>2.76</v>
      </c>
      <c r="H207">
        <v>0</v>
      </c>
      <c r="I207">
        <v>0</v>
      </c>
      <c r="J207">
        <v>0</v>
      </c>
      <c r="K207">
        <v>0</v>
      </c>
      <c r="L207">
        <v>295</v>
      </c>
      <c r="M207">
        <v>2.23</v>
      </c>
      <c r="N207">
        <v>2.76</v>
      </c>
      <c r="O207">
        <v>658.79</v>
      </c>
      <c r="P207" t="s">
        <v>3828</v>
      </c>
      <c r="Q207" t="s">
        <v>3603</v>
      </c>
      <c r="R207">
        <v>295</v>
      </c>
      <c r="S207" t="s">
        <v>3604</v>
      </c>
      <c r="T207" s="2">
        <v>44501</v>
      </c>
      <c r="U207">
        <v>2021</v>
      </c>
      <c r="V207">
        <v>0.45079999999999998</v>
      </c>
      <c r="AA207">
        <v>0.54920000000000002</v>
      </c>
    </row>
    <row r="208" spans="2:27" x14ac:dyDescent="0.25">
      <c r="B208" t="s">
        <v>572</v>
      </c>
      <c r="C208" t="s">
        <v>3733</v>
      </c>
      <c r="D208">
        <v>2025</v>
      </c>
      <c r="E208" s="2">
        <v>45739</v>
      </c>
      <c r="F208">
        <v>10.71</v>
      </c>
      <c r="G208">
        <v>6.04</v>
      </c>
      <c r="H208">
        <v>0</v>
      </c>
      <c r="I208">
        <v>0</v>
      </c>
      <c r="J208">
        <v>1.05</v>
      </c>
      <c r="K208">
        <v>0.65</v>
      </c>
      <c r="L208">
        <v>11</v>
      </c>
      <c r="O208">
        <v>0</v>
      </c>
      <c r="P208" t="s">
        <v>3734</v>
      </c>
      <c r="Q208" t="s">
        <v>3603</v>
      </c>
      <c r="R208">
        <v>222</v>
      </c>
      <c r="S208" t="s">
        <v>3604</v>
      </c>
      <c r="T208" s="2">
        <v>44501</v>
      </c>
      <c r="U208">
        <v>2021</v>
      </c>
      <c r="V208">
        <v>5.4100000000000002E-2</v>
      </c>
      <c r="AA208">
        <v>0.94589999999999996</v>
      </c>
    </row>
    <row r="209" spans="2:27" x14ac:dyDescent="0.25">
      <c r="B209" t="s">
        <v>572</v>
      </c>
      <c r="D209">
        <v>2024</v>
      </c>
      <c r="F209">
        <v>3.59</v>
      </c>
      <c r="G209">
        <v>2.84</v>
      </c>
      <c r="L209">
        <v>0</v>
      </c>
      <c r="O209">
        <v>0</v>
      </c>
      <c r="P209" t="s">
        <v>3895</v>
      </c>
      <c r="Q209" t="s">
        <v>3603</v>
      </c>
      <c r="R209">
        <v>281</v>
      </c>
      <c r="S209" t="s">
        <v>3604</v>
      </c>
      <c r="T209" s="2">
        <v>44501</v>
      </c>
      <c r="U209">
        <v>2021</v>
      </c>
      <c r="V209">
        <v>0.91810000000000003</v>
      </c>
      <c r="AA209">
        <v>8.1900000000000001E-2</v>
      </c>
    </row>
    <row r="210" spans="2:27" x14ac:dyDescent="0.25">
      <c r="B210" t="s">
        <v>575</v>
      </c>
      <c r="C210" t="s">
        <v>3817</v>
      </c>
      <c r="D210">
        <v>2022</v>
      </c>
      <c r="E210" s="2">
        <v>44562</v>
      </c>
      <c r="F210">
        <v>3.34</v>
      </c>
      <c r="G210">
        <v>3.05</v>
      </c>
      <c r="H210">
        <v>0</v>
      </c>
      <c r="I210">
        <v>0</v>
      </c>
      <c r="J210">
        <v>0</v>
      </c>
      <c r="K210">
        <v>0</v>
      </c>
      <c r="L210">
        <v>208</v>
      </c>
      <c r="M210">
        <v>3.34</v>
      </c>
      <c r="N210">
        <v>3.05</v>
      </c>
      <c r="O210">
        <v>694.32</v>
      </c>
      <c r="P210" t="s">
        <v>3824</v>
      </c>
      <c r="Q210" t="s">
        <v>3603</v>
      </c>
      <c r="R210">
        <v>208</v>
      </c>
      <c r="S210" t="s">
        <v>3604</v>
      </c>
      <c r="T210" s="2">
        <v>44501</v>
      </c>
      <c r="U210">
        <v>2021</v>
      </c>
      <c r="V210">
        <v>0.79330000000000001</v>
      </c>
      <c r="AA210">
        <v>0.20669999999999999</v>
      </c>
    </row>
    <row r="211" spans="2:27" x14ac:dyDescent="0.25">
      <c r="B211" t="s">
        <v>578</v>
      </c>
      <c r="C211" t="s">
        <v>3817</v>
      </c>
      <c r="D211">
        <v>2022</v>
      </c>
      <c r="E211" s="2">
        <v>44562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103</v>
      </c>
      <c r="M211">
        <v>0</v>
      </c>
      <c r="N211">
        <v>0</v>
      </c>
      <c r="O211">
        <v>0</v>
      </c>
      <c r="P211" t="s">
        <v>3825</v>
      </c>
      <c r="Q211" t="s">
        <v>3603</v>
      </c>
      <c r="R211">
        <v>103</v>
      </c>
      <c r="S211" t="s">
        <v>3604</v>
      </c>
      <c r="T211" s="2">
        <v>44501</v>
      </c>
      <c r="U211">
        <v>2021</v>
      </c>
      <c r="V211">
        <v>0</v>
      </c>
      <c r="AA211">
        <v>1</v>
      </c>
    </row>
    <row r="212" spans="2:27" x14ac:dyDescent="0.25">
      <c r="B212" t="s">
        <v>582</v>
      </c>
      <c r="C212" t="s">
        <v>3817</v>
      </c>
      <c r="D212">
        <v>2022</v>
      </c>
      <c r="E212" s="2">
        <v>44562</v>
      </c>
      <c r="F212">
        <v>0.53</v>
      </c>
      <c r="G212">
        <v>1.42</v>
      </c>
      <c r="H212">
        <v>0</v>
      </c>
      <c r="I212">
        <v>0</v>
      </c>
      <c r="J212">
        <v>0</v>
      </c>
      <c r="K212">
        <v>0</v>
      </c>
      <c r="L212">
        <v>302</v>
      </c>
      <c r="M212">
        <v>0.53</v>
      </c>
      <c r="N212">
        <v>1.42</v>
      </c>
      <c r="O212">
        <v>161.41999999999999</v>
      </c>
      <c r="P212" t="s">
        <v>3829</v>
      </c>
      <c r="Q212" t="s">
        <v>3603</v>
      </c>
      <c r="R212">
        <v>302</v>
      </c>
      <c r="S212" t="s">
        <v>3604</v>
      </c>
      <c r="T212" s="2">
        <v>44501</v>
      </c>
      <c r="U212">
        <v>2021</v>
      </c>
      <c r="V212">
        <v>0.1358</v>
      </c>
      <c r="AA212">
        <v>0.86419999999999997</v>
      </c>
    </row>
    <row r="213" spans="2:27" x14ac:dyDescent="0.25">
      <c r="B213" t="s">
        <v>586</v>
      </c>
      <c r="D213">
        <v>2024</v>
      </c>
      <c r="F213">
        <v>7.64</v>
      </c>
      <c r="G213">
        <v>4.95</v>
      </c>
      <c r="H213">
        <v>10.87</v>
      </c>
      <c r="I213">
        <v>1.22</v>
      </c>
      <c r="J213">
        <v>2.95</v>
      </c>
      <c r="K213">
        <v>1.05</v>
      </c>
      <c r="L213">
        <v>8</v>
      </c>
      <c r="M213">
        <v>0.23</v>
      </c>
      <c r="N213">
        <v>0.2</v>
      </c>
      <c r="O213">
        <v>0.47</v>
      </c>
      <c r="P213" t="s">
        <v>3613</v>
      </c>
      <c r="Q213" t="s">
        <v>3603</v>
      </c>
      <c r="R213">
        <v>193</v>
      </c>
      <c r="S213" t="s">
        <v>3604</v>
      </c>
      <c r="T213" s="2">
        <v>44866</v>
      </c>
      <c r="U213">
        <v>2022</v>
      </c>
      <c r="V213">
        <v>0.94299999999999995</v>
      </c>
      <c r="AA213">
        <v>5.7000000000000002E-2</v>
      </c>
    </row>
    <row r="214" spans="2:27" x14ac:dyDescent="0.25">
      <c r="B214" t="s">
        <v>589</v>
      </c>
      <c r="D214">
        <v>2024</v>
      </c>
      <c r="F214">
        <v>5.3</v>
      </c>
      <c r="G214">
        <v>2.81</v>
      </c>
      <c r="L214">
        <v>0</v>
      </c>
      <c r="O214">
        <v>0</v>
      </c>
      <c r="P214" t="s">
        <v>3777</v>
      </c>
      <c r="Q214" t="s">
        <v>3603</v>
      </c>
      <c r="R214">
        <v>260</v>
      </c>
      <c r="S214" t="s">
        <v>3604</v>
      </c>
      <c r="T214" s="2">
        <v>44866</v>
      </c>
      <c r="U214">
        <v>2022</v>
      </c>
      <c r="V214">
        <v>0.97689999999999999</v>
      </c>
      <c r="AA214">
        <v>2.3099999999999999E-2</v>
      </c>
    </row>
    <row r="215" spans="2:27" x14ac:dyDescent="0.25">
      <c r="B215" t="s">
        <v>592</v>
      </c>
      <c r="D215">
        <v>2024</v>
      </c>
      <c r="F215">
        <v>5.0599999999999996</v>
      </c>
      <c r="G215">
        <v>3.04</v>
      </c>
      <c r="L215">
        <v>0</v>
      </c>
      <c r="O215">
        <v>0</v>
      </c>
      <c r="P215" t="s">
        <v>3778</v>
      </c>
      <c r="Q215" t="s">
        <v>3603</v>
      </c>
      <c r="R215">
        <v>264</v>
      </c>
      <c r="S215" t="s">
        <v>3604</v>
      </c>
      <c r="T215" s="2">
        <v>44866</v>
      </c>
      <c r="U215">
        <v>2022</v>
      </c>
      <c r="V215">
        <v>0.96209999999999996</v>
      </c>
      <c r="AA215">
        <v>3.7900000000000003E-2</v>
      </c>
    </row>
    <row r="216" spans="2:27" x14ac:dyDescent="0.25">
      <c r="B216" t="s">
        <v>595</v>
      </c>
      <c r="D216">
        <v>2024</v>
      </c>
      <c r="F216">
        <v>8.8699999999999992</v>
      </c>
      <c r="G216">
        <v>5.01</v>
      </c>
      <c r="H216">
        <v>13.68</v>
      </c>
      <c r="J216">
        <v>3.15</v>
      </c>
      <c r="L216">
        <v>1</v>
      </c>
      <c r="O216">
        <v>0</v>
      </c>
      <c r="P216" t="s">
        <v>3614</v>
      </c>
      <c r="Q216" t="s">
        <v>3603</v>
      </c>
      <c r="R216">
        <v>453</v>
      </c>
      <c r="S216" t="s">
        <v>3604</v>
      </c>
      <c r="T216" s="2">
        <v>44866</v>
      </c>
      <c r="U216">
        <v>2022</v>
      </c>
      <c r="V216">
        <v>0.80789999999999995</v>
      </c>
      <c r="AA216">
        <v>0.19209999999999999</v>
      </c>
    </row>
    <row r="217" spans="2:27" x14ac:dyDescent="0.25">
      <c r="B217" t="s">
        <v>598</v>
      </c>
      <c r="D217">
        <v>2024</v>
      </c>
      <c r="F217">
        <v>1.52</v>
      </c>
      <c r="G217">
        <v>0.68</v>
      </c>
      <c r="L217">
        <v>0</v>
      </c>
      <c r="O217">
        <v>0</v>
      </c>
      <c r="P217" t="s">
        <v>3779</v>
      </c>
      <c r="Q217" t="s">
        <v>3603</v>
      </c>
      <c r="R217">
        <v>130</v>
      </c>
      <c r="S217" t="s">
        <v>3604</v>
      </c>
      <c r="T217" s="2">
        <v>44866</v>
      </c>
      <c r="U217">
        <v>2022</v>
      </c>
      <c r="V217">
        <v>0.2462</v>
      </c>
      <c r="AA217">
        <v>0.75380000000000003</v>
      </c>
    </row>
    <row r="218" spans="2:27" x14ac:dyDescent="0.25">
      <c r="B218" t="s">
        <v>602</v>
      </c>
      <c r="D218">
        <v>2024</v>
      </c>
      <c r="F218">
        <v>4.8499999999999996</v>
      </c>
      <c r="G218">
        <v>4</v>
      </c>
      <c r="J218">
        <v>2.69</v>
      </c>
      <c r="K218">
        <v>0.24</v>
      </c>
      <c r="L218">
        <v>4</v>
      </c>
      <c r="O218">
        <v>0</v>
      </c>
      <c r="P218" t="s">
        <v>3615</v>
      </c>
      <c r="Q218" t="s">
        <v>3603</v>
      </c>
      <c r="R218">
        <v>246</v>
      </c>
      <c r="S218" t="s">
        <v>3604</v>
      </c>
      <c r="T218" s="2">
        <v>44866</v>
      </c>
      <c r="U218">
        <v>2022</v>
      </c>
      <c r="V218">
        <v>0.97150000000000003</v>
      </c>
      <c r="AA218">
        <v>2.8500000000000001E-2</v>
      </c>
    </row>
    <row r="219" spans="2:27" x14ac:dyDescent="0.25">
      <c r="B219" t="s">
        <v>605</v>
      </c>
      <c r="D219">
        <v>2024</v>
      </c>
      <c r="F219">
        <v>10.43</v>
      </c>
      <c r="G219">
        <v>9.65</v>
      </c>
      <c r="H219">
        <v>9.14</v>
      </c>
      <c r="I219">
        <v>1.33</v>
      </c>
      <c r="J219">
        <v>4.1100000000000003</v>
      </c>
      <c r="K219">
        <v>0.77</v>
      </c>
      <c r="L219">
        <v>71</v>
      </c>
      <c r="M219">
        <v>0.28999999999999998</v>
      </c>
      <c r="N219">
        <v>0.39</v>
      </c>
      <c r="O219">
        <v>13.53</v>
      </c>
      <c r="P219" t="s">
        <v>3616</v>
      </c>
      <c r="Q219" t="s">
        <v>3603</v>
      </c>
      <c r="R219">
        <v>271</v>
      </c>
      <c r="S219" t="s">
        <v>3604</v>
      </c>
      <c r="T219" s="2">
        <v>44866</v>
      </c>
      <c r="U219">
        <v>2022</v>
      </c>
      <c r="V219">
        <v>0.88190000000000002</v>
      </c>
      <c r="AA219">
        <v>0.1181</v>
      </c>
    </row>
    <row r="220" spans="2:27" x14ac:dyDescent="0.25">
      <c r="B220" t="s">
        <v>608</v>
      </c>
      <c r="D220">
        <v>2024</v>
      </c>
      <c r="F220">
        <v>4.93</v>
      </c>
      <c r="G220">
        <v>3.97</v>
      </c>
      <c r="L220">
        <v>0</v>
      </c>
      <c r="O220">
        <v>0</v>
      </c>
      <c r="P220" t="s">
        <v>3780</v>
      </c>
      <c r="Q220" t="s">
        <v>3603</v>
      </c>
      <c r="R220">
        <v>461</v>
      </c>
      <c r="S220" t="s">
        <v>3604</v>
      </c>
      <c r="T220" s="2">
        <v>44866</v>
      </c>
      <c r="U220">
        <v>2022</v>
      </c>
      <c r="V220">
        <v>0.98260000000000003</v>
      </c>
      <c r="AA220">
        <v>1.7399999999999999E-2</v>
      </c>
    </row>
    <row r="221" spans="2:27" x14ac:dyDescent="0.25">
      <c r="B221" t="s">
        <v>611</v>
      </c>
    </row>
    <row r="222" spans="2:27" x14ac:dyDescent="0.25">
      <c r="B222" t="s">
        <v>614</v>
      </c>
      <c r="D222">
        <v>2024</v>
      </c>
      <c r="F222">
        <v>6.62</v>
      </c>
      <c r="G222">
        <v>4.3600000000000003</v>
      </c>
      <c r="H222">
        <v>9.81</v>
      </c>
      <c r="I222">
        <v>1.27</v>
      </c>
      <c r="J222">
        <v>3.28</v>
      </c>
      <c r="K222">
        <v>0.42</v>
      </c>
      <c r="L222">
        <v>13</v>
      </c>
      <c r="O222">
        <v>0</v>
      </c>
      <c r="P222" t="s">
        <v>3617</v>
      </c>
      <c r="Q222" t="s">
        <v>3603</v>
      </c>
      <c r="R222">
        <v>228</v>
      </c>
      <c r="S222" t="s">
        <v>3604</v>
      </c>
      <c r="T222" s="2">
        <v>44866</v>
      </c>
      <c r="U222">
        <v>2022</v>
      </c>
      <c r="V222">
        <v>0.92979999999999996</v>
      </c>
      <c r="AA222">
        <v>7.0199999999999999E-2</v>
      </c>
    </row>
    <row r="223" spans="2:27" x14ac:dyDescent="0.25">
      <c r="B223" t="s">
        <v>617</v>
      </c>
      <c r="D223">
        <v>2024</v>
      </c>
      <c r="F223">
        <v>1.36</v>
      </c>
      <c r="G223">
        <v>1.1100000000000001</v>
      </c>
      <c r="L223">
        <v>0</v>
      </c>
      <c r="O223">
        <v>0</v>
      </c>
      <c r="P223" t="s">
        <v>3782</v>
      </c>
      <c r="Q223" t="s">
        <v>3603</v>
      </c>
      <c r="R223">
        <v>256</v>
      </c>
      <c r="S223" t="s">
        <v>3604</v>
      </c>
      <c r="T223" s="2">
        <v>44866</v>
      </c>
      <c r="U223">
        <v>2022</v>
      </c>
      <c r="V223">
        <v>0.66020000000000001</v>
      </c>
      <c r="AA223">
        <v>0.33979999999999999</v>
      </c>
    </row>
    <row r="224" spans="2:27" x14ac:dyDescent="0.25">
      <c r="B224" t="s">
        <v>620</v>
      </c>
      <c r="D224">
        <v>2024</v>
      </c>
      <c r="F224">
        <v>2.69</v>
      </c>
      <c r="G224">
        <v>1.48</v>
      </c>
      <c r="L224">
        <v>0</v>
      </c>
      <c r="O224">
        <v>0</v>
      </c>
      <c r="P224" t="s">
        <v>3783</v>
      </c>
      <c r="Q224" t="s">
        <v>3603</v>
      </c>
      <c r="R224">
        <v>92</v>
      </c>
      <c r="S224" t="s">
        <v>3604</v>
      </c>
      <c r="T224" s="2">
        <v>44866</v>
      </c>
      <c r="U224">
        <v>2022</v>
      </c>
      <c r="V224">
        <v>0.1196</v>
      </c>
      <c r="AA224">
        <v>0.88039999999999996</v>
      </c>
    </row>
    <row r="225" spans="2:27" x14ac:dyDescent="0.25">
      <c r="B225" t="s">
        <v>623</v>
      </c>
      <c r="C225" t="s">
        <v>3700</v>
      </c>
      <c r="D225">
        <v>2025</v>
      </c>
      <c r="E225" s="2">
        <v>45720</v>
      </c>
      <c r="F225">
        <v>8.1999999999999993</v>
      </c>
      <c r="G225">
        <v>3.19</v>
      </c>
      <c r="H225">
        <v>0.55000000000000004</v>
      </c>
      <c r="I225">
        <v>1.92</v>
      </c>
      <c r="J225">
        <v>1.1399999999999999</v>
      </c>
      <c r="K225">
        <v>0.56000000000000005</v>
      </c>
      <c r="L225">
        <v>184</v>
      </c>
      <c r="O225">
        <v>0</v>
      </c>
      <c r="P225" t="s">
        <v>3744</v>
      </c>
      <c r="Q225" t="s">
        <v>3603</v>
      </c>
      <c r="R225">
        <v>246</v>
      </c>
      <c r="S225" t="s">
        <v>3604</v>
      </c>
      <c r="T225" s="2">
        <v>45231</v>
      </c>
      <c r="U225">
        <v>2023</v>
      </c>
      <c r="V225">
        <v>0.83330000000000004</v>
      </c>
      <c r="AA225">
        <v>0.16669999999999999</v>
      </c>
    </row>
    <row r="226" spans="2:27" x14ac:dyDescent="0.25">
      <c r="B226" t="s">
        <v>626</v>
      </c>
      <c r="C226" t="s">
        <v>3700</v>
      </c>
      <c r="D226">
        <v>2025</v>
      </c>
      <c r="E226" s="2">
        <v>45734</v>
      </c>
      <c r="F226">
        <v>14.88</v>
      </c>
      <c r="G226">
        <v>7.87</v>
      </c>
      <c r="H226">
        <v>3.22</v>
      </c>
      <c r="I226">
        <v>8.15</v>
      </c>
      <c r="J226">
        <v>1.69</v>
      </c>
      <c r="K226">
        <v>1.02</v>
      </c>
      <c r="L226">
        <v>62</v>
      </c>
      <c r="O226">
        <v>0</v>
      </c>
      <c r="P226" t="s">
        <v>3725</v>
      </c>
      <c r="Q226" t="s">
        <v>3603</v>
      </c>
      <c r="R226">
        <v>305</v>
      </c>
      <c r="S226" t="s">
        <v>3604</v>
      </c>
      <c r="T226" s="2">
        <v>45231</v>
      </c>
      <c r="U226">
        <v>2023</v>
      </c>
      <c r="V226">
        <v>0.24590000000000001</v>
      </c>
      <c r="AA226">
        <v>0.75409999999999999</v>
      </c>
    </row>
    <row r="227" spans="2:27" x14ac:dyDescent="0.25">
      <c r="B227" t="s">
        <v>629</v>
      </c>
      <c r="C227" t="s">
        <v>3700</v>
      </c>
      <c r="D227">
        <v>2025</v>
      </c>
      <c r="E227" s="2">
        <v>45723</v>
      </c>
      <c r="F227">
        <v>10.57</v>
      </c>
      <c r="G227">
        <v>7.48</v>
      </c>
      <c r="H227">
        <v>2.17</v>
      </c>
      <c r="I227">
        <v>5.81</v>
      </c>
      <c r="J227">
        <v>1.1200000000000001</v>
      </c>
      <c r="K227">
        <v>1.01</v>
      </c>
      <c r="L227">
        <v>110</v>
      </c>
      <c r="O227">
        <v>0</v>
      </c>
      <c r="P227" t="s">
        <v>3736</v>
      </c>
      <c r="Q227" t="s">
        <v>3603</v>
      </c>
      <c r="R227">
        <v>247</v>
      </c>
      <c r="S227" t="s">
        <v>3604</v>
      </c>
      <c r="T227" s="2">
        <v>45231</v>
      </c>
      <c r="U227">
        <v>2023</v>
      </c>
      <c r="V227">
        <v>0.53439999999999999</v>
      </c>
      <c r="AA227">
        <v>0.46560000000000001</v>
      </c>
    </row>
    <row r="228" spans="2:27" x14ac:dyDescent="0.25">
      <c r="B228" t="s">
        <v>633</v>
      </c>
    </row>
    <row r="229" spans="2:27" x14ac:dyDescent="0.25">
      <c r="B229" t="s">
        <v>636</v>
      </c>
      <c r="C229" t="s">
        <v>3700</v>
      </c>
      <c r="D229">
        <v>2025</v>
      </c>
      <c r="E229" s="2">
        <v>45737</v>
      </c>
      <c r="F229">
        <v>6.58</v>
      </c>
      <c r="G229">
        <v>2.95</v>
      </c>
      <c r="H229">
        <v>1.27</v>
      </c>
      <c r="I229">
        <v>2.75</v>
      </c>
      <c r="J229">
        <v>0.85</v>
      </c>
      <c r="K229">
        <v>0.5</v>
      </c>
      <c r="L229">
        <v>53</v>
      </c>
      <c r="O229">
        <v>0</v>
      </c>
      <c r="P229" t="s">
        <v>3724</v>
      </c>
      <c r="Q229" t="s">
        <v>3603</v>
      </c>
      <c r="R229">
        <v>85</v>
      </c>
      <c r="S229" t="s">
        <v>3604</v>
      </c>
      <c r="T229" s="2">
        <v>45231</v>
      </c>
      <c r="U229">
        <v>2023</v>
      </c>
      <c r="V229">
        <v>0.8</v>
      </c>
      <c r="AA229">
        <v>0.2</v>
      </c>
    </row>
    <row r="230" spans="2:27" x14ac:dyDescent="0.25">
      <c r="B230" t="s">
        <v>637</v>
      </c>
      <c r="C230" t="s">
        <v>3700</v>
      </c>
      <c r="D230">
        <v>2025</v>
      </c>
      <c r="E230" s="2">
        <v>45722</v>
      </c>
      <c r="F230">
        <v>23.76</v>
      </c>
      <c r="G230">
        <v>5.03</v>
      </c>
      <c r="H230">
        <v>0</v>
      </c>
      <c r="I230">
        <v>0</v>
      </c>
      <c r="J230">
        <v>3.3</v>
      </c>
      <c r="K230">
        <v>0.9</v>
      </c>
      <c r="L230">
        <v>71</v>
      </c>
      <c r="O230">
        <v>0</v>
      </c>
      <c r="P230" t="s">
        <v>3735</v>
      </c>
      <c r="Q230" t="s">
        <v>3603</v>
      </c>
      <c r="R230">
        <v>76</v>
      </c>
      <c r="S230" t="s">
        <v>3604</v>
      </c>
      <c r="T230" s="2">
        <v>45231</v>
      </c>
      <c r="U230">
        <v>2023</v>
      </c>
      <c r="V230">
        <v>0.94740000000000002</v>
      </c>
      <c r="AA230">
        <v>5.2600000000000001E-2</v>
      </c>
    </row>
    <row r="231" spans="2:27" x14ac:dyDescent="0.25">
      <c r="B231" t="s">
        <v>638</v>
      </c>
      <c r="C231" t="s">
        <v>3702</v>
      </c>
      <c r="D231">
        <v>2025</v>
      </c>
      <c r="E231" s="2">
        <v>45711</v>
      </c>
      <c r="F231">
        <v>9.9</v>
      </c>
      <c r="G231">
        <v>5.01</v>
      </c>
      <c r="H231">
        <v>0</v>
      </c>
      <c r="I231">
        <v>0</v>
      </c>
      <c r="J231">
        <v>1.37</v>
      </c>
      <c r="K231">
        <v>0.89</v>
      </c>
      <c r="L231">
        <v>192</v>
      </c>
      <c r="O231">
        <v>0</v>
      </c>
      <c r="P231" t="s">
        <v>3737</v>
      </c>
      <c r="Q231" t="s">
        <v>3603</v>
      </c>
      <c r="R231">
        <v>201</v>
      </c>
      <c r="S231" t="s">
        <v>3604</v>
      </c>
      <c r="T231" s="2">
        <v>45231</v>
      </c>
      <c r="U231">
        <v>2023</v>
      </c>
      <c r="V231">
        <v>0.96020000000000005</v>
      </c>
      <c r="AA231">
        <v>3.9800000000000002E-2</v>
      </c>
    </row>
    <row r="232" spans="2:27" x14ac:dyDescent="0.25">
      <c r="B232" t="s">
        <v>641</v>
      </c>
    </row>
    <row r="233" spans="2:27" x14ac:dyDescent="0.25">
      <c r="B233" t="s">
        <v>644</v>
      </c>
      <c r="C233" t="s">
        <v>3700</v>
      </c>
      <c r="D233">
        <v>2025</v>
      </c>
      <c r="E233" s="2">
        <v>45735</v>
      </c>
      <c r="F233">
        <v>13.39</v>
      </c>
      <c r="G233">
        <v>4.6399999999999997</v>
      </c>
      <c r="H233">
        <v>0</v>
      </c>
      <c r="I233">
        <v>0</v>
      </c>
      <c r="J233">
        <v>1.99</v>
      </c>
      <c r="K233">
        <v>0.79</v>
      </c>
      <c r="L233">
        <v>61</v>
      </c>
      <c r="O233">
        <v>0</v>
      </c>
      <c r="P233" t="s">
        <v>3745</v>
      </c>
      <c r="Q233" t="s">
        <v>3603</v>
      </c>
      <c r="R233">
        <v>73</v>
      </c>
      <c r="S233" t="s">
        <v>3604</v>
      </c>
      <c r="T233" s="2">
        <v>45231</v>
      </c>
      <c r="U233">
        <v>2023</v>
      </c>
      <c r="V233">
        <v>0.86299999999999999</v>
      </c>
      <c r="AA233">
        <v>0.13700000000000001</v>
      </c>
    </row>
    <row r="234" spans="2:27" x14ac:dyDescent="0.25">
      <c r="B234" t="s">
        <v>647</v>
      </c>
      <c r="C234" t="s">
        <v>3700</v>
      </c>
      <c r="D234">
        <v>2025</v>
      </c>
      <c r="E234" s="2">
        <v>45722</v>
      </c>
      <c r="F234">
        <v>7.43</v>
      </c>
      <c r="G234">
        <v>3.45</v>
      </c>
      <c r="H234">
        <v>0</v>
      </c>
      <c r="I234">
        <v>0</v>
      </c>
      <c r="J234">
        <v>0.52</v>
      </c>
      <c r="K234">
        <v>0.82</v>
      </c>
      <c r="L234">
        <v>51</v>
      </c>
      <c r="O234">
        <v>0</v>
      </c>
      <c r="P234" t="s">
        <v>3738</v>
      </c>
      <c r="Q234" t="s">
        <v>3603</v>
      </c>
      <c r="R234">
        <v>66</v>
      </c>
      <c r="S234" t="s">
        <v>3604</v>
      </c>
      <c r="T234" s="2">
        <v>45231</v>
      </c>
      <c r="U234">
        <v>2023</v>
      </c>
      <c r="V234">
        <v>0.77270000000000005</v>
      </c>
      <c r="AA234">
        <v>0.2273</v>
      </c>
    </row>
    <row r="235" spans="2:27" x14ac:dyDescent="0.25">
      <c r="B235" t="s">
        <v>650</v>
      </c>
      <c r="C235" t="s">
        <v>3700</v>
      </c>
      <c r="D235">
        <v>2025</v>
      </c>
      <c r="E235" s="2">
        <v>45723</v>
      </c>
      <c r="F235">
        <v>21.14</v>
      </c>
      <c r="G235">
        <v>9.33</v>
      </c>
      <c r="H235">
        <v>0</v>
      </c>
      <c r="I235">
        <v>0</v>
      </c>
      <c r="J235">
        <v>1.9</v>
      </c>
      <c r="K235">
        <v>1.1299999999999999</v>
      </c>
      <c r="L235">
        <v>92</v>
      </c>
      <c r="O235">
        <v>0</v>
      </c>
      <c r="P235" t="s">
        <v>3710</v>
      </c>
      <c r="Q235" t="s">
        <v>3603</v>
      </c>
      <c r="R235">
        <v>104</v>
      </c>
      <c r="S235" t="s">
        <v>3604</v>
      </c>
      <c r="T235" s="2">
        <v>45231</v>
      </c>
      <c r="U235">
        <v>2023</v>
      </c>
      <c r="V235">
        <v>0.88460000000000005</v>
      </c>
      <c r="AA235">
        <v>0.1154</v>
      </c>
    </row>
    <row r="236" spans="2:27" x14ac:dyDescent="0.25">
      <c r="B236" t="s">
        <v>651</v>
      </c>
      <c r="C236" t="s">
        <v>3700</v>
      </c>
      <c r="D236">
        <v>2025</v>
      </c>
      <c r="E236" s="2">
        <v>45722</v>
      </c>
      <c r="F236">
        <v>9.94</v>
      </c>
      <c r="G236">
        <v>6.88</v>
      </c>
      <c r="H236">
        <v>0</v>
      </c>
      <c r="I236">
        <v>0</v>
      </c>
      <c r="J236">
        <v>0.99</v>
      </c>
      <c r="K236">
        <v>1.19</v>
      </c>
      <c r="L236">
        <v>39</v>
      </c>
      <c r="O236">
        <v>0</v>
      </c>
      <c r="P236" t="s">
        <v>3701</v>
      </c>
      <c r="Q236" t="s">
        <v>3603</v>
      </c>
      <c r="R236">
        <v>44</v>
      </c>
      <c r="S236" t="s">
        <v>3604</v>
      </c>
      <c r="T236" s="2">
        <v>45231</v>
      </c>
      <c r="U236">
        <v>2023</v>
      </c>
      <c r="V236">
        <v>0.88639999999999997</v>
      </c>
      <c r="AA236">
        <v>0.11360000000000001</v>
      </c>
    </row>
    <row r="237" spans="2:27" x14ac:dyDescent="0.25">
      <c r="B237" t="s">
        <v>654</v>
      </c>
    </row>
    <row r="238" spans="2:27" x14ac:dyDescent="0.25">
      <c r="B238" t="s">
        <v>657</v>
      </c>
      <c r="C238" t="s">
        <v>3702</v>
      </c>
      <c r="D238">
        <v>2025</v>
      </c>
      <c r="E238" s="2">
        <v>45713</v>
      </c>
      <c r="F238">
        <v>3.84</v>
      </c>
      <c r="G238">
        <v>3.01</v>
      </c>
      <c r="H238">
        <v>0</v>
      </c>
      <c r="I238">
        <v>0</v>
      </c>
      <c r="J238">
        <v>0.3</v>
      </c>
      <c r="K238">
        <v>0.53</v>
      </c>
      <c r="L238">
        <v>556</v>
      </c>
      <c r="O238">
        <v>0</v>
      </c>
      <c r="P238" t="s">
        <v>3703</v>
      </c>
      <c r="Q238" t="s">
        <v>3603</v>
      </c>
      <c r="R238">
        <v>629</v>
      </c>
      <c r="S238" t="s">
        <v>3604</v>
      </c>
      <c r="T238" s="2">
        <v>45231</v>
      </c>
      <c r="U238">
        <v>2023</v>
      </c>
      <c r="V238">
        <v>0.8871</v>
      </c>
      <c r="AA238">
        <v>0.1129</v>
      </c>
    </row>
    <row r="239" spans="2:27" x14ac:dyDescent="0.25">
      <c r="B239" t="s">
        <v>658</v>
      </c>
      <c r="C239" t="s">
        <v>3700</v>
      </c>
      <c r="D239">
        <v>2025</v>
      </c>
      <c r="E239" s="2">
        <v>45735</v>
      </c>
      <c r="F239">
        <v>19.350000000000001</v>
      </c>
      <c r="G239">
        <v>4.54</v>
      </c>
      <c r="H239">
        <v>0</v>
      </c>
      <c r="I239">
        <v>0</v>
      </c>
      <c r="J239">
        <v>3.61</v>
      </c>
      <c r="K239">
        <v>1.51</v>
      </c>
      <c r="L239">
        <v>157</v>
      </c>
      <c r="O239">
        <v>0</v>
      </c>
      <c r="P239" t="s">
        <v>3704</v>
      </c>
      <c r="Q239" t="s">
        <v>3603</v>
      </c>
      <c r="R239">
        <v>221</v>
      </c>
      <c r="S239" t="s">
        <v>3604</v>
      </c>
      <c r="T239" s="2">
        <v>45231</v>
      </c>
      <c r="U239">
        <v>2023</v>
      </c>
      <c r="V239">
        <v>0.71040000000000003</v>
      </c>
      <c r="AA239">
        <v>0.28960000000000002</v>
      </c>
    </row>
    <row r="240" spans="2:27" x14ac:dyDescent="0.25">
      <c r="B240" t="s">
        <v>661</v>
      </c>
    </row>
    <row r="241" spans="2:2" x14ac:dyDescent="0.25">
      <c r="B241" t="s">
        <v>664</v>
      </c>
    </row>
    <row r="242" spans="2:2" x14ac:dyDescent="0.25">
      <c r="B242" t="s">
        <v>667</v>
      </c>
    </row>
    <row r="243" spans="2:2" x14ac:dyDescent="0.25">
      <c r="B243" t="s">
        <v>671</v>
      </c>
    </row>
    <row r="244" spans="2:2" x14ac:dyDescent="0.25">
      <c r="B244" t="s">
        <v>674</v>
      </c>
    </row>
    <row r="245" spans="2:2" x14ac:dyDescent="0.25">
      <c r="B245" t="s">
        <v>677</v>
      </c>
    </row>
    <row r="246" spans="2:2" x14ac:dyDescent="0.25">
      <c r="B246" t="s">
        <v>680</v>
      </c>
    </row>
    <row r="247" spans="2:2" x14ac:dyDescent="0.25">
      <c r="B247" t="s">
        <v>683</v>
      </c>
    </row>
    <row r="248" spans="2:2" x14ac:dyDescent="0.25">
      <c r="B248" t="s">
        <v>684</v>
      </c>
    </row>
    <row r="249" spans="2:2" x14ac:dyDescent="0.25">
      <c r="B249" t="s">
        <v>686</v>
      </c>
    </row>
    <row r="250" spans="2:2" x14ac:dyDescent="0.25">
      <c r="B250" t="s">
        <v>690</v>
      </c>
    </row>
    <row r="251" spans="2:2" x14ac:dyDescent="0.25">
      <c r="B251" t="s">
        <v>693</v>
      </c>
    </row>
    <row r="252" spans="2:2" x14ac:dyDescent="0.25">
      <c r="B252" t="s">
        <v>694</v>
      </c>
    </row>
    <row r="253" spans="2:2" x14ac:dyDescent="0.25">
      <c r="B253" t="s">
        <v>697</v>
      </c>
    </row>
    <row r="254" spans="2:2" x14ac:dyDescent="0.25">
      <c r="B254" t="s">
        <v>700</v>
      </c>
    </row>
    <row r="255" spans="2:2" x14ac:dyDescent="0.25">
      <c r="B255" t="s">
        <v>703</v>
      </c>
    </row>
    <row r="256" spans="2:2" x14ac:dyDescent="0.25">
      <c r="B256" t="s">
        <v>706</v>
      </c>
    </row>
    <row r="257" spans="2:2" x14ac:dyDescent="0.25">
      <c r="B257" t="s">
        <v>707</v>
      </c>
    </row>
    <row r="258" spans="2:2" x14ac:dyDescent="0.25">
      <c r="B258" t="s">
        <v>710</v>
      </c>
    </row>
    <row r="259" spans="2:2" x14ac:dyDescent="0.25">
      <c r="B259" t="s">
        <v>713</v>
      </c>
    </row>
    <row r="260" spans="2:2" x14ac:dyDescent="0.25">
      <c r="B260" t="s">
        <v>716</v>
      </c>
    </row>
    <row r="261" spans="2:2" x14ac:dyDescent="0.25">
      <c r="B261" t="s">
        <v>717</v>
      </c>
    </row>
    <row r="262" spans="2:2" x14ac:dyDescent="0.25">
      <c r="B262" t="s">
        <v>720</v>
      </c>
    </row>
    <row r="263" spans="2:2" x14ac:dyDescent="0.25">
      <c r="B263" t="s">
        <v>723</v>
      </c>
    </row>
    <row r="264" spans="2:2" x14ac:dyDescent="0.25">
      <c r="B264" t="s">
        <v>726</v>
      </c>
    </row>
    <row r="265" spans="2:2" x14ac:dyDescent="0.25">
      <c r="B265" t="s">
        <v>730</v>
      </c>
    </row>
    <row r="266" spans="2:2" x14ac:dyDescent="0.25">
      <c r="B266" t="s">
        <v>733</v>
      </c>
    </row>
    <row r="267" spans="2:2" x14ac:dyDescent="0.25">
      <c r="B267" t="s">
        <v>736</v>
      </c>
    </row>
    <row r="268" spans="2:2" x14ac:dyDescent="0.25">
      <c r="B268" t="s">
        <v>740</v>
      </c>
    </row>
    <row r="269" spans="2:2" x14ac:dyDescent="0.25">
      <c r="B269" t="s">
        <v>743</v>
      </c>
    </row>
    <row r="270" spans="2:2" x14ac:dyDescent="0.25">
      <c r="B270" t="s">
        <v>746</v>
      </c>
    </row>
    <row r="271" spans="2:2" x14ac:dyDescent="0.25">
      <c r="B271" t="s">
        <v>750</v>
      </c>
    </row>
    <row r="272" spans="2:2" x14ac:dyDescent="0.25">
      <c r="B272" t="s">
        <v>751</v>
      </c>
    </row>
    <row r="273" spans="2:2" x14ac:dyDescent="0.25">
      <c r="B273" t="s">
        <v>755</v>
      </c>
    </row>
    <row r="274" spans="2:2" x14ac:dyDescent="0.25">
      <c r="B274" t="s">
        <v>758</v>
      </c>
    </row>
    <row r="275" spans="2:2" x14ac:dyDescent="0.25">
      <c r="B275" t="s">
        <v>761</v>
      </c>
    </row>
    <row r="276" spans="2:2" x14ac:dyDescent="0.25">
      <c r="B276" t="s">
        <v>764</v>
      </c>
    </row>
    <row r="277" spans="2:2" x14ac:dyDescent="0.25">
      <c r="B277" t="s">
        <v>767</v>
      </c>
    </row>
    <row r="278" spans="2:2" x14ac:dyDescent="0.25">
      <c r="B278" t="s">
        <v>770</v>
      </c>
    </row>
    <row r="279" spans="2:2" x14ac:dyDescent="0.25">
      <c r="B279" t="s">
        <v>773</v>
      </c>
    </row>
    <row r="280" spans="2:2" x14ac:dyDescent="0.25">
      <c r="B280" t="s">
        <v>776</v>
      </c>
    </row>
    <row r="281" spans="2:2" x14ac:dyDescent="0.25">
      <c r="B281" t="s">
        <v>779</v>
      </c>
    </row>
    <row r="282" spans="2:2" x14ac:dyDescent="0.25">
      <c r="B282" t="s">
        <v>782</v>
      </c>
    </row>
    <row r="283" spans="2:2" x14ac:dyDescent="0.25">
      <c r="B283" t="s">
        <v>785</v>
      </c>
    </row>
    <row r="284" spans="2:2" x14ac:dyDescent="0.25">
      <c r="B284" t="s">
        <v>786</v>
      </c>
    </row>
    <row r="285" spans="2:2" x14ac:dyDescent="0.25">
      <c r="B285" t="s">
        <v>789</v>
      </c>
    </row>
    <row r="286" spans="2:2" x14ac:dyDescent="0.25">
      <c r="B286" t="s">
        <v>855</v>
      </c>
    </row>
    <row r="287" spans="2:2" x14ac:dyDescent="0.25">
      <c r="B287" t="s">
        <v>858</v>
      </c>
    </row>
    <row r="288" spans="2:2" x14ac:dyDescent="0.25">
      <c r="B288" t="s">
        <v>861</v>
      </c>
    </row>
    <row r="289" spans="2:27" x14ac:dyDescent="0.25">
      <c r="B289" t="s">
        <v>864</v>
      </c>
      <c r="C289" t="s">
        <v>3832</v>
      </c>
      <c r="D289">
        <v>2022</v>
      </c>
      <c r="E289" s="2">
        <v>44562</v>
      </c>
      <c r="F289">
        <v>23.79</v>
      </c>
      <c r="G289">
        <v>6.15</v>
      </c>
      <c r="H289">
        <v>8.92</v>
      </c>
      <c r="I289">
        <v>2.0099999999999998</v>
      </c>
      <c r="J289">
        <v>13.02</v>
      </c>
      <c r="K289">
        <v>69.86</v>
      </c>
      <c r="L289">
        <v>88</v>
      </c>
      <c r="M289">
        <v>9213.89</v>
      </c>
      <c r="N289">
        <v>95619.51</v>
      </c>
      <c r="O289">
        <v>995100.21</v>
      </c>
      <c r="P289" t="s">
        <v>3833</v>
      </c>
      <c r="Q289" t="s">
        <v>3603</v>
      </c>
      <c r="R289">
        <v>108</v>
      </c>
      <c r="S289" t="s">
        <v>3604</v>
      </c>
      <c r="T289" s="2">
        <v>42491</v>
      </c>
      <c r="U289">
        <v>2016</v>
      </c>
      <c r="V289">
        <v>0.54</v>
      </c>
      <c r="AA289">
        <v>0.46</v>
      </c>
    </row>
    <row r="290" spans="2:27" x14ac:dyDescent="0.25">
      <c r="B290" t="s">
        <v>865</v>
      </c>
      <c r="C290" t="s">
        <v>3705</v>
      </c>
      <c r="D290">
        <v>2025</v>
      </c>
      <c r="E290" s="2">
        <v>45742</v>
      </c>
      <c r="F290">
        <v>20.72</v>
      </c>
      <c r="G290">
        <v>6.53</v>
      </c>
      <c r="H290">
        <v>8.98</v>
      </c>
      <c r="I290">
        <v>2.4300000000000002</v>
      </c>
      <c r="J290">
        <v>6.21</v>
      </c>
      <c r="K290">
        <v>2.77</v>
      </c>
      <c r="L290">
        <v>54</v>
      </c>
      <c r="M290">
        <v>9.3000000000000007</v>
      </c>
      <c r="N290">
        <v>5.32</v>
      </c>
      <c r="O290">
        <v>558.1</v>
      </c>
      <c r="P290" t="s">
        <v>3706</v>
      </c>
      <c r="Q290" t="s">
        <v>3603</v>
      </c>
      <c r="R290">
        <v>187</v>
      </c>
      <c r="S290" t="s">
        <v>3604</v>
      </c>
      <c r="T290" s="2">
        <v>42491</v>
      </c>
      <c r="U290">
        <v>2016</v>
      </c>
      <c r="V290">
        <v>0.42249999999999999</v>
      </c>
      <c r="AA290">
        <v>0.57750000000000001</v>
      </c>
    </row>
    <row r="291" spans="2:27" x14ac:dyDescent="0.25">
      <c r="B291" t="s">
        <v>866</v>
      </c>
      <c r="C291" t="s">
        <v>3705</v>
      </c>
      <c r="D291">
        <v>2025</v>
      </c>
      <c r="E291" s="2">
        <v>45727</v>
      </c>
      <c r="F291">
        <v>33.68</v>
      </c>
      <c r="G291">
        <v>6.81</v>
      </c>
      <c r="H291">
        <v>8.08</v>
      </c>
      <c r="I291">
        <v>2.64</v>
      </c>
      <c r="J291">
        <v>8.57</v>
      </c>
      <c r="K291">
        <v>2.0099999999999998</v>
      </c>
      <c r="L291">
        <v>66</v>
      </c>
      <c r="M291">
        <v>13.02</v>
      </c>
      <c r="N291">
        <v>12.3</v>
      </c>
      <c r="O291">
        <v>2135.87</v>
      </c>
      <c r="P291" t="s">
        <v>3707</v>
      </c>
      <c r="Q291" t="s">
        <v>3603</v>
      </c>
      <c r="R291">
        <v>188</v>
      </c>
      <c r="S291" t="s">
        <v>3604</v>
      </c>
      <c r="T291" s="2">
        <v>42491</v>
      </c>
      <c r="U291">
        <v>2016</v>
      </c>
      <c r="V291">
        <v>0.87770000000000004</v>
      </c>
      <c r="AA291">
        <v>0.12230000000000001</v>
      </c>
    </row>
    <row r="292" spans="2:27" x14ac:dyDescent="0.25">
      <c r="B292" t="s">
        <v>866</v>
      </c>
      <c r="D292">
        <v>2024</v>
      </c>
      <c r="F292">
        <v>24.57</v>
      </c>
      <c r="G292">
        <v>4.96</v>
      </c>
      <c r="H292">
        <v>14.02</v>
      </c>
      <c r="I292">
        <v>4.47</v>
      </c>
      <c r="J292">
        <v>6.56</v>
      </c>
      <c r="K292">
        <v>1.59</v>
      </c>
      <c r="L292">
        <v>47</v>
      </c>
      <c r="M292">
        <v>9.49</v>
      </c>
      <c r="N292">
        <v>9.51</v>
      </c>
      <c r="O292">
        <v>512.37</v>
      </c>
      <c r="P292" t="s">
        <v>3896</v>
      </c>
      <c r="Q292" t="s">
        <v>3603</v>
      </c>
      <c r="R292">
        <v>69</v>
      </c>
      <c r="S292" t="s">
        <v>3604</v>
      </c>
      <c r="T292" s="2">
        <v>42491</v>
      </c>
      <c r="U292">
        <v>2016</v>
      </c>
      <c r="V292">
        <v>0.84060000000000001</v>
      </c>
      <c r="AA292">
        <v>0.15939999999999999</v>
      </c>
    </row>
    <row r="293" spans="2:27" x14ac:dyDescent="0.25">
      <c r="B293" t="s">
        <v>869</v>
      </c>
    </row>
    <row r="294" spans="2:27" x14ac:dyDescent="0.25">
      <c r="B294" t="s">
        <v>872</v>
      </c>
      <c r="C294" t="s">
        <v>3705</v>
      </c>
      <c r="D294">
        <v>2025</v>
      </c>
      <c r="E294" s="2">
        <v>45720</v>
      </c>
      <c r="L294">
        <v>0</v>
      </c>
      <c r="O294">
        <v>0</v>
      </c>
      <c r="P294" t="s">
        <v>3709</v>
      </c>
      <c r="Q294" t="s">
        <v>3603</v>
      </c>
      <c r="R294">
        <v>63</v>
      </c>
      <c r="S294" t="s">
        <v>3604</v>
      </c>
      <c r="T294" s="2">
        <v>42491</v>
      </c>
      <c r="U294">
        <v>2016</v>
      </c>
      <c r="V294">
        <v>0</v>
      </c>
      <c r="AA294">
        <v>1</v>
      </c>
    </row>
    <row r="295" spans="2:27" x14ac:dyDescent="0.25">
      <c r="B295" t="s">
        <v>875</v>
      </c>
      <c r="C295" t="s">
        <v>3832</v>
      </c>
      <c r="D295">
        <v>2022</v>
      </c>
      <c r="E295" s="2">
        <v>44562</v>
      </c>
      <c r="F295">
        <v>15.83</v>
      </c>
      <c r="G295">
        <v>7.31</v>
      </c>
      <c r="H295">
        <v>9.89</v>
      </c>
      <c r="I295">
        <v>1.56</v>
      </c>
      <c r="J295">
        <v>2.84</v>
      </c>
      <c r="K295">
        <v>1.77</v>
      </c>
      <c r="L295">
        <v>42</v>
      </c>
      <c r="M295">
        <v>3.03</v>
      </c>
      <c r="N295">
        <v>2.5299999999999998</v>
      </c>
      <c r="O295">
        <v>127.19</v>
      </c>
      <c r="P295" t="s">
        <v>3834</v>
      </c>
      <c r="Q295" t="s">
        <v>3603</v>
      </c>
      <c r="R295">
        <v>42</v>
      </c>
      <c r="S295" t="s">
        <v>3604</v>
      </c>
      <c r="T295" s="2">
        <v>42491</v>
      </c>
      <c r="U295">
        <v>2016</v>
      </c>
      <c r="V295">
        <v>0.91300000000000003</v>
      </c>
      <c r="AA295">
        <v>8.6999999999999994E-2</v>
      </c>
    </row>
    <row r="296" spans="2:27" x14ac:dyDescent="0.25">
      <c r="B296" t="s">
        <v>878</v>
      </c>
    </row>
    <row r="297" spans="2:27" x14ac:dyDescent="0.25">
      <c r="B297" t="s">
        <v>881</v>
      </c>
      <c r="C297" t="s">
        <v>3832</v>
      </c>
      <c r="D297">
        <v>2022</v>
      </c>
      <c r="E297" s="2">
        <v>44562</v>
      </c>
      <c r="F297">
        <v>27.9</v>
      </c>
      <c r="G297">
        <v>4.95</v>
      </c>
      <c r="H297">
        <v>11.25</v>
      </c>
      <c r="I297">
        <v>3.28</v>
      </c>
      <c r="J297">
        <v>6.23</v>
      </c>
      <c r="K297">
        <v>1.43</v>
      </c>
      <c r="L297">
        <v>9</v>
      </c>
      <c r="M297">
        <v>11.92</v>
      </c>
      <c r="N297">
        <v>10.71</v>
      </c>
      <c r="O297">
        <v>119.17</v>
      </c>
      <c r="P297" t="s">
        <v>3831</v>
      </c>
      <c r="Q297" t="s">
        <v>3603</v>
      </c>
      <c r="R297">
        <v>10</v>
      </c>
      <c r="S297" t="s">
        <v>3604</v>
      </c>
      <c r="T297" s="2">
        <v>42491</v>
      </c>
      <c r="U297">
        <v>2016</v>
      </c>
      <c r="V297">
        <v>0.625</v>
      </c>
      <c r="AA297">
        <v>0.375</v>
      </c>
    </row>
    <row r="298" spans="2:27" x14ac:dyDescent="0.25">
      <c r="B298" t="s">
        <v>884</v>
      </c>
    </row>
    <row r="299" spans="2:27" x14ac:dyDescent="0.25">
      <c r="B299" t="s">
        <v>887</v>
      </c>
    </row>
    <row r="300" spans="2:27" x14ac:dyDescent="0.25">
      <c r="B300" t="s">
        <v>890</v>
      </c>
      <c r="C300" t="s">
        <v>3705</v>
      </c>
      <c r="D300">
        <v>2025</v>
      </c>
      <c r="E300" s="2">
        <v>45728</v>
      </c>
      <c r="F300">
        <v>41.33</v>
      </c>
      <c r="G300">
        <v>7.42</v>
      </c>
      <c r="H300">
        <v>16.22</v>
      </c>
      <c r="I300">
        <v>3.05</v>
      </c>
      <c r="J300">
        <v>10.24</v>
      </c>
      <c r="K300">
        <v>2.37</v>
      </c>
      <c r="L300">
        <v>7</v>
      </c>
      <c r="M300">
        <v>44.64</v>
      </c>
      <c r="N300">
        <v>26.31</v>
      </c>
      <c r="O300">
        <v>2053.34</v>
      </c>
      <c r="P300" t="s">
        <v>3721</v>
      </c>
      <c r="Q300" t="s">
        <v>3603</v>
      </c>
      <c r="R300">
        <v>47</v>
      </c>
      <c r="S300" t="s">
        <v>3604</v>
      </c>
      <c r="T300" s="2">
        <v>42491</v>
      </c>
      <c r="U300">
        <v>2016</v>
      </c>
      <c r="V300">
        <v>0.97870000000000001</v>
      </c>
      <c r="AA300">
        <v>2.1299999999999999E-2</v>
      </c>
    </row>
    <row r="301" spans="2:27" x14ac:dyDescent="0.25">
      <c r="B301" t="s">
        <v>894</v>
      </c>
    </row>
    <row r="302" spans="2:27" x14ac:dyDescent="0.25">
      <c r="B302" t="s">
        <v>898</v>
      </c>
    </row>
    <row r="303" spans="2:27" x14ac:dyDescent="0.25">
      <c r="B303" t="s">
        <v>901</v>
      </c>
    </row>
    <row r="304" spans="2:27" x14ac:dyDescent="0.25">
      <c r="B304" t="s">
        <v>904</v>
      </c>
    </row>
    <row r="305" spans="2:27" x14ac:dyDescent="0.25">
      <c r="B305" t="s">
        <v>908</v>
      </c>
    </row>
    <row r="306" spans="2:27" x14ac:dyDescent="0.25">
      <c r="B306" t="s">
        <v>911</v>
      </c>
    </row>
    <row r="307" spans="2:27" x14ac:dyDescent="0.25">
      <c r="B307" t="s">
        <v>914</v>
      </c>
    </row>
    <row r="308" spans="2:27" x14ac:dyDescent="0.25">
      <c r="B308" t="s">
        <v>917</v>
      </c>
      <c r="C308" t="s">
        <v>3712</v>
      </c>
      <c r="D308">
        <v>2025</v>
      </c>
      <c r="E308" s="2">
        <v>45714</v>
      </c>
      <c r="F308">
        <v>24.49</v>
      </c>
      <c r="G308">
        <v>5.66</v>
      </c>
      <c r="H308">
        <v>9.82</v>
      </c>
      <c r="I308">
        <v>1.67</v>
      </c>
      <c r="J308">
        <v>8.7100000000000009</v>
      </c>
      <c r="K308">
        <v>2.48</v>
      </c>
      <c r="L308">
        <v>22</v>
      </c>
      <c r="M308">
        <v>17.010000000000002</v>
      </c>
      <c r="N308">
        <v>21.97</v>
      </c>
      <c r="O308">
        <v>1071.79</v>
      </c>
      <c r="P308" t="s">
        <v>3713</v>
      </c>
      <c r="Q308" t="s">
        <v>3603</v>
      </c>
      <c r="R308">
        <v>240</v>
      </c>
      <c r="S308" t="s">
        <v>3604</v>
      </c>
      <c r="T308" s="2">
        <v>43221</v>
      </c>
      <c r="U308">
        <v>2018</v>
      </c>
      <c r="V308">
        <v>0.26250000000000001</v>
      </c>
      <c r="AA308">
        <v>0.73750000000000004</v>
      </c>
    </row>
    <row r="309" spans="2:27" x14ac:dyDescent="0.25">
      <c r="B309" t="s">
        <v>917</v>
      </c>
      <c r="D309">
        <v>2024</v>
      </c>
      <c r="F309">
        <v>21.76</v>
      </c>
      <c r="G309">
        <v>4.2699999999999996</v>
      </c>
      <c r="H309">
        <v>9.6999999999999993</v>
      </c>
      <c r="I309">
        <v>1.23</v>
      </c>
      <c r="J309">
        <v>8.19</v>
      </c>
      <c r="K309">
        <v>1.9</v>
      </c>
      <c r="L309">
        <v>14</v>
      </c>
      <c r="M309">
        <v>13.53</v>
      </c>
      <c r="N309">
        <v>11.52</v>
      </c>
      <c r="O309">
        <v>378.86</v>
      </c>
      <c r="P309" t="s">
        <v>3888</v>
      </c>
      <c r="Q309" t="s">
        <v>3603</v>
      </c>
      <c r="R309">
        <v>78</v>
      </c>
      <c r="S309" t="s">
        <v>3604</v>
      </c>
      <c r="T309" s="2">
        <v>43221</v>
      </c>
      <c r="U309">
        <v>2018</v>
      </c>
      <c r="V309">
        <v>0.37180000000000002</v>
      </c>
      <c r="AA309">
        <v>0.62819999999999998</v>
      </c>
    </row>
    <row r="310" spans="2:27" x14ac:dyDescent="0.25">
      <c r="B310" t="s">
        <v>921</v>
      </c>
      <c r="C310" t="s">
        <v>3714</v>
      </c>
      <c r="D310">
        <v>2025</v>
      </c>
      <c r="E310" s="2">
        <v>45720</v>
      </c>
      <c r="F310">
        <v>44.7</v>
      </c>
      <c r="G310">
        <v>17.53</v>
      </c>
      <c r="H310">
        <v>11.9</v>
      </c>
      <c r="I310">
        <v>3.97</v>
      </c>
      <c r="J310">
        <v>9.1300000000000008</v>
      </c>
      <c r="K310">
        <v>4.12</v>
      </c>
      <c r="L310">
        <v>19</v>
      </c>
      <c r="M310">
        <v>43.77</v>
      </c>
      <c r="N310">
        <v>31.46</v>
      </c>
      <c r="O310">
        <v>2495.02</v>
      </c>
      <c r="P310" t="s">
        <v>3715</v>
      </c>
      <c r="Q310" t="s">
        <v>3603</v>
      </c>
      <c r="R310">
        <v>68</v>
      </c>
      <c r="S310" t="s">
        <v>3604</v>
      </c>
      <c r="T310" s="2">
        <v>43221</v>
      </c>
      <c r="U310">
        <v>2018</v>
      </c>
      <c r="V310">
        <v>1</v>
      </c>
      <c r="AA310">
        <v>0</v>
      </c>
    </row>
    <row r="311" spans="2:27" x14ac:dyDescent="0.25">
      <c r="B311" t="s">
        <v>922</v>
      </c>
      <c r="C311" t="s">
        <v>3714</v>
      </c>
      <c r="D311">
        <v>2025</v>
      </c>
      <c r="E311" s="2">
        <v>45722</v>
      </c>
      <c r="F311">
        <v>21.63</v>
      </c>
      <c r="G311">
        <v>13.62</v>
      </c>
      <c r="H311">
        <v>8.6999999999999993</v>
      </c>
      <c r="I311">
        <v>6.11</v>
      </c>
      <c r="J311">
        <v>4.5</v>
      </c>
      <c r="K311">
        <v>3.25</v>
      </c>
      <c r="L311">
        <v>81</v>
      </c>
      <c r="M311">
        <v>14.26</v>
      </c>
      <c r="N311">
        <v>16.239999999999998</v>
      </c>
      <c r="O311">
        <v>698.73</v>
      </c>
      <c r="P311" t="s">
        <v>3716</v>
      </c>
      <c r="Q311" t="s">
        <v>3603</v>
      </c>
      <c r="R311">
        <v>193</v>
      </c>
      <c r="S311" t="s">
        <v>3604</v>
      </c>
      <c r="T311" s="2">
        <v>43221</v>
      </c>
      <c r="U311">
        <v>2018</v>
      </c>
      <c r="V311">
        <v>0.50260000000000005</v>
      </c>
      <c r="AA311">
        <v>0.49740000000000001</v>
      </c>
    </row>
    <row r="312" spans="2:27" x14ac:dyDescent="0.25">
      <c r="B312" t="s">
        <v>926</v>
      </c>
      <c r="C312" t="s">
        <v>3835</v>
      </c>
      <c r="D312">
        <v>2021</v>
      </c>
      <c r="E312" s="2">
        <v>44197</v>
      </c>
      <c r="F312">
        <v>5.5</v>
      </c>
      <c r="G312">
        <v>1.61</v>
      </c>
      <c r="J312">
        <v>1.1100000000000001</v>
      </c>
      <c r="K312">
        <v>0.17</v>
      </c>
      <c r="L312">
        <v>58</v>
      </c>
      <c r="M312">
        <v>2.83</v>
      </c>
      <c r="N312">
        <v>0.7</v>
      </c>
      <c r="O312">
        <v>164.28</v>
      </c>
      <c r="P312" t="s">
        <v>3836</v>
      </c>
      <c r="Q312" t="s">
        <v>3603</v>
      </c>
      <c r="R312">
        <v>58</v>
      </c>
      <c r="S312" t="s">
        <v>3604</v>
      </c>
      <c r="T312" s="2">
        <v>43221</v>
      </c>
      <c r="U312">
        <v>2018</v>
      </c>
      <c r="V312">
        <v>0.9667</v>
      </c>
      <c r="AA312">
        <v>3.3300000000000003E-2</v>
      </c>
    </row>
    <row r="313" spans="2:27" x14ac:dyDescent="0.25">
      <c r="B313" t="s">
        <v>929</v>
      </c>
    </row>
    <row r="314" spans="2:27" x14ac:dyDescent="0.25">
      <c r="B314" t="s">
        <v>932</v>
      </c>
    </row>
    <row r="315" spans="2:27" x14ac:dyDescent="0.25">
      <c r="B315" t="s">
        <v>933</v>
      </c>
      <c r="C315" t="s">
        <v>3714</v>
      </c>
      <c r="D315">
        <v>2025</v>
      </c>
      <c r="E315" s="2">
        <v>45722</v>
      </c>
      <c r="F315">
        <v>23.28</v>
      </c>
      <c r="G315">
        <v>6.6</v>
      </c>
      <c r="H315">
        <v>7.86</v>
      </c>
      <c r="I315">
        <v>2.12</v>
      </c>
      <c r="J315">
        <v>4.58</v>
      </c>
      <c r="K315">
        <v>1.57</v>
      </c>
      <c r="L315">
        <v>39</v>
      </c>
      <c r="M315">
        <v>1.97</v>
      </c>
      <c r="N315">
        <v>3.33</v>
      </c>
      <c r="O315">
        <v>51.13</v>
      </c>
      <c r="P315" t="s">
        <v>3717</v>
      </c>
      <c r="Q315" t="s">
        <v>3603</v>
      </c>
      <c r="R315">
        <v>40</v>
      </c>
      <c r="S315" t="s">
        <v>3604</v>
      </c>
      <c r="T315" s="2">
        <v>43221</v>
      </c>
      <c r="U315">
        <v>2018</v>
      </c>
      <c r="V315">
        <v>1</v>
      </c>
      <c r="AA315">
        <v>0</v>
      </c>
    </row>
    <row r="316" spans="2:27" x14ac:dyDescent="0.25">
      <c r="B316" t="s">
        <v>936</v>
      </c>
      <c r="C316" t="s">
        <v>3835</v>
      </c>
      <c r="D316">
        <v>2021</v>
      </c>
      <c r="E316" s="2">
        <v>44197</v>
      </c>
      <c r="F316">
        <v>6.3</v>
      </c>
      <c r="G316">
        <v>1.3</v>
      </c>
      <c r="J316">
        <v>1.03</v>
      </c>
      <c r="K316">
        <v>0.08</v>
      </c>
      <c r="L316">
        <v>27</v>
      </c>
      <c r="M316">
        <v>3.45</v>
      </c>
      <c r="N316">
        <v>0.63</v>
      </c>
      <c r="O316">
        <v>93.06</v>
      </c>
      <c r="P316" t="s">
        <v>3837</v>
      </c>
      <c r="Q316" t="s">
        <v>3603</v>
      </c>
      <c r="R316">
        <v>27</v>
      </c>
      <c r="S316" t="s">
        <v>3604</v>
      </c>
      <c r="T316" s="2">
        <v>43221</v>
      </c>
      <c r="U316">
        <v>2018</v>
      </c>
      <c r="V316">
        <v>1</v>
      </c>
      <c r="AA316">
        <v>0</v>
      </c>
    </row>
    <row r="317" spans="2:27" x14ac:dyDescent="0.25">
      <c r="B317" t="s">
        <v>939</v>
      </c>
      <c r="C317" t="s">
        <v>3714</v>
      </c>
      <c r="D317">
        <v>2025</v>
      </c>
      <c r="E317" s="2">
        <v>45722</v>
      </c>
      <c r="F317">
        <v>22.8</v>
      </c>
      <c r="G317">
        <v>6.12</v>
      </c>
      <c r="H317">
        <v>9.5</v>
      </c>
      <c r="I317">
        <v>1.86</v>
      </c>
      <c r="J317">
        <v>5.89</v>
      </c>
      <c r="K317">
        <v>1.96</v>
      </c>
      <c r="L317">
        <v>115</v>
      </c>
      <c r="M317">
        <v>5.16</v>
      </c>
      <c r="N317">
        <v>5.86</v>
      </c>
      <c r="O317">
        <v>593.87</v>
      </c>
      <c r="P317" t="s">
        <v>3718</v>
      </c>
      <c r="Q317" t="s">
        <v>3603</v>
      </c>
      <c r="R317">
        <v>158</v>
      </c>
      <c r="S317" t="s">
        <v>3604</v>
      </c>
      <c r="T317" s="2">
        <v>43221</v>
      </c>
      <c r="U317">
        <v>2018</v>
      </c>
      <c r="V317">
        <v>0.87970000000000004</v>
      </c>
      <c r="AA317">
        <v>0.1203</v>
      </c>
    </row>
    <row r="318" spans="2:27" x14ac:dyDescent="0.25">
      <c r="B318" t="s">
        <v>939</v>
      </c>
      <c r="D318">
        <v>2024</v>
      </c>
      <c r="F318">
        <v>21.05</v>
      </c>
      <c r="G318">
        <v>7.04</v>
      </c>
      <c r="H318">
        <v>12.59</v>
      </c>
      <c r="I318">
        <v>3.06</v>
      </c>
      <c r="J318">
        <v>5.39</v>
      </c>
      <c r="K318">
        <v>1.38</v>
      </c>
      <c r="L318">
        <v>61</v>
      </c>
      <c r="M318">
        <v>3.64</v>
      </c>
      <c r="N318">
        <v>3.91</v>
      </c>
      <c r="O318">
        <v>192.8</v>
      </c>
      <c r="P318" t="s">
        <v>3887</v>
      </c>
      <c r="Q318" t="s">
        <v>3603</v>
      </c>
      <c r="R318">
        <v>69</v>
      </c>
      <c r="S318" t="s">
        <v>3604</v>
      </c>
      <c r="T318" s="2">
        <v>43221</v>
      </c>
      <c r="U318">
        <v>2018</v>
      </c>
      <c r="V318">
        <v>0.94199999999999995</v>
      </c>
      <c r="AA318">
        <v>5.8000000000000003E-2</v>
      </c>
    </row>
    <row r="319" spans="2:27" x14ac:dyDescent="0.25">
      <c r="B319" t="s">
        <v>942</v>
      </c>
      <c r="C319" t="s">
        <v>3712</v>
      </c>
      <c r="D319">
        <v>2025</v>
      </c>
      <c r="E319" s="2">
        <v>45695</v>
      </c>
      <c r="F319">
        <v>28.42</v>
      </c>
      <c r="G319">
        <v>7.5</v>
      </c>
      <c r="H319">
        <v>13.11</v>
      </c>
      <c r="I319">
        <v>4.58</v>
      </c>
      <c r="J319">
        <v>6.52</v>
      </c>
      <c r="K319">
        <v>2.0299999999999998</v>
      </c>
      <c r="L319">
        <v>23</v>
      </c>
      <c r="M319">
        <v>7.85</v>
      </c>
      <c r="N319">
        <v>9.75</v>
      </c>
      <c r="O319">
        <v>212.05</v>
      </c>
      <c r="P319" t="s">
        <v>3719</v>
      </c>
      <c r="Q319" t="s">
        <v>3603</v>
      </c>
      <c r="R319">
        <v>36</v>
      </c>
      <c r="S319" t="s">
        <v>3604</v>
      </c>
      <c r="T319" s="2">
        <v>43221</v>
      </c>
      <c r="U319">
        <v>2018</v>
      </c>
      <c r="V319">
        <v>0.80559999999999998</v>
      </c>
      <c r="AA319">
        <v>0.19439999999999999</v>
      </c>
    </row>
    <row r="320" spans="2:27" x14ac:dyDescent="0.25">
      <c r="B320" t="s">
        <v>945</v>
      </c>
      <c r="C320" t="s">
        <v>3714</v>
      </c>
      <c r="D320">
        <v>2025</v>
      </c>
      <c r="E320" s="2">
        <v>45722</v>
      </c>
      <c r="F320">
        <v>13.65</v>
      </c>
      <c r="G320">
        <v>9.2100000000000009</v>
      </c>
      <c r="H320">
        <v>7.73</v>
      </c>
      <c r="I320">
        <v>2.83</v>
      </c>
      <c r="J320">
        <v>2.81</v>
      </c>
      <c r="K320">
        <v>2.38</v>
      </c>
      <c r="L320">
        <v>73</v>
      </c>
      <c r="M320">
        <v>5.48</v>
      </c>
      <c r="N320">
        <v>5.79</v>
      </c>
      <c r="O320">
        <v>104.08</v>
      </c>
      <c r="P320" t="s">
        <v>3720</v>
      </c>
      <c r="Q320" t="s">
        <v>3603</v>
      </c>
      <c r="R320">
        <v>87</v>
      </c>
      <c r="S320" t="s">
        <v>3604</v>
      </c>
      <c r="T320" s="2">
        <v>43221</v>
      </c>
      <c r="U320">
        <v>2018</v>
      </c>
      <c r="V320">
        <v>0.8851</v>
      </c>
      <c r="AA320">
        <v>0.1149</v>
      </c>
    </row>
    <row r="321" spans="2:27" x14ac:dyDescent="0.25">
      <c r="B321" t="s">
        <v>945</v>
      </c>
      <c r="D321">
        <v>2024</v>
      </c>
      <c r="F321">
        <v>7.4</v>
      </c>
      <c r="G321">
        <v>5.3</v>
      </c>
      <c r="H321">
        <v>14.15</v>
      </c>
      <c r="I321">
        <v>0.64</v>
      </c>
      <c r="J321">
        <v>1.58</v>
      </c>
      <c r="K321">
        <v>1.1599999999999999</v>
      </c>
      <c r="L321">
        <v>24</v>
      </c>
      <c r="M321">
        <v>1.51</v>
      </c>
      <c r="N321">
        <v>0.39</v>
      </c>
      <c r="O321">
        <v>3.02</v>
      </c>
      <c r="P321" t="s">
        <v>3882</v>
      </c>
      <c r="Q321" t="s">
        <v>3603</v>
      </c>
      <c r="R321">
        <v>36</v>
      </c>
      <c r="S321" t="s">
        <v>3604</v>
      </c>
      <c r="T321" s="2">
        <v>43221</v>
      </c>
      <c r="U321">
        <v>2018</v>
      </c>
      <c r="V321">
        <v>1</v>
      </c>
      <c r="AA321">
        <v>0</v>
      </c>
    </row>
    <row r="322" spans="2:27" x14ac:dyDescent="0.25">
      <c r="B322" t="s">
        <v>949</v>
      </c>
    </row>
    <row r="323" spans="2:27" x14ac:dyDescent="0.25">
      <c r="B323" t="s">
        <v>952</v>
      </c>
      <c r="C323" t="s">
        <v>3835</v>
      </c>
      <c r="D323">
        <v>2022</v>
      </c>
      <c r="E323" s="2">
        <v>44562</v>
      </c>
      <c r="F323">
        <v>24.47</v>
      </c>
      <c r="G323">
        <v>10.9</v>
      </c>
      <c r="H323">
        <v>10.62</v>
      </c>
      <c r="I323">
        <v>1.55</v>
      </c>
      <c r="J323">
        <v>4.9000000000000004</v>
      </c>
      <c r="K323">
        <v>2.4</v>
      </c>
      <c r="L323">
        <v>100</v>
      </c>
      <c r="M323">
        <v>8.81</v>
      </c>
      <c r="N323">
        <v>10.95</v>
      </c>
      <c r="O323">
        <v>933.82</v>
      </c>
      <c r="P323" t="s">
        <v>3838</v>
      </c>
      <c r="Q323" t="s">
        <v>3603</v>
      </c>
      <c r="R323">
        <v>106</v>
      </c>
      <c r="S323" t="s">
        <v>3604</v>
      </c>
      <c r="T323" s="2">
        <v>43586</v>
      </c>
      <c r="U323">
        <v>2019</v>
      </c>
      <c r="V323">
        <v>0.99070000000000003</v>
      </c>
      <c r="AA323">
        <v>9.2999999999999992E-3</v>
      </c>
    </row>
    <row r="324" spans="2:27" x14ac:dyDescent="0.25">
      <c r="B324" t="s">
        <v>956</v>
      </c>
      <c r="C324" t="s">
        <v>3835</v>
      </c>
      <c r="D324">
        <v>2022</v>
      </c>
      <c r="E324" s="2">
        <v>44562</v>
      </c>
      <c r="F324">
        <v>3.6</v>
      </c>
      <c r="G324">
        <v>1.52</v>
      </c>
      <c r="J324">
        <v>1</v>
      </c>
      <c r="K324">
        <v>0</v>
      </c>
      <c r="L324">
        <v>5</v>
      </c>
      <c r="M324">
        <v>2.02</v>
      </c>
      <c r="N324">
        <v>0.85</v>
      </c>
      <c r="O324">
        <v>10.119999999999999</v>
      </c>
      <c r="P324" t="s">
        <v>3841</v>
      </c>
      <c r="Q324" t="s">
        <v>3603</v>
      </c>
      <c r="R324">
        <v>5</v>
      </c>
      <c r="S324" t="s">
        <v>3604</v>
      </c>
      <c r="T324" s="2">
        <v>43586</v>
      </c>
      <c r="U324">
        <v>2019</v>
      </c>
      <c r="V324">
        <v>1</v>
      </c>
      <c r="AA324">
        <v>0</v>
      </c>
    </row>
    <row r="325" spans="2:27" x14ac:dyDescent="0.25">
      <c r="B325" t="s">
        <v>957</v>
      </c>
    </row>
    <row r="326" spans="2:27" x14ac:dyDescent="0.25">
      <c r="B326" t="s">
        <v>958</v>
      </c>
    </row>
    <row r="327" spans="2:27" x14ac:dyDescent="0.25">
      <c r="B327" t="s">
        <v>961</v>
      </c>
    </row>
    <row r="328" spans="2:27" x14ac:dyDescent="0.25">
      <c r="B328" t="s">
        <v>965</v>
      </c>
      <c r="C328" t="s">
        <v>3722</v>
      </c>
      <c r="D328">
        <v>2025</v>
      </c>
      <c r="E328" s="2">
        <v>45727</v>
      </c>
      <c r="F328">
        <v>33.42</v>
      </c>
      <c r="G328">
        <v>11.95</v>
      </c>
      <c r="H328">
        <v>9.42</v>
      </c>
      <c r="I328">
        <v>1.21</v>
      </c>
      <c r="J328">
        <v>7.33</v>
      </c>
      <c r="K328">
        <v>2.37</v>
      </c>
      <c r="L328">
        <v>25</v>
      </c>
      <c r="M328">
        <v>10.37</v>
      </c>
      <c r="N328">
        <v>12.31</v>
      </c>
      <c r="O328">
        <v>373.31</v>
      </c>
      <c r="P328" t="s">
        <v>3723</v>
      </c>
      <c r="Q328" t="s">
        <v>3603</v>
      </c>
      <c r="R328">
        <v>38</v>
      </c>
      <c r="S328" t="s">
        <v>3604</v>
      </c>
      <c r="T328" s="2">
        <v>43586</v>
      </c>
      <c r="U328">
        <v>2019</v>
      </c>
      <c r="V328">
        <v>0.97370000000000001</v>
      </c>
      <c r="AA328">
        <v>2.63E-2</v>
      </c>
    </row>
    <row r="329" spans="2:27" x14ac:dyDescent="0.25">
      <c r="B329" t="s">
        <v>965</v>
      </c>
      <c r="D329">
        <v>2024</v>
      </c>
      <c r="F329">
        <v>31.4</v>
      </c>
      <c r="G329">
        <v>9.3800000000000008</v>
      </c>
      <c r="H329">
        <v>19.899999999999999</v>
      </c>
      <c r="I329">
        <v>7</v>
      </c>
      <c r="J329">
        <v>6.85</v>
      </c>
      <c r="K329">
        <v>2.11</v>
      </c>
      <c r="L329">
        <v>25</v>
      </c>
      <c r="M329">
        <v>18.86</v>
      </c>
      <c r="N329">
        <v>24.72</v>
      </c>
      <c r="O329">
        <v>679.01</v>
      </c>
      <c r="P329" t="s">
        <v>3883</v>
      </c>
      <c r="Q329" t="s">
        <v>3603</v>
      </c>
      <c r="R329">
        <v>41</v>
      </c>
      <c r="S329" t="s">
        <v>3604</v>
      </c>
      <c r="T329" s="2">
        <v>43586</v>
      </c>
      <c r="U329">
        <v>2019</v>
      </c>
      <c r="V329">
        <v>0.90239999999999998</v>
      </c>
      <c r="AA329">
        <v>9.7600000000000006E-2</v>
      </c>
    </row>
    <row r="330" spans="2:27" x14ac:dyDescent="0.25">
      <c r="B330" t="s">
        <v>968</v>
      </c>
      <c r="D330">
        <v>2024</v>
      </c>
      <c r="F330">
        <v>21.78</v>
      </c>
      <c r="G330">
        <v>8.64</v>
      </c>
      <c r="H330">
        <v>13.17</v>
      </c>
      <c r="I330">
        <v>3.45</v>
      </c>
      <c r="J330">
        <v>5.23</v>
      </c>
      <c r="K330">
        <v>1.91</v>
      </c>
      <c r="L330">
        <v>43</v>
      </c>
      <c r="M330">
        <v>5.92</v>
      </c>
      <c r="N330">
        <v>7.94</v>
      </c>
      <c r="O330">
        <v>225.1</v>
      </c>
      <c r="P330" t="s">
        <v>3708</v>
      </c>
      <c r="Q330" t="s">
        <v>3603</v>
      </c>
      <c r="R330">
        <v>52</v>
      </c>
      <c r="S330" t="s">
        <v>3604</v>
      </c>
      <c r="T330" s="2">
        <v>43586</v>
      </c>
      <c r="U330">
        <v>2019</v>
      </c>
      <c r="V330">
        <v>0.98080000000000001</v>
      </c>
      <c r="AA330">
        <v>1.9199999999999998E-2</v>
      </c>
    </row>
    <row r="331" spans="2:27" x14ac:dyDescent="0.25">
      <c r="B331" t="s">
        <v>971</v>
      </c>
    </row>
    <row r="332" spans="2:27" x14ac:dyDescent="0.25">
      <c r="B332" t="s">
        <v>974</v>
      </c>
      <c r="C332" t="s">
        <v>3835</v>
      </c>
      <c r="D332">
        <v>2022</v>
      </c>
      <c r="E332" s="2">
        <v>44562</v>
      </c>
      <c r="F332">
        <v>8.48</v>
      </c>
      <c r="G332">
        <v>4.28</v>
      </c>
      <c r="H332">
        <v>11</v>
      </c>
      <c r="I332">
        <v>1.41</v>
      </c>
      <c r="J332">
        <v>1.1499999999999999</v>
      </c>
      <c r="K332">
        <v>1.1499999999999999</v>
      </c>
      <c r="L332">
        <v>98</v>
      </c>
      <c r="M332">
        <v>4.46</v>
      </c>
      <c r="N332">
        <v>2.35</v>
      </c>
      <c r="O332">
        <v>437.02</v>
      </c>
      <c r="P332" t="s">
        <v>3842</v>
      </c>
      <c r="Q332" t="s">
        <v>3603</v>
      </c>
      <c r="R332">
        <v>98</v>
      </c>
      <c r="S332" t="s">
        <v>3604</v>
      </c>
      <c r="T332" s="2">
        <v>43586</v>
      </c>
      <c r="U332">
        <v>2019</v>
      </c>
      <c r="V332">
        <v>0.97030000000000005</v>
      </c>
      <c r="AA332">
        <v>2.9700000000000001E-2</v>
      </c>
    </row>
    <row r="333" spans="2:27" x14ac:dyDescent="0.25">
      <c r="B333" t="s">
        <v>975</v>
      </c>
    </row>
    <row r="334" spans="2:27" x14ac:dyDescent="0.25">
      <c r="B334" t="s">
        <v>978</v>
      </c>
    </row>
    <row r="335" spans="2:27" x14ac:dyDescent="0.25">
      <c r="B335" t="s">
        <v>981</v>
      </c>
    </row>
    <row r="336" spans="2:27" x14ac:dyDescent="0.25">
      <c r="B336" t="s">
        <v>984</v>
      </c>
      <c r="C336" t="s">
        <v>3835</v>
      </c>
      <c r="D336">
        <v>2022</v>
      </c>
      <c r="E336" s="2">
        <v>44562</v>
      </c>
      <c r="F336">
        <v>24.29</v>
      </c>
      <c r="G336">
        <v>6.71</v>
      </c>
      <c r="H336">
        <v>9.7100000000000009</v>
      </c>
      <c r="I336">
        <v>1.33</v>
      </c>
      <c r="J336">
        <v>5.0199999999999996</v>
      </c>
      <c r="K336">
        <v>1.44</v>
      </c>
      <c r="L336">
        <v>17</v>
      </c>
      <c r="M336">
        <v>4.8499999999999996</v>
      </c>
      <c r="N336">
        <v>4.8600000000000003</v>
      </c>
      <c r="O336">
        <v>82.37</v>
      </c>
      <c r="P336" t="s">
        <v>3840</v>
      </c>
      <c r="Q336" t="s">
        <v>3603</v>
      </c>
      <c r="R336">
        <v>17</v>
      </c>
      <c r="S336" t="s">
        <v>3604</v>
      </c>
      <c r="T336" s="2">
        <v>43586</v>
      </c>
      <c r="U336">
        <v>2019</v>
      </c>
      <c r="V336">
        <v>0.89470000000000005</v>
      </c>
      <c r="AA336">
        <v>0.1053</v>
      </c>
    </row>
    <row r="337" spans="2:27" x14ac:dyDescent="0.25">
      <c r="B337" t="s">
        <v>988</v>
      </c>
      <c r="D337">
        <v>2024</v>
      </c>
      <c r="F337">
        <v>26.29</v>
      </c>
      <c r="G337">
        <v>3.53</v>
      </c>
      <c r="H337">
        <v>15.7</v>
      </c>
      <c r="I337">
        <v>3.79</v>
      </c>
      <c r="J337">
        <v>6.24</v>
      </c>
      <c r="K337">
        <v>0.82</v>
      </c>
      <c r="L337">
        <v>27</v>
      </c>
      <c r="M337">
        <v>6.03</v>
      </c>
      <c r="N337">
        <v>4.1100000000000003</v>
      </c>
      <c r="O337">
        <v>162.84</v>
      </c>
      <c r="P337" t="s">
        <v>3711</v>
      </c>
      <c r="Q337" t="s">
        <v>3603</v>
      </c>
      <c r="R337">
        <v>29</v>
      </c>
      <c r="S337" t="s">
        <v>3604</v>
      </c>
      <c r="T337" s="2">
        <v>43586</v>
      </c>
      <c r="U337">
        <v>2019</v>
      </c>
      <c r="V337">
        <v>0.93100000000000005</v>
      </c>
      <c r="AA337">
        <v>6.9000000000000006E-2</v>
      </c>
    </row>
    <row r="338" spans="2:27" x14ac:dyDescent="0.25">
      <c r="B338" t="s">
        <v>991</v>
      </c>
    </row>
    <row r="339" spans="2:27" x14ac:dyDescent="0.25">
      <c r="B339" t="s">
        <v>994</v>
      </c>
    </row>
    <row r="340" spans="2:27" x14ac:dyDescent="0.25">
      <c r="B340" t="s">
        <v>997</v>
      </c>
    </row>
    <row r="341" spans="2:27" x14ac:dyDescent="0.25">
      <c r="B341" t="s">
        <v>1000</v>
      </c>
      <c r="C341" t="s">
        <v>3835</v>
      </c>
      <c r="D341">
        <v>2022</v>
      </c>
      <c r="E341" s="2">
        <v>44562</v>
      </c>
      <c r="F341">
        <v>18.559999999999999</v>
      </c>
      <c r="G341">
        <v>8.35</v>
      </c>
      <c r="H341">
        <v>7.77</v>
      </c>
      <c r="I341">
        <v>2.3199999999999998</v>
      </c>
      <c r="J341">
        <v>4.5999999999999996</v>
      </c>
      <c r="K341">
        <v>2.5</v>
      </c>
      <c r="L341">
        <v>41</v>
      </c>
      <c r="M341">
        <v>7.91</v>
      </c>
      <c r="N341">
        <v>8.49</v>
      </c>
      <c r="O341">
        <v>340.08</v>
      </c>
      <c r="P341" t="s">
        <v>3843</v>
      </c>
      <c r="Q341" t="s">
        <v>3603</v>
      </c>
      <c r="R341">
        <v>43</v>
      </c>
      <c r="S341" t="s">
        <v>3604</v>
      </c>
      <c r="T341" s="2">
        <v>43586</v>
      </c>
      <c r="U341">
        <v>2019</v>
      </c>
      <c r="V341">
        <v>0.9556</v>
      </c>
      <c r="AA341">
        <v>4.4400000000000002E-2</v>
      </c>
    </row>
    <row r="342" spans="2:27" x14ac:dyDescent="0.25">
      <c r="B342" t="s">
        <v>1003</v>
      </c>
    </row>
    <row r="343" spans="2:27" x14ac:dyDescent="0.25">
      <c r="B343" t="s">
        <v>1006</v>
      </c>
    </row>
    <row r="344" spans="2:27" x14ac:dyDescent="0.25">
      <c r="B344" t="s">
        <v>1010</v>
      </c>
    </row>
    <row r="345" spans="2:27" x14ac:dyDescent="0.25">
      <c r="B345" t="s">
        <v>1013</v>
      </c>
      <c r="C345" t="s">
        <v>3650</v>
      </c>
      <c r="D345">
        <v>2025</v>
      </c>
      <c r="E345" s="2">
        <v>45693</v>
      </c>
      <c r="F345">
        <v>16.93</v>
      </c>
      <c r="G345">
        <v>3.53</v>
      </c>
      <c r="H345">
        <v>10.83</v>
      </c>
      <c r="I345">
        <v>1.9</v>
      </c>
      <c r="J345">
        <v>3.48</v>
      </c>
      <c r="K345">
        <v>1.3</v>
      </c>
      <c r="L345">
        <v>42</v>
      </c>
      <c r="M345">
        <v>0.45</v>
      </c>
      <c r="N345">
        <v>0.71</v>
      </c>
      <c r="O345">
        <v>8.4600000000000009</v>
      </c>
      <c r="P345" t="s">
        <v>3766</v>
      </c>
      <c r="Q345" t="s">
        <v>3603</v>
      </c>
      <c r="R345">
        <v>42</v>
      </c>
      <c r="S345" t="s">
        <v>3604</v>
      </c>
      <c r="T345" s="2">
        <v>43952</v>
      </c>
      <c r="U345">
        <v>2020</v>
      </c>
      <c r="V345">
        <v>1</v>
      </c>
      <c r="AA345">
        <v>0</v>
      </c>
    </row>
    <row r="346" spans="2:27" x14ac:dyDescent="0.25">
      <c r="B346" t="s">
        <v>1016</v>
      </c>
      <c r="D346">
        <v>2024</v>
      </c>
      <c r="F346">
        <v>10.09</v>
      </c>
      <c r="G346">
        <v>8.68</v>
      </c>
      <c r="H346">
        <v>11.78</v>
      </c>
      <c r="I346">
        <v>2.44</v>
      </c>
      <c r="J346">
        <v>3.57</v>
      </c>
      <c r="K346">
        <v>1.98</v>
      </c>
      <c r="L346">
        <v>71</v>
      </c>
      <c r="M346">
        <v>2.17</v>
      </c>
      <c r="N346">
        <v>2.66</v>
      </c>
      <c r="O346">
        <v>73.86</v>
      </c>
      <c r="P346" t="s">
        <v>3618</v>
      </c>
      <c r="Q346" t="s">
        <v>3603</v>
      </c>
      <c r="R346">
        <v>129</v>
      </c>
      <c r="S346" t="s">
        <v>3604</v>
      </c>
      <c r="T346" s="2">
        <v>43952</v>
      </c>
      <c r="U346">
        <v>2020</v>
      </c>
      <c r="V346">
        <v>0.96120000000000005</v>
      </c>
      <c r="AA346">
        <v>3.8800000000000001E-2</v>
      </c>
    </row>
    <row r="347" spans="2:27" x14ac:dyDescent="0.25">
      <c r="B347" t="s">
        <v>1017</v>
      </c>
      <c r="D347">
        <v>2024</v>
      </c>
      <c r="F347">
        <v>22.32</v>
      </c>
      <c r="G347">
        <v>7.08</v>
      </c>
      <c r="H347">
        <v>13.65</v>
      </c>
      <c r="I347">
        <v>2.71</v>
      </c>
      <c r="J347">
        <v>6.08</v>
      </c>
      <c r="K347">
        <v>1.9</v>
      </c>
      <c r="L347">
        <v>127</v>
      </c>
      <c r="M347">
        <v>8.26</v>
      </c>
      <c r="N347">
        <v>8.76</v>
      </c>
      <c r="O347">
        <v>1081.56</v>
      </c>
      <c r="P347" t="s">
        <v>3649</v>
      </c>
      <c r="Q347" t="s">
        <v>3603</v>
      </c>
      <c r="R347">
        <v>173</v>
      </c>
      <c r="S347" t="s">
        <v>3604</v>
      </c>
      <c r="T347" s="2">
        <v>43952</v>
      </c>
      <c r="U347">
        <v>2020</v>
      </c>
      <c r="V347">
        <v>0.93640000000000001</v>
      </c>
      <c r="AA347">
        <v>6.3600000000000004E-2</v>
      </c>
    </row>
    <row r="348" spans="2:27" x14ac:dyDescent="0.25">
      <c r="B348" t="s">
        <v>1020</v>
      </c>
    </row>
    <row r="349" spans="2:27" x14ac:dyDescent="0.25">
      <c r="B349" t="s">
        <v>1024</v>
      </c>
      <c r="D349">
        <v>2024</v>
      </c>
      <c r="F349">
        <v>15.57</v>
      </c>
      <c r="G349">
        <v>3.79</v>
      </c>
      <c r="H349">
        <v>10.99</v>
      </c>
      <c r="I349">
        <v>2</v>
      </c>
      <c r="J349">
        <v>3.46</v>
      </c>
      <c r="K349">
        <v>1.31</v>
      </c>
      <c r="L349">
        <v>143</v>
      </c>
      <c r="M349">
        <v>0.83</v>
      </c>
      <c r="N349">
        <v>1.22</v>
      </c>
      <c r="O349">
        <v>43.4</v>
      </c>
      <c r="P349" t="s">
        <v>3680</v>
      </c>
      <c r="Q349" t="s">
        <v>3603</v>
      </c>
      <c r="R349">
        <v>145</v>
      </c>
      <c r="S349" t="s">
        <v>3604</v>
      </c>
      <c r="T349" s="2">
        <v>43952</v>
      </c>
      <c r="U349">
        <v>2020</v>
      </c>
      <c r="V349">
        <v>0.99309999999999998</v>
      </c>
      <c r="AA349">
        <v>6.8999999999999999E-3</v>
      </c>
    </row>
    <row r="350" spans="2:27" x14ac:dyDescent="0.25">
      <c r="B350" t="s">
        <v>1028</v>
      </c>
    </row>
    <row r="351" spans="2:27" x14ac:dyDescent="0.25">
      <c r="B351" t="s">
        <v>1031</v>
      </c>
    </row>
    <row r="352" spans="2:27" x14ac:dyDescent="0.25">
      <c r="B352" t="s">
        <v>1034</v>
      </c>
      <c r="C352" t="s">
        <v>3677</v>
      </c>
      <c r="D352">
        <v>2025</v>
      </c>
      <c r="E352" s="2">
        <v>45727</v>
      </c>
      <c r="F352">
        <v>23</v>
      </c>
      <c r="G352">
        <v>6.3</v>
      </c>
      <c r="H352">
        <v>7.71</v>
      </c>
      <c r="I352">
        <v>1.71</v>
      </c>
      <c r="J352">
        <v>5.14</v>
      </c>
      <c r="K352">
        <v>1.68</v>
      </c>
      <c r="L352">
        <v>44</v>
      </c>
      <c r="M352">
        <v>2.93</v>
      </c>
      <c r="N352">
        <v>3.05</v>
      </c>
      <c r="O352">
        <v>93.61</v>
      </c>
      <c r="P352" t="s">
        <v>3678</v>
      </c>
      <c r="Q352" t="s">
        <v>3603</v>
      </c>
      <c r="R352">
        <v>60</v>
      </c>
      <c r="S352" t="s">
        <v>3604</v>
      </c>
      <c r="T352" s="2">
        <v>43952</v>
      </c>
      <c r="U352">
        <v>2020</v>
      </c>
      <c r="V352">
        <v>0.76670000000000005</v>
      </c>
      <c r="AA352">
        <v>0.23330000000000001</v>
      </c>
    </row>
    <row r="353" spans="2:27" x14ac:dyDescent="0.25">
      <c r="B353" t="s">
        <v>1034</v>
      </c>
      <c r="D353">
        <v>2024</v>
      </c>
      <c r="F353">
        <v>19.190000000000001</v>
      </c>
      <c r="G353">
        <v>6.28</v>
      </c>
      <c r="H353">
        <v>14.69</v>
      </c>
      <c r="I353">
        <v>4.62</v>
      </c>
      <c r="J353">
        <v>4.3600000000000003</v>
      </c>
      <c r="K353">
        <v>1.51</v>
      </c>
      <c r="L353">
        <v>60</v>
      </c>
      <c r="M353">
        <v>3.7</v>
      </c>
      <c r="N353">
        <v>3.97</v>
      </c>
      <c r="O353">
        <v>118.55</v>
      </c>
      <c r="P353" t="s">
        <v>3884</v>
      </c>
      <c r="Q353" t="s">
        <v>3603</v>
      </c>
      <c r="R353">
        <v>74</v>
      </c>
      <c r="S353" t="s">
        <v>3604</v>
      </c>
      <c r="T353" s="2">
        <v>43952</v>
      </c>
      <c r="U353">
        <v>2020</v>
      </c>
      <c r="V353">
        <v>0.8649</v>
      </c>
      <c r="AA353">
        <v>0.1351</v>
      </c>
    </row>
    <row r="354" spans="2:27" x14ac:dyDescent="0.25">
      <c r="B354" t="s">
        <v>1035</v>
      </c>
      <c r="D354">
        <v>2024</v>
      </c>
      <c r="F354">
        <v>8.94</v>
      </c>
      <c r="G354">
        <v>7.26</v>
      </c>
      <c r="H354">
        <v>12.38</v>
      </c>
      <c r="I354">
        <v>0.46</v>
      </c>
      <c r="J354">
        <v>2.2599999999999998</v>
      </c>
      <c r="K354">
        <v>1.24</v>
      </c>
      <c r="L354">
        <v>11</v>
      </c>
      <c r="O354">
        <v>0</v>
      </c>
      <c r="P354" t="s">
        <v>3681</v>
      </c>
      <c r="Q354" t="s">
        <v>3603</v>
      </c>
      <c r="R354">
        <v>44</v>
      </c>
      <c r="S354" t="s">
        <v>3604</v>
      </c>
      <c r="T354" s="2">
        <v>43952</v>
      </c>
      <c r="U354">
        <v>2020</v>
      </c>
      <c r="V354">
        <v>0.40910000000000002</v>
      </c>
      <c r="AA354">
        <v>0.59089999999999998</v>
      </c>
    </row>
    <row r="355" spans="2:27" x14ac:dyDescent="0.25">
      <c r="B355" t="s">
        <v>1036</v>
      </c>
    </row>
    <row r="356" spans="2:27" x14ac:dyDescent="0.25">
      <c r="B356" t="s">
        <v>1039</v>
      </c>
      <c r="D356">
        <v>2024</v>
      </c>
      <c r="F356">
        <v>22.3</v>
      </c>
      <c r="G356">
        <v>10.94</v>
      </c>
      <c r="H356">
        <v>11.9</v>
      </c>
      <c r="I356">
        <v>5.47</v>
      </c>
      <c r="J356">
        <v>5.3</v>
      </c>
      <c r="K356">
        <v>2.5</v>
      </c>
      <c r="L356">
        <v>70</v>
      </c>
      <c r="M356">
        <v>14.62</v>
      </c>
      <c r="N356">
        <v>19.72</v>
      </c>
      <c r="O356">
        <v>745.4</v>
      </c>
      <c r="P356" t="s">
        <v>3682</v>
      </c>
      <c r="Q356" t="s">
        <v>3603</v>
      </c>
      <c r="R356">
        <v>97</v>
      </c>
      <c r="S356" t="s">
        <v>3604</v>
      </c>
      <c r="T356" s="2">
        <v>43952</v>
      </c>
      <c r="U356">
        <v>2020</v>
      </c>
      <c r="V356">
        <v>0.98970000000000002</v>
      </c>
      <c r="AA356">
        <v>1.03E-2</v>
      </c>
    </row>
    <row r="357" spans="2:27" x14ac:dyDescent="0.25">
      <c r="B357" t="s">
        <v>1043</v>
      </c>
    </row>
    <row r="358" spans="2:27" x14ac:dyDescent="0.25">
      <c r="B358" t="s">
        <v>1046</v>
      </c>
      <c r="D358">
        <v>2024</v>
      </c>
      <c r="F358">
        <v>16.21</v>
      </c>
      <c r="G358">
        <v>7.65</v>
      </c>
      <c r="H358">
        <v>11.61</v>
      </c>
      <c r="I358">
        <v>3.64</v>
      </c>
      <c r="J358">
        <v>3.64</v>
      </c>
      <c r="K358">
        <v>1.68</v>
      </c>
      <c r="L358">
        <v>120</v>
      </c>
      <c r="M358">
        <v>2.3199999999999998</v>
      </c>
      <c r="N358">
        <v>3.89</v>
      </c>
      <c r="O358">
        <v>120.39</v>
      </c>
      <c r="P358" t="s">
        <v>3683</v>
      </c>
      <c r="Q358" t="s">
        <v>3603</v>
      </c>
      <c r="R358">
        <v>205</v>
      </c>
      <c r="S358" t="s">
        <v>3604</v>
      </c>
      <c r="T358" s="2">
        <v>43952</v>
      </c>
      <c r="U358">
        <v>2020</v>
      </c>
      <c r="V358">
        <v>0.65369999999999995</v>
      </c>
      <c r="AA358">
        <v>0.3463</v>
      </c>
    </row>
    <row r="359" spans="2:27" x14ac:dyDescent="0.25">
      <c r="B359" t="s">
        <v>1049</v>
      </c>
      <c r="D359">
        <v>2024</v>
      </c>
      <c r="F359">
        <v>10.09</v>
      </c>
      <c r="G359">
        <v>10.63</v>
      </c>
      <c r="H359">
        <v>11.92</v>
      </c>
      <c r="I359">
        <v>3.25</v>
      </c>
      <c r="J359">
        <v>4.99</v>
      </c>
      <c r="K359">
        <v>2.23</v>
      </c>
      <c r="L359">
        <v>34</v>
      </c>
      <c r="M359">
        <v>8.5</v>
      </c>
      <c r="N359">
        <v>7.84</v>
      </c>
      <c r="O359">
        <v>161.58000000000001</v>
      </c>
      <c r="P359" t="s">
        <v>3684</v>
      </c>
      <c r="Q359" t="s">
        <v>3603</v>
      </c>
      <c r="R359">
        <v>120</v>
      </c>
      <c r="S359" t="s">
        <v>3604</v>
      </c>
      <c r="T359" s="2">
        <v>43952</v>
      </c>
      <c r="U359">
        <v>2020</v>
      </c>
      <c r="V359">
        <v>0.61670000000000003</v>
      </c>
      <c r="AA359">
        <v>0.38329999999999997</v>
      </c>
    </row>
    <row r="360" spans="2:27" x14ac:dyDescent="0.25">
      <c r="B360" t="s">
        <v>1053</v>
      </c>
    </row>
    <row r="361" spans="2:27" x14ac:dyDescent="0.25">
      <c r="B361" t="s">
        <v>1056</v>
      </c>
      <c r="D361">
        <v>2024</v>
      </c>
      <c r="F361">
        <v>8.64</v>
      </c>
      <c r="G361">
        <v>9.9499999999999993</v>
      </c>
      <c r="H361">
        <v>12.96</v>
      </c>
      <c r="I361">
        <v>5.69</v>
      </c>
      <c r="J361">
        <v>3.53</v>
      </c>
      <c r="K361">
        <v>1.37</v>
      </c>
      <c r="L361">
        <v>36</v>
      </c>
      <c r="M361">
        <v>4.43</v>
      </c>
      <c r="N361">
        <v>11.42</v>
      </c>
      <c r="O361">
        <v>48.7</v>
      </c>
      <c r="P361" t="s">
        <v>3685</v>
      </c>
      <c r="Q361" t="s">
        <v>3603</v>
      </c>
      <c r="R361">
        <v>102</v>
      </c>
      <c r="S361" t="s">
        <v>3604</v>
      </c>
      <c r="T361" s="2">
        <v>43952</v>
      </c>
      <c r="U361">
        <v>2020</v>
      </c>
      <c r="V361">
        <v>0.77449999999999997</v>
      </c>
      <c r="AA361">
        <v>0.22550000000000001</v>
      </c>
    </row>
    <row r="362" spans="2:27" x14ac:dyDescent="0.25">
      <c r="B362" t="s">
        <v>1060</v>
      </c>
      <c r="C362" t="s">
        <v>3650</v>
      </c>
      <c r="D362">
        <v>2025</v>
      </c>
      <c r="E362" s="2">
        <v>45714</v>
      </c>
      <c r="F362">
        <v>16.22</v>
      </c>
      <c r="G362">
        <v>5.45</v>
      </c>
      <c r="H362">
        <v>11.02</v>
      </c>
      <c r="I362">
        <v>3.23</v>
      </c>
      <c r="J362">
        <v>2.89</v>
      </c>
      <c r="K362">
        <v>2.0699999999999998</v>
      </c>
      <c r="L362">
        <v>48</v>
      </c>
      <c r="M362">
        <v>12.49</v>
      </c>
      <c r="N362">
        <v>9.65</v>
      </c>
      <c r="O362">
        <v>87.43</v>
      </c>
      <c r="P362" t="s">
        <v>3660</v>
      </c>
      <c r="Q362" t="s">
        <v>3603</v>
      </c>
      <c r="R362">
        <v>51</v>
      </c>
      <c r="S362" t="s">
        <v>3604</v>
      </c>
      <c r="T362" s="2">
        <v>43952</v>
      </c>
      <c r="U362">
        <v>2020</v>
      </c>
      <c r="V362">
        <v>1</v>
      </c>
      <c r="AA362">
        <v>0</v>
      </c>
    </row>
    <row r="363" spans="2:27" x14ac:dyDescent="0.25">
      <c r="B363" t="s">
        <v>1060</v>
      </c>
      <c r="D363">
        <v>2024</v>
      </c>
      <c r="F363">
        <v>9.59</v>
      </c>
      <c r="G363">
        <v>6.13</v>
      </c>
      <c r="H363">
        <v>12.08</v>
      </c>
      <c r="I363">
        <v>3.23</v>
      </c>
      <c r="J363">
        <v>2.0099999999999998</v>
      </c>
      <c r="K363">
        <v>1.82</v>
      </c>
      <c r="L363">
        <v>119</v>
      </c>
      <c r="M363">
        <v>5.94</v>
      </c>
      <c r="N363">
        <v>6.52</v>
      </c>
      <c r="O363">
        <v>89.04</v>
      </c>
      <c r="P363" t="s">
        <v>3885</v>
      </c>
      <c r="Q363" t="s">
        <v>3603</v>
      </c>
      <c r="R363">
        <v>125</v>
      </c>
      <c r="S363" t="s">
        <v>3604</v>
      </c>
      <c r="T363" s="2">
        <v>43952</v>
      </c>
      <c r="U363">
        <v>2020</v>
      </c>
      <c r="V363">
        <v>1</v>
      </c>
      <c r="AA363">
        <v>0</v>
      </c>
    </row>
    <row r="364" spans="2:27" x14ac:dyDescent="0.25">
      <c r="B364" t="s">
        <v>1063</v>
      </c>
    </row>
    <row r="365" spans="2:27" x14ac:dyDescent="0.25">
      <c r="B365" t="s">
        <v>1067</v>
      </c>
      <c r="D365">
        <v>2024</v>
      </c>
      <c r="F365">
        <v>32.18</v>
      </c>
      <c r="G365">
        <v>6.14</v>
      </c>
      <c r="H365">
        <v>16.36</v>
      </c>
      <c r="I365">
        <v>4.1399999999999997</v>
      </c>
      <c r="J365">
        <v>7.57</v>
      </c>
      <c r="K365">
        <v>1.47</v>
      </c>
      <c r="L365">
        <v>67</v>
      </c>
      <c r="M365">
        <v>16.16</v>
      </c>
      <c r="N365">
        <v>8.89</v>
      </c>
      <c r="O365">
        <v>1712.8</v>
      </c>
      <c r="P365" t="s">
        <v>3686</v>
      </c>
      <c r="Q365" t="s">
        <v>3603</v>
      </c>
      <c r="R365">
        <v>113</v>
      </c>
      <c r="S365" t="s">
        <v>3604</v>
      </c>
      <c r="T365" s="2">
        <v>43952</v>
      </c>
      <c r="U365">
        <v>2020</v>
      </c>
      <c r="V365">
        <v>0.99119999999999997</v>
      </c>
      <c r="AA365">
        <v>8.8000000000000005E-3</v>
      </c>
    </row>
    <row r="366" spans="2:27" x14ac:dyDescent="0.25">
      <c r="B366" t="s">
        <v>1070</v>
      </c>
    </row>
    <row r="367" spans="2:27" x14ac:dyDescent="0.25">
      <c r="B367" t="s">
        <v>1073</v>
      </c>
      <c r="D367">
        <v>2024</v>
      </c>
      <c r="F367">
        <v>10.47</v>
      </c>
      <c r="G367">
        <v>11.23</v>
      </c>
      <c r="H367">
        <v>13.75</v>
      </c>
      <c r="I367">
        <v>3.12</v>
      </c>
      <c r="J367">
        <v>5.03</v>
      </c>
      <c r="K367">
        <v>1.58</v>
      </c>
      <c r="L367">
        <v>37</v>
      </c>
      <c r="M367">
        <v>3.76</v>
      </c>
      <c r="N367">
        <v>3.34</v>
      </c>
      <c r="O367">
        <v>105.27</v>
      </c>
      <c r="P367" t="s">
        <v>3688</v>
      </c>
      <c r="Q367" t="s">
        <v>3603</v>
      </c>
      <c r="R367">
        <v>93</v>
      </c>
      <c r="S367" t="s">
        <v>3604</v>
      </c>
      <c r="T367" s="2">
        <v>43952</v>
      </c>
      <c r="U367">
        <v>2020</v>
      </c>
      <c r="V367">
        <v>0.95699999999999996</v>
      </c>
      <c r="AA367">
        <v>4.2999999999999997E-2</v>
      </c>
    </row>
    <row r="368" spans="2:27" x14ac:dyDescent="0.25">
      <c r="B368" t="s">
        <v>1076</v>
      </c>
    </row>
    <row r="369" spans="2:27" x14ac:dyDescent="0.25">
      <c r="B369" t="s">
        <v>1079</v>
      </c>
      <c r="C369" t="s">
        <v>3650</v>
      </c>
      <c r="D369">
        <v>2025</v>
      </c>
      <c r="E369" s="2">
        <v>45699</v>
      </c>
      <c r="F369">
        <v>4.62</v>
      </c>
      <c r="G369">
        <v>3.16</v>
      </c>
      <c r="H369">
        <v>2</v>
      </c>
      <c r="J369">
        <v>0.81</v>
      </c>
      <c r="K369">
        <v>0.44</v>
      </c>
      <c r="L369">
        <v>9</v>
      </c>
      <c r="O369">
        <v>0</v>
      </c>
      <c r="P369" t="s">
        <v>3651</v>
      </c>
      <c r="Q369" t="s">
        <v>3603</v>
      </c>
      <c r="R369">
        <v>154</v>
      </c>
      <c r="S369" t="s">
        <v>3604</v>
      </c>
      <c r="T369" s="2">
        <v>43952</v>
      </c>
      <c r="U369">
        <v>2020</v>
      </c>
      <c r="V369">
        <v>5.8400000000000001E-2</v>
      </c>
      <c r="AA369">
        <v>0.94159999999999999</v>
      </c>
    </row>
    <row r="370" spans="2:27" x14ac:dyDescent="0.25">
      <c r="B370" t="s">
        <v>1079</v>
      </c>
      <c r="D370">
        <v>2024</v>
      </c>
      <c r="F370">
        <v>5.37</v>
      </c>
      <c r="G370">
        <v>4.04</v>
      </c>
      <c r="H370">
        <v>9.44</v>
      </c>
      <c r="I370">
        <v>1.4</v>
      </c>
      <c r="J370">
        <v>1.66</v>
      </c>
      <c r="K370">
        <v>0.68</v>
      </c>
      <c r="L370">
        <v>57</v>
      </c>
      <c r="O370">
        <v>0</v>
      </c>
      <c r="P370" t="s">
        <v>3886</v>
      </c>
      <c r="Q370" t="s">
        <v>3603</v>
      </c>
      <c r="R370">
        <v>187</v>
      </c>
      <c r="S370" t="s">
        <v>3604</v>
      </c>
      <c r="T370" s="2">
        <v>43952</v>
      </c>
      <c r="U370">
        <v>2020</v>
      </c>
      <c r="V370">
        <v>0.78069999999999995</v>
      </c>
      <c r="AA370">
        <v>0.21929999999999999</v>
      </c>
    </row>
    <row r="371" spans="2:27" x14ac:dyDescent="0.25">
      <c r="B371" t="s">
        <v>1083</v>
      </c>
      <c r="D371">
        <v>2024</v>
      </c>
      <c r="F371">
        <v>9.75</v>
      </c>
      <c r="G371">
        <v>5.26</v>
      </c>
      <c r="H371">
        <v>13.13</v>
      </c>
      <c r="I371">
        <v>2.42</v>
      </c>
      <c r="J371">
        <v>1.54</v>
      </c>
      <c r="K371">
        <v>1.36</v>
      </c>
      <c r="L371">
        <v>83</v>
      </c>
      <c r="M371">
        <v>1.01</v>
      </c>
      <c r="N371">
        <v>0.87</v>
      </c>
      <c r="O371">
        <v>8.06</v>
      </c>
      <c r="P371" t="s">
        <v>3696</v>
      </c>
      <c r="Q371" t="s">
        <v>3603</v>
      </c>
      <c r="R371">
        <v>121</v>
      </c>
      <c r="S371" t="s">
        <v>3604</v>
      </c>
      <c r="T371" s="2">
        <v>43952</v>
      </c>
      <c r="U371">
        <v>2020</v>
      </c>
      <c r="V371">
        <v>0.71899999999999997</v>
      </c>
      <c r="AA371">
        <v>0.28100000000000003</v>
      </c>
    </row>
    <row r="372" spans="2:27" x14ac:dyDescent="0.25">
      <c r="B372" t="s">
        <v>1086</v>
      </c>
    </row>
    <row r="373" spans="2:27" x14ac:dyDescent="0.25">
      <c r="B373" t="s">
        <v>1089</v>
      </c>
    </row>
    <row r="374" spans="2:27" x14ac:dyDescent="0.25">
      <c r="B374" t="s">
        <v>1092</v>
      </c>
      <c r="D374">
        <v>2024</v>
      </c>
      <c r="F374">
        <v>10.68</v>
      </c>
      <c r="G374">
        <v>7.23</v>
      </c>
      <c r="H374">
        <v>11.45</v>
      </c>
      <c r="I374">
        <v>5.27</v>
      </c>
      <c r="J374">
        <v>2.41</v>
      </c>
      <c r="K374">
        <v>1.44</v>
      </c>
      <c r="L374">
        <v>18</v>
      </c>
      <c r="M374">
        <v>2.92</v>
      </c>
      <c r="N374">
        <v>3.87</v>
      </c>
      <c r="O374">
        <v>5.84</v>
      </c>
      <c r="P374" t="s">
        <v>3689</v>
      </c>
      <c r="Q374" t="s">
        <v>3603</v>
      </c>
      <c r="R374">
        <v>120</v>
      </c>
      <c r="S374" t="s">
        <v>3604</v>
      </c>
      <c r="T374" s="2">
        <v>43952</v>
      </c>
      <c r="U374">
        <v>2020</v>
      </c>
      <c r="V374">
        <v>0.2</v>
      </c>
      <c r="AA374">
        <v>0.8</v>
      </c>
    </row>
    <row r="375" spans="2:27" x14ac:dyDescent="0.25">
      <c r="B375" t="s">
        <v>1095</v>
      </c>
      <c r="D375">
        <v>2024</v>
      </c>
      <c r="F375">
        <v>23.49</v>
      </c>
      <c r="G375">
        <v>10.79</v>
      </c>
      <c r="H375">
        <v>15.87</v>
      </c>
      <c r="I375">
        <v>4.8899999999999997</v>
      </c>
      <c r="J375">
        <v>5.43</v>
      </c>
      <c r="K375">
        <v>3.14</v>
      </c>
      <c r="L375">
        <v>244</v>
      </c>
      <c r="M375">
        <v>19.23</v>
      </c>
      <c r="N375">
        <v>15.2</v>
      </c>
      <c r="O375">
        <v>4076.4</v>
      </c>
      <c r="P375" t="s">
        <v>3690</v>
      </c>
      <c r="Q375" t="s">
        <v>3603</v>
      </c>
      <c r="R375">
        <v>379</v>
      </c>
      <c r="S375" t="s">
        <v>3604</v>
      </c>
      <c r="T375" s="2">
        <v>43952</v>
      </c>
      <c r="U375">
        <v>2020</v>
      </c>
      <c r="V375">
        <v>0.97889999999999999</v>
      </c>
      <c r="AA375">
        <v>2.1100000000000001E-2</v>
      </c>
    </row>
    <row r="376" spans="2:27" x14ac:dyDescent="0.25">
      <c r="B376" t="s">
        <v>1098</v>
      </c>
      <c r="D376">
        <v>2024</v>
      </c>
      <c r="F376">
        <v>21.16</v>
      </c>
      <c r="G376">
        <v>6.79</v>
      </c>
      <c r="H376">
        <v>15.85</v>
      </c>
      <c r="I376">
        <v>3.33</v>
      </c>
      <c r="J376">
        <v>4.05</v>
      </c>
      <c r="K376">
        <v>1.67</v>
      </c>
      <c r="L376">
        <v>152</v>
      </c>
      <c r="M376">
        <v>2.63</v>
      </c>
      <c r="N376">
        <v>4.07</v>
      </c>
      <c r="O376">
        <v>226.49</v>
      </c>
      <c r="P376" t="s">
        <v>3691</v>
      </c>
      <c r="Q376" t="s">
        <v>3603</v>
      </c>
      <c r="R376">
        <v>160</v>
      </c>
      <c r="S376" t="s">
        <v>3604</v>
      </c>
      <c r="T376" s="2">
        <v>43952</v>
      </c>
      <c r="U376">
        <v>2020</v>
      </c>
      <c r="V376">
        <v>0.97499999999999998</v>
      </c>
      <c r="AA376">
        <v>2.5000000000000001E-2</v>
      </c>
    </row>
    <row r="377" spans="2:27" x14ac:dyDescent="0.25">
      <c r="B377" t="s">
        <v>1101</v>
      </c>
    </row>
    <row r="378" spans="2:27" x14ac:dyDescent="0.25">
      <c r="B378" t="s">
        <v>1104</v>
      </c>
    </row>
    <row r="379" spans="2:27" x14ac:dyDescent="0.25">
      <c r="B379" t="s">
        <v>1108</v>
      </c>
      <c r="D379">
        <v>2024</v>
      </c>
      <c r="F379">
        <v>25.38</v>
      </c>
      <c r="G379">
        <v>5.42</v>
      </c>
      <c r="H379">
        <v>16.34</v>
      </c>
      <c r="I379">
        <v>2.93</v>
      </c>
      <c r="J379">
        <v>6.02</v>
      </c>
      <c r="K379">
        <v>2.04</v>
      </c>
      <c r="L379">
        <v>24</v>
      </c>
      <c r="M379">
        <v>9.01</v>
      </c>
      <c r="N379">
        <v>12.35</v>
      </c>
      <c r="O379">
        <v>234.35</v>
      </c>
      <c r="P379" t="s">
        <v>3692</v>
      </c>
      <c r="Q379" t="s">
        <v>3603</v>
      </c>
      <c r="R379">
        <v>30</v>
      </c>
      <c r="S379" t="s">
        <v>3604</v>
      </c>
      <c r="T379" s="2">
        <v>43952</v>
      </c>
      <c r="U379">
        <v>2020</v>
      </c>
      <c r="V379">
        <v>0.93330000000000002</v>
      </c>
      <c r="AA379">
        <v>6.6699999999999995E-2</v>
      </c>
    </row>
    <row r="380" spans="2:27" x14ac:dyDescent="0.25">
      <c r="B380" t="s">
        <v>1109</v>
      </c>
      <c r="D380">
        <v>2024</v>
      </c>
      <c r="F380">
        <v>18.510000000000002</v>
      </c>
      <c r="G380">
        <v>5.57</v>
      </c>
      <c r="H380">
        <v>11.73</v>
      </c>
      <c r="I380">
        <v>2.81</v>
      </c>
      <c r="J380">
        <v>4.0999999999999996</v>
      </c>
      <c r="K380">
        <v>1.66</v>
      </c>
      <c r="L380">
        <v>93</v>
      </c>
      <c r="M380">
        <v>3.14</v>
      </c>
      <c r="N380">
        <v>4.2300000000000004</v>
      </c>
      <c r="O380">
        <v>134.93</v>
      </c>
      <c r="P380" t="s">
        <v>3693</v>
      </c>
      <c r="Q380" t="s">
        <v>3603</v>
      </c>
      <c r="R380">
        <v>104</v>
      </c>
      <c r="S380" t="s">
        <v>3604</v>
      </c>
      <c r="T380" s="2">
        <v>43952</v>
      </c>
      <c r="U380">
        <v>2020</v>
      </c>
      <c r="V380">
        <v>0.91349999999999998</v>
      </c>
      <c r="AA380">
        <v>8.6499999999999994E-2</v>
      </c>
    </row>
    <row r="381" spans="2:27" x14ac:dyDescent="0.25">
      <c r="B381" t="s">
        <v>1110</v>
      </c>
    </row>
    <row r="382" spans="2:27" x14ac:dyDescent="0.25">
      <c r="B382" t="s">
        <v>1113</v>
      </c>
    </row>
    <row r="383" spans="2:27" x14ac:dyDescent="0.25">
      <c r="B383" t="s">
        <v>1117</v>
      </c>
      <c r="C383" t="s">
        <v>3845</v>
      </c>
      <c r="D383">
        <v>2021</v>
      </c>
      <c r="E383" s="2">
        <v>44197</v>
      </c>
      <c r="F383">
        <v>3.8</v>
      </c>
      <c r="G383">
        <v>1.81</v>
      </c>
      <c r="L383">
        <v>0</v>
      </c>
      <c r="O383">
        <v>0</v>
      </c>
      <c r="P383" t="s">
        <v>3846</v>
      </c>
      <c r="Q383" t="s">
        <v>3603</v>
      </c>
      <c r="R383">
        <v>122</v>
      </c>
      <c r="S383" t="s">
        <v>3604</v>
      </c>
      <c r="T383" s="2">
        <v>44317</v>
      </c>
      <c r="U383">
        <v>2021</v>
      </c>
      <c r="V383">
        <v>0.73769999999999991</v>
      </c>
      <c r="AA383">
        <v>26.23</v>
      </c>
    </row>
    <row r="384" spans="2:27" x14ac:dyDescent="0.25">
      <c r="B384" t="s">
        <v>1121</v>
      </c>
      <c r="C384" t="s">
        <v>3655</v>
      </c>
      <c r="D384">
        <v>2025</v>
      </c>
      <c r="E384" s="2">
        <v>45686</v>
      </c>
      <c r="F384">
        <v>15.49</v>
      </c>
      <c r="G384">
        <v>7.04</v>
      </c>
      <c r="H384">
        <v>8.24</v>
      </c>
      <c r="I384">
        <v>2.08</v>
      </c>
      <c r="J384">
        <v>3.07</v>
      </c>
      <c r="K384">
        <v>1.82</v>
      </c>
      <c r="L384">
        <v>108</v>
      </c>
      <c r="M384">
        <v>2.02</v>
      </c>
      <c r="N384">
        <v>3.23</v>
      </c>
      <c r="O384">
        <v>68.77</v>
      </c>
      <c r="P384" t="s">
        <v>3770</v>
      </c>
      <c r="Q384" t="s">
        <v>3603</v>
      </c>
      <c r="R384">
        <v>112</v>
      </c>
      <c r="S384" t="s">
        <v>3604</v>
      </c>
      <c r="T384" s="2">
        <v>44317</v>
      </c>
      <c r="U384">
        <v>2021</v>
      </c>
      <c r="V384">
        <v>0.97319999999999995</v>
      </c>
      <c r="AA384">
        <v>2.6800000000000001E-2</v>
      </c>
    </row>
    <row r="385" spans="2:27" x14ac:dyDescent="0.25">
      <c r="B385" t="s">
        <v>1124</v>
      </c>
      <c r="C385" t="s">
        <v>3652</v>
      </c>
      <c r="D385">
        <v>2025</v>
      </c>
      <c r="E385" s="2">
        <v>45693</v>
      </c>
      <c r="F385">
        <v>12.79</v>
      </c>
      <c r="G385">
        <v>3.88</v>
      </c>
      <c r="H385">
        <v>9.1199999999999992</v>
      </c>
      <c r="I385">
        <v>3.14</v>
      </c>
      <c r="J385">
        <v>2.04</v>
      </c>
      <c r="K385">
        <v>0.59</v>
      </c>
      <c r="L385">
        <v>55</v>
      </c>
      <c r="O385">
        <v>0</v>
      </c>
      <c r="P385" t="s">
        <v>3773</v>
      </c>
      <c r="Q385" t="s">
        <v>3603</v>
      </c>
      <c r="R385">
        <v>81</v>
      </c>
      <c r="S385" t="s">
        <v>3604</v>
      </c>
      <c r="T385" s="2">
        <v>44317</v>
      </c>
      <c r="U385">
        <v>2021</v>
      </c>
      <c r="V385">
        <v>0.69140000000000001</v>
      </c>
      <c r="AA385">
        <v>0.30859999999999999</v>
      </c>
    </row>
    <row r="386" spans="2:27" x14ac:dyDescent="0.25">
      <c r="B386" t="s">
        <v>1125</v>
      </c>
    </row>
    <row r="387" spans="2:27" x14ac:dyDescent="0.25">
      <c r="B387" t="s">
        <v>1126</v>
      </c>
      <c r="D387">
        <v>2025</v>
      </c>
      <c r="L387">
        <v>0</v>
      </c>
      <c r="O387">
        <v>0</v>
      </c>
      <c r="P387" t="s">
        <v>3774</v>
      </c>
      <c r="Q387" t="s">
        <v>3603</v>
      </c>
      <c r="R387">
        <v>168</v>
      </c>
      <c r="S387" t="s">
        <v>3604</v>
      </c>
      <c r="T387" s="2">
        <v>44317</v>
      </c>
      <c r="U387">
        <v>2021</v>
      </c>
      <c r="V387">
        <v>0</v>
      </c>
      <c r="AA387">
        <v>1</v>
      </c>
    </row>
    <row r="388" spans="2:27" x14ac:dyDescent="0.25">
      <c r="B388" t="s">
        <v>1126</v>
      </c>
      <c r="D388">
        <v>2024</v>
      </c>
      <c r="F388">
        <v>0.94</v>
      </c>
      <c r="G388">
        <v>0.49</v>
      </c>
      <c r="L388">
        <v>0</v>
      </c>
      <c r="O388">
        <v>0</v>
      </c>
      <c r="P388" t="s">
        <v>3864</v>
      </c>
      <c r="Q388" t="s">
        <v>3603</v>
      </c>
      <c r="R388">
        <v>48</v>
      </c>
      <c r="S388" t="s">
        <v>3604</v>
      </c>
      <c r="T388" s="2">
        <v>44317</v>
      </c>
      <c r="U388">
        <v>2021</v>
      </c>
      <c r="V388">
        <v>0.3125</v>
      </c>
      <c r="AA388">
        <v>0.6875</v>
      </c>
    </row>
    <row r="389" spans="2:27" x14ac:dyDescent="0.25">
      <c r="B389" t="s">
        <v>1129</v>
      </c>
      <c r="C389" t="s">
        <v>3652</v>
      </c>
      <c r="D389">
        <v>2025</v>
      </c>
      <c r="E389" s="2">
        <v>45688</v>
      </c>
      <c r="F389">
        <v>7.02</v>
      </c>
      <c r="G389">
        <v>7.78</v>
      </c>
      <c r="H389">
        <v>4.1500000000000004</v>
      </c>
      <c r="I389">
        <v>3.11</v>
      </c>
      <c r="J389">
        <v>1.65</v>
      </c>
      <c r="K389">
        <v>1.33</v>
      </c>
      <c r="L389">
        <v>25</v>
      </c>
      <c r="M389">
        <v>2.0099999999999998</v>
      </c>
      <c r="O389">
        <v>2.0099999999999998</v>
      </c>
      <c r="P389" t="s">
        <v>3775</v>
      </c>
      <c r="Q389" t="s">
        <v>3603</v>
      </c>
      <c r="R389">
        <v>101</v>
      </c>
      <c r="S389" t="s">
        <v>3604</v>
      </c>
      <c r="T389" s="2">
        <v>44317</v>
      </c>
      <c r="U389">
        <v>2021</v>
      </c>
      <c r="V389">
        <v>0.2475</v>
      </c>
      <c r="AA389">
        <v>0.75249999999999995</v>
      </c>
    </row>
    <row r="390" spans="2:27" x14ac:dyDescent="0.25">
      <c r="B390" t="s">
        <v>1133</v>
      </c>
      <c r="C390" t="s">
        <v>3652</v>
      </c>
      <c r="D390">
        <v>2025</v>
      </c>
      <c r="E390" s="2">
        <v>45693</v>
      </c>
      <c r="F390">
        <v>17.86</v>
      </c>
      <c r="G390">
        <v>6.27</v>
      </c>
      <c r="H390">
        <v>8.06</v>
      </c>
      <c r="I390">
        <v>2.1800000000000002</v>
      </c>
      <c r="J390">
        <v>3.63</v>
      </c>
      <c r="K390">
        <v>1.76</v>
      </c>
      <c r="L390">
        <v>87</v>
      </c>
      <c r="M390">
        <v>2.27</v>
      </c>
      <c r="N390">
        <v>3.27</v>
      </c>
      <c r="O390">
        <v>77.27</v>
      </c>
      <c r="P390" t="s">
        <v>3785</v>
      </c>
      <c r="Q390" t="s">
        <v>3603</v>
      </c>
      <c r="R390">
        <v>89</v>
      </c>
      <c r="S390" t="s">
        <v>3604</v>
      </c>
      <c r="T390" s="2">
        <v>44317</v>
      </c>
      <c r="U390">
        <v>2021</v>
      </c>
      <c r="V390">
        <v>0.98880000000000001</v>
      </c>
      <c r="AA390">
        <v>1.12E-2</v>
      </c>
    </row>
    <row r="391" spans="2:27" x14ac:dyDescent="0.25">
      <c r="B391" t="s">
        <v>1136</v>
      </c>
      <c r="C391" t="s">
        <v>3661</v>
      </c>
      <c r="D391">
        <v>2025</v>
      </c>
      <c r="E391" s="2">
        <v>45728</v>
      </c>
      <c r="F391">
        <v>4.5199999999999996</v>
      </c>
      <c r="G391">
        <v>2.68</v>
      </c>
      <c r="H391">
        <v>4</v>
      </c>
      <c r="I391">
        <v>1.85</v>
      </c>
      <c r="J391">
        <v>1.07</v>
      </c>
      <c r="K391">
        <v>0.22</v>
      </c>
      <c r="L391">
        <v>104</v>
      </c>
      <c r="O391">
        <v>0</v>
      </c>
      <c r="P391" t="s">
        <v>3781</v>
      </c>
      <c r="Q391" t="s">
        <v>3603</v>
      </c>
      <c r="R391">
        <v>204</v>
      </c>
      <c r="S391" t="s">
        <v>3604</v>
      </c>
      <c r="T391" s="2">
        <v>44317</v>
      </c>
      <c r="U391">
        <v>2021</v>
      </c>
      <c r="V391">
        <v>0.51959999999999995</v>
      </c>
      <c r="AA391">
        <v>0.48039999999999999</v>
      </c>
    </row>
    <row r="392" spans="2:27" x14ac:dyDescent="0.25">
      <c r="B392" t="s">
        <v>1140</v>
      </c>
    </row>
    <row r="393" spans="2:27" x14ac:dyDescent="0.25">
      <c r="B393" t="s">
        <v>1144</v>
      </c>
      <c r="C393" t="s">
        <v>3652</v>
      </c>
      <c r="D393">
        <v>2025</v>
      </c>
      <c r="E393" s="2">
        <v>45695</v>
      </c>
      <c r="F393">
        <v>13.27</v>
      </c>
      <c r="G393">
        <v>7.22</v>
      </c>
      <c r="H393">
        <v>6.19</v>
      </c>
      <c r="I393">
        <v>2.2000000000000002</v>
      </c>
      <c r="J393">
        <v>3.03</v>
      </c>
      <c r="K393">
        <v>2.35</v>
      </c>
      <c r="L393">
        <v>21</v>
      </c>
      <c r="M393">
        <v>4.6900000000000004</v>
      </c>
      <c r="N393">
        <v>4.3</v>
      </c>
      <c r="O393">
        <v>28.14</v>
      </c>
      <c r="P393" t="s">
        <v>3784</v>
      </c>
      <c r="Q393" t="s">
        <v>3603</v>
      </c>
      <c r="R393">
        <v>81</v>
      </c>
      <c r="S393" t="s">
        <v>3604</v>
      </c>
      <c r="T393" s="2">
        <v>44317</v>
      </c>
      <c r="U393">
        <v>2021</v>
      </c>
      <c r="V393">
        <v>0.29630000000000001</v>
      </c>
      <c r="AA393">
        <v>0.70369999999999999</v>
      </c>
    </row>
    <row r="394" spans="2:27" x14ac:dyDescent="0.25">
      <c r="B394" t="s">
        <v>1148</v>
      </c>
      <c r="C394" t="s">
        <v>3652</v>
      </c>
      <c r="D394">
        <v>2025</v>
      </c>
      <c r="E394" s="2">
        <v>45706</v>
      </c>
      <c r="F394">
        <v>22.59</v>
      </c>
      <c r="G394">
        <v>6.68</v>
      </c>
      <c r="H394">
        <v>11.36</v>
      </c>
      <c r="I394">
        <v>1.73</v>
      </c>
      <c r="J394">
        <v>4.3899999999999997</v>
      </c>
      <c r="K394">
        <v>1.63</v>
      </c>
      <c r="L394">
        <v>68</v>
      </c>
      <c r="M394">
        <v>2.14</v>
      </c>
      <c r="N394">
        <v>1.99</v>
      </c>
      <c r="O394">
        <v>87.87</v>
      </c>
      <c r="P394" t="s">
        <v>3768</v>
      </c>
      <c r="Q394" t="s">
        <v>3603</v>
      </c>
      <c r="R394">
        <v>72</v>
      </c>
      <c r="S394" t="s">
        <v>3604</v>
      </c>
      <c r="T394" s="2">
        <v>44317</v>
      </c>
      <c r="U394">
        <v>2021</v>
      </c>
      <c r="V394">
        <v>0.94440000000000002</v>
      </c>
      <c r="AA394">
        <v>5.5599999999999997E-2</v>
      </c>
    </row>
    <row r="395" spans="2:27" x14ac:dyDescent="0.25">
      <c r="B395" t="s">
        <v>1152</v>
      </c>
      <c r="C395" t="s">
        <v>3652</v>
      </c>
      <c r="D395">
        <v>2025</v>
      </c>
      <c r="E395" s="2">
        <v>45706</v>
      </c>
      <c r="F395">
        <v>14.53</v>
      </c>
      <c r="G395">
        <v>7.34</v>
      </c>
      <c r="H395">
        <v>9.4600000000000009</v>
      </c>
      <c r="I395">
        <v>4.01</v>
      </c>
      <c r="J395">
        <v>2.5099999999999998</v>
      </c>
      <c r="K395">
        <v>1.68</v>
      </c>
      <c r="L395">
        <v>146</v>
      </c>
      <c r="M395">
        <v>1.71</v>
      </c>
      <c r="N395">
        <v>1.75</v>
      </c>
      <c r="O395">
        <v>53.06</v>
      </c>
      <c r="P395" t="s">
        <v>3776</v>
      </c>
      <c r="Q395" t="s">
        <v>3603</v>
      </c>
      <c r="R395">
        <v>195</v>
      </c>
      <c r="S395" t="s">
        <v>3604</v>
      </c>
      <c r="T395" s="2">
        <v>44317</v>
      </c>
      <c r="U395">
        <v>2021</v>
      </c>
      <c r="V395">
        <v>0.75900000000000001</v>
      </c>
      <c r="AA395">
        <v>0.24099999999999999</v>
      </c>
    </row>
    <row r="396" spans="2:27" x14ac:dyDescent="0.25">
      <c r="B396" t="s">
        <v>1156</v>
      </c>
      <c r="C396" t="s">
        <v>3652</v>
      </c>
      <c r="D396">
        <v>2025</v>
      </c>
      <c r="E396" s="2">
        <v>45706</v>
      </c>
      <c r="F396">
        <v>15.24</v>
      </c>
      <c r="G396">
        <v>3.2</v>
      </c>
      <c r="H396">
        <v>10.1</v>
      </c>
      <c r="I396">
        <v>1.53</v>
      </c>
      <c r="J396">
        <v>2.31</v>
      </c>
      <c r="K396">
        <v>0.61</v>
      </c>
      <c r="L396">
        <v>42</v>
      </c>
      <c r="O396">
        <v>0</v>
      </c>
      <c r="P396" t="s">
        <v>3767</v>
      </c>
      <c r="Q396" t="s">
        <v>3603</v>
      </c>
      <c r="R396">
        <v>55</v>
      </c>
      <c r="S396" t="s">
        <v>3604</v>
      </c>
      <c r="T396" s="2">
        <v>44317</v>
      </c>
      <c r="U396">
        <v>2021</v>
      </c>
      <c r="V396">
        <v>0.8</v>
      </c>
      <c r="AA396">
        <v>0.2</v>
      </c>
    </row>
    <row r="397" spans="2:27" x14ac:dyDescent="0.25">
      <c r="B397" t="s">
        <v>1160</v>
      </c>
      <c r="C397" t="s">
        <v>3652</v>
      </c>
      <c r="D397">
        <v>2025</v>
      </c>
      <c r="E397" s="2">
        <v>45692</v>
      </c>
      <c r="F397">
        <v>11.98</v>
      </c>
      <c r="G397">
        <v>3.86</v>
      </c>
      <c r="H397">
        <v>7.26</v>
      </c>
      <c r="I397">
        <v>1.84</v>
      </c>
      <c r="J397">
        <v>2.0099999999999998</v>
      </c>
      <c r="K397">
        <v>0.88</v>
      </c>
      <c r="L397">
        <v>95</v>
      </c>
      <c r="M397">
        <v>0.61</v>
      </c>
      <c r="O397">
        <v>0.61</v>
      </c>
      <c r="P397" t="s">
        <v>3756</v>
      </c>
      <c r="Q397" t="s">
        <v>3603</v>
      </c>
      <c r="R397">
        <v>108</v>
      </c>
      <c r="S397" t="s">
        <v>3604</v>
      </c>
      <c r="T397" s="2">
        <v>44317</v>
      </c>
      <c r="U397">
        <v>2021</v>
      </c>
      <c r="V397">
        <v>0.87960000000000005</v>
      </c>
      <c r="AA397">
        <v>0.12039999999999999</v>
      </c>
    </row>
    <row r="398" spans="2:27" x14ac:dyDescent="0.25">
      <c r="B398" t="s">
        <v>1167</v>
      </c>
    </row>
    <row r="399" spans="2:27" x14ac:dyDescent="0.25">
      <c r="B399" t="s">
        <v>1168</v>
      </c>
      <c r="C399" t="s">
        <v>3655</v>
      </c>
      <c r="D399">
        <v>2025</v>
      </c>
      <c r="E399" s="2">
        <v>45681</v>
      </c>
      <c r="F399">
        <v>15.77</v>
      </c>
      <c r="G399">
        <v>5.3</v>
      </c>
      <c r="H399">
        <v>6.89</v>
      </c>
      <c r="I399">
        <v>1.69</v>
      </c>
      <c r="J399">
        <v>2.91</v>
      </c>
      <c r="K399">
        <v>1.26</v>
      </c>
      <c r="L399">
        <v>102</v>
      </c>
      <c r="M399">
        <v>1.04</v>
      </c>
      <c r="N399">
        <v>1.26</v>
      </c>
      <c r="O399">
        <v>15.64</v>
      </c>
      <c r="P399" t="s">
        <v>3749</v>
      </c>
      <c r="Q399" t="s">
        <v>3603</v>
      </c>
      <c r="R399">
        <v>106</v>
      </c>
      <c r="S399" t="s">
        <v>3604</v>
      </c>
      <c r="T399" s="2">
        <v>44317</v>
      </c>
      <c r="U399">
        <v>2021</v>
      </c>
      <c r="V399">
        <v>0.96230000000000004</v>
      </c>
      <c r="AA399">
        <v>3.7699999999999997E-2</v>
      </c>
    </row>
    <row r="400" spans="2:27" x14ac:dyDescent="0.25">
      <c r="B400" t="s">
        <v>1171</v>
      </c>
    </row>
    <row r="401" spans="2:27" x14ac:dyDescent="0.25">
      <c r="B401" t="s">
        <v>1174</v>
      </c>
    </row>
    <row r="402" spans="2:27" x14ac:dyDescent="0.25">
      <c r="B402" t="s">
        <v>1175</v>
      </c>
      <c r="C402" t="s">
        <v>3655</v>
      </c>
      <c r="D402">
        <v>2025</v>
      </c>
      <c r="E402" s="2">
        <v>45685</v>
      </c>
      <c r="F402">
        <v>14.76</v>
      </c>
      <c r="G402">
        <v>7.89</v>
      </c>
      <c r="H402">
        <v>11.83</v>
      </c>
      <c r="I402">
        <v>4.33</v>
      </c>
      <c r="J402">
        <v>2.63</v>
      </c>
      <c r="K402">
        <v>1.91</v>
      </c>
      <c r="L402">
        <v>84</v>
      </c>
      <c r="M402">
        <v>10.26</v>
      </c>
      <c r="N402">
        <v>12.06</v>
      </c>
      <c r="O402">
        <v>123.14</v>
      </c>
      <c r="P402" t="s">
        <v>3751</v>
      </c>
      <c r="Q402" t="s">
        <v>3603</v>
      </c>
      <c r="R402">
        <v>100</v>
      </c>
      <c r="S402" t="s">
        <v>3604</v>
      </c>
      <c r="T402" s="2">
        <v>44317</v>
      </c>
      <c r="U402">
        <v>2021</v>
      </c>
      <c r="V402">
        <v>0.87</v>
      </c>
      <c r="AA402">
        <v>0.13</v>
      </c>
    </row>
    <row r="403" spans="2:27" x14ac:dyDescent="0.25">
      <c r="B403" t="s">
        <v>1179</v>
      </c>
      <c r="C403" t="s">
        <v>3897</v>
      </c>
      <c r="D403">
        <v>2022</v>
      </c>
      <c r="E403" s="2">
        <v>44562</v>
      </c>
      <c r="F403">
        <v>1.64</v>
      </c>
      <c r="G403">
        <v>0.48</v>
      </c>
      <c r="L403">
        <v>0</v>
      </c>
      <c r="O403">
        <v>0</v>
      </c>
      <c r="P403" t="s">
        <v>3855</v>
      </c>
      <c r="Q403" t="s">
        <v>3603</v>
      </c>
      <c r="R403">
        <v>17</v>
      </c>
      <c r="S403" t="s">
        <v>3604</v>
      </c>
      <c r="T403" s="2">
        <v>44317</v>
      </c>
      <c r="U403">
        <v>2021</v>
      </c>
      <c r="V403">
        <v>0.4118</v>
      </c>
      <c r="AA403">
        <v>58.82</v>
      </c>
    </row>
    <row r="404" spans="2:27" x14ac:dyDescent="0.25">
      <c r="B404" t="s">
        <v>1182</v>
      </c>
    </row>
    <row r="405" spans="2:27" x14ac:dyDescent="0.25">
      <c r="B405" t="s">
        <v>1186</v>
      </c>
    </row>
    <row r="406" spans="2:27" x14ac:dyDescent="0.25">
      <c r="B406" t="s">
        <v>1190</v>
      </c>
      <c r="C406" t="s">
        <v>3661</v>
      </c>
      <c r="D406">
        <v>2025</v>
      </c>
      <c r="E406" s="2">
        <v>45722</v>
      </c>
      <c r="F406">
        <v>11.58</v>
      </c>
      <c r="G406">
        <v>6.59</v>
      </c>
      <c r="H406">
        <v>6.3</v>
      </c>
      <c r="I406">
        <v>2.21</v>
      </c>
      <c r="J406">
        <v>2.25</v>
      </c>
      <c r="K406">
        <v>1.55</v>
      </c>
      <c r="L406">
        <v>78</v>
      </c>
      <c r="M406">
        <v>0.92</v>
      </c>
      <c r="N406">
        <v>1.08</v>
      </c>
      <c r="O406">
        <v>13.75</v>
      </c>
      <c r="P406" t="s">
        <v>3754</v>
      </c>
      <c r="Q406" t="s">
        <v>3603</v>
      </c>
      <c r="R406">
        <v>86</v>
      </c>
      <c r="S406" t="s">
        <v>3604</v>
      </c>
      <c r="T406" s="2">
        <v>44317</v>
      </c>
      <c r="U406">
        <v>2021</v>
      </c>
      <c r="V406">
        <v>0.90700000000000003</v>
      </c>
      <c r="AA406">
        <v>9.2999999999999999E-2</v>
      </c>
    </row>
    <row r="407" spans="2:27" x14ac:dyDescent="0.25">
      <c r="B407" t="s">
        <v>1194</v>
      </c>
      <c r="C407" t="s">
        <v>3661</v>
      </c>
      <c r="D407">
        <v>2025</v>
      </c>
      <c r="E407" s="2">
        <v>45722</v>
      </c>
      <c r="F407">
        <v>29.69</v>
      </c>
      <c r="G407">
        <v>3.24</v>
      </c>
      <c r="H407">
        <v>12.61</v>
      </c>
      <c r="I407">
        <v>2.11</v>
      </c>
      <c r="J407">
        <v>6.01</v>
      </c>
      <c r="K407">
        <v>0.8</v>
      </c>
      <c r="L407">
        <v>99</v>
      </c>
      <c r="M407">
        <v>3.95</v>
      </c>
      <c r="N407">
        <v>2.91</v>
      </c>
      <c r="O407">
        <v>383.23</v>
      </c>
      <c r="P407" t="s">
        <v>3757</v>
      </c>
      <c r="Q407" t="s">
        <v>3603</v>
      </c>
      <c r="R407">
        <v>99</v>
      </c>
      <c r="S407" t="s">
        <v>3604</v>
      </c>
      <c r="T407" s="2">
        <v>44317</v>
      </c>
      <c r="U407">
        <v>2021</v>
      </c>
      <c r="V407">
        <v>1</v>
      </c>
      <c r="AA407">
        <v>0</v>
      </c>
    </row>
    <row r="408" spans="2:27" x14ac:dyDescent="0.25">
      <c r="B408" t="s">
        <v>1194</v>
      </c>
      <c r="D408">
        <v>2024</v>
      </c>
      <c r="F408">
        <v>26.16</v>
      </c>
      <c r="G408">
        <v>2.21</v>
      </c>
      <c r="H408">
        <v>16.600000000000001</v>
      </c>
      <c r="I408">
        <v>1.82</v>
      </c>
      <c r="J408">
        <v>4.8</v>
      </c>
      <c r="K408">
        <v>0.55000000000000004</v>
      </c>
      <c r="L408">
        <v>28</v>
      </c>
      <c r="M408">
        <v>1.05</v>
      </c>
      <c r="N408">
        <v>0.95</v>
      </c>
      <c r="O408">
        <v>27.27</v>
      </c>
      <c r="P408" t="s">
        <v>3863</v>
      </c>
      <c r="Q408" t="s">
        <v>3603</v>
      </c>
      <c r="R408">
        <v>28</v>
      </c>
      <c r="S408" t="s">
        <v>3604</v>
      </c>
      <c r="T408" s="2">
        <v>44317</v>
      </c>
      <c r="U408">
        <v>2021</v>
      </c>
      <c r="V408">
        <v>1</v>
      </c>
      <c r="AA408">
        <v>0</v>
      </c>
    </row>
    <row r="409" spans="2:27" x14ac:dyDescent="0.25">
      <c r="B409" t="s">
        <v>1198</v>
      </c>
      <c r="D409">
        <v>2024</v>
      </c>
      <c r="F409">
        <v>6.58</v>
      </c>
      <c r="G409">
        <v>3.85</v>
      </c>
      <c r="J409">
        <v>1.47</v>
      </c>
      <c r="K409">
        <v>0.35</v>
      </c>
      <c r="L409">
        <v>12</v>
      </c>
      <c r="O409">
        <v>0</v>
      </c>
      <c r="P409" t="s">
        <v>3857</v>
      </c>
      <c r="Q409" t="s">
        <v>3603</v>
      </c>
      <c r="R409">
        <v>32</v>
      </c>
      <c r="S409" t="s">
        <v>3604</v>
      </c>
      <c r="T409" s="2">
        <v>44317</v>
      </c>
      <c r="U409">
        <v>2021</v>
      </c>
      <c r="V409">
        <v>0.75</v>
      </c>
      <c r="AA409">
        <v>0.25</v>
      </c>
    </row>
    <row r="410" spans="2:27" x14ac:dyDescent="0.25">
      <c r="B410" t="s">
        <v>1198</v>
      </c>
      <c r="C410" t="s">
        <v>3652</v>
      </c>
      <c r="D410">
        <v>2025</v>
      </c>
      <c r="E410" s="2">
        <v>45691</v>
      </c>
      <c r="F410">
        <v>6.3</v>
      </c>
      <c r="G410">
        <v>4.18</v>
      </c>
      <c r="H410">
        <v>3.9</v>
      </c>
      <c r="I410">
        <v>1.9</v>
      </c>
      <c r="J410">
        <v>1.33</v>
      </c>
      <c r="K410">
        <v>0.55000000000000004</v>
      </c>
      <c r="L410">
        <v>59</v>
      </c>
      <c r="O410">
        <v>0</v>
      </c>
      <c r="P410" t="s">
        <v>3758</v>
      </c>
      <c r="Q410" t="s">
        <v>3603</v>
      </c>
      <c r="R410">
        <v>109</v>
      </c>
      <c r="S410" t="s">
        <v>3604</v>
      </c>
      <c r="T410" s="2">
        <v>44317</v>
      </c>
      <c r="U410">
        <v>2021</v>
      </c>
      <c r="V410">
        <v>0.5413</v>
      </c>
      <c r="AA410">
        <v>0.4587</v>
      </c>
    </row>
    <row r="411" spans="2:27" x14ac:dyDescent="0.25">
      <c r="B411" t="s">
        <v>1202</v>
      </c>
      <c r="D411">
        <v>2025</v>
      </c>
      <c r="F411">
        <v>9.73</v>
      </c>
      <c r="G411">
        <v>4.32</v>
      </c>
      <c r="H411">
        <v>5.01</v>
      </c>
      <c r="I411">
        <v>1.97</v>
      </c>
      <c r="J411">
        <v>1.88</v>
      </c>
      <c r="K411">
        <v>1.33</v>
      </c>
      <c r="L411">
        <v>67</v>
      </c>
      <c r="M411">
        <v>2.94</v>
      </c>
      <c r="N411">
        <v>1.85</v>
      </c>
      <c r="O411">
        <v>8.82</v>
      </c>
      <c r="P411" t="s">
        <v>3760</v>
      </c>
      <c r="Q411" t="s">
        <v>3603</v>
      </c>
      <c r="R411">
        <v>77</v>
      </c>
      <c r="S411" t="s">
        <v>3604</v>
      </c>
      <c r="T411" s="2">
        <v>44317</v>
      </c>
      <c r="U411">
        <v>2021</v>
      </c>
      <c r="V411">
        <v>0.87009999999999998</v>
      </c>
      <c r="AA411">
        <v>0.12989999999999999</v>
      </c>
    </row>
    <row r="412" spans="2:27" x14ac:dyDescent="0.25">
      <c r="B412" t="s">
        <v>1202</v>
      </c>
      <c r="C412" t="s">
        <v>3845</v>
      </c>
      <c r="D412">
        <v>2021</v>
      </c>
      <c r="E412" s="2">
        <v>44197</v>
      </c>
      <c r="F412">
        <v>4.9800000000000004</v>
      </c>
      <c r="G412">
        <v>1.77</v>
      </c>
      <c r="L412">
        <v>0</v>
      </c>
      <c r="O412">
        <v>0</v>
      </c>
      <c r="P412" t="s">
        <v>3898</v>
      </c>
      <c r="Q412" t="s">
        <v>3603</v>
      </c>
      <c r="R412">
        <v>75</v>
      </c>
      <c r="S412" t="s">
        <v>3604</v>
      </c>
      <c r="T412" s="2">
        <v>44317</v>
      </c>
      <c r="U412">
        <v>2021</v>
      </c>
      <c r="V412">
        <v>0.82669999999999999</v>
      </c>
      <c r="AA412">
        <v>17.329999999999998</v>
      </c>
    </row>
    <row r="413" spans="2:27" x14ac:dyDescent="0.25">
      <c r="B413" t="s">
        <v>1203</v>
      </c>
      <c r="C413" t="s">
        <v>3652</v>
      </c>
      <c r="D413">
        <v>2025</v>
      </c>
      <c r="E413" s="2">
        <v>45714</v>
      </c>
      <c r="F413">
        <v>19.579999999999998</v>
      </c>
      <c r="G413">
        <v>6.56</v>
      </c>
      <c r="H413">
        <v>10.09</v>
      </c>
      <c r="I413">
        <v>2.4</v>
      </c>
      <c r="J413">
        <v>3.96</v>
      </c>
      <c r="K413">
        <v>1.94</v>
      </c>
      <c r="L413">
        <v>29</v>
      </c>
      <c r="M413">
        <v>3.3</v>
      </c>
      <c r="N413">
        <v>3.86</v>
      </c>
      <c r="O413">
        <v>42.88</v>
      </c>
      <c r="P413" t="s">
        <v>3762</v>
      </c>
      <c r="Q413" t="s">
        <v>3603</v>
      </c>
      <c r="R413">
        <v>34</v>
      </c>
      <c r="S413" t="s">
        <v>3604</v>
      </c>
      <c r="T413" s="2">
        <v>44317</v>
      </c>
      <c r="U413">
        <v>2021</v>
      </c>
      <c r="V413">
        <v>0.85289999999999999</v>
      </c>
      <c r="AA413">
        <v>0.14710000000000001</v>
      </c>
    </row>
    <row r="414" spans="2:27" x14ac:dyDescent="0.25">
      <c r="B414" t="s">
        <v>1204</v>
      </c>
      <c r="C414" t="s">
        <v>3652</v>
      </c>
      <c r="D414">
        <v>2025</v>
      </c>
      <c r="E414" s="2">
        <v>45716</v>
      </c>
      <c r="F414">
        <v>23.6</v>
      </c>
      <c r="G414">
        <v>5.71</v>
      </c>
      <c r="H414">
        <v>8.7200000000000006</v>
      </c>
      <c r="I414">
        <v>1.94</v>
      </c>
      <c r="J414">
        <v>4.97</v>
      </c>
      <c r="K414">
        <v>1.52</v>
      </c>
      <c r="L414">
        <v>190</v>
      </c>
      <c r="M414">
        <v>2.0499999999999998</v>
      </c>
      <c r="N414">
        <v>2.2200000000000002</v>
      </c>
      <c r="O414">
        <v>303.64</v>
      </c>
      <c r="P414" t="s">
        <v>3653</v>
      </c>
      <c r="Q414" t="s">
        <v>3603</v>
      </c>
      <c r="R414">
        <v>213</v>
      </c>
      <c r="S414" t="s">
        <v>3604</v>
      </c>
      <c r="T414" s="2">
        <v>44317</v>
      </c>
      <c r="U414">
        <v>2021</v>
      </c>
      <c r="V414">
        <v>0.89670000000000005</v>
      </c>
      <c r="AA414">
        <v>0.1033</v>
      </c>
    </row>
    <row r="415" spans="2:27" x14ac:dyDescent="0.25">
      <c r="B415" t="s">
        <v>1208</v>
      </c>
    </row>
    <row r="416" spans="2:27" x14ac:dyDescent="0.25">
      <c r="B416" t="s">
        <v>1209</v>
      </c>
      <c r="C416" t="s">
        <v>3652</v>
      </c>
      <c r="D416">
        <v>2025</v>
      </c>
      <c r="E416" s="2">
        <v>45695</v>
      </c>
      <c r="F416">
        <v>34.32</v>
      </c>
      <c r="G416">
        <v>8.56</v>
      </c>
      <c r="H416">
        <v>11.79</v>
      </c>
      <c r="I416">
        <v>2.04</v>
      </c>
      <c r="J416">
        <v>9.26</v>
      </c>
      <c r="K416">
        <v>2.41</v>
      </c>
      <c r="L416">
        <v>8</v>
      </c>
      <c r="M416">
        <v>26.97</v>
      </c>
      <c r="N416">
        <v>14.27</v>
      </c>
      <c r="O416">
        <v>1078.69</v>
      </c>
      <c r="P416" t="s">
        <v>3654</v>
      </c>
      <c r="Q416" t="s">
        <v>3603</v>
      </c>
      <c r="R416">
        <v>91</v>
      </c>
      <c r="S416" t="s">
        <v>3604</v>
      </c>
      <c r="T416" s="2">
        <v>44317</v>
      </c>
      <c r="U416">
        <v>2021</v>
      </c>
      <c r="V416">
        <v>0.47249999999999998</v>
      </c>
      <c r="AA416">
        <v>0.52749999999999997</v>
      </c>
    </row>
    <row r="417" spans="2:27" x14ac:dyDescent="0.25">
      <c r="B417" t="s">
        <v>1213</v>
      </c>
      <c r="C417" t="s">
        <v>3655</v>
      </c>
      <c r="D417">
        <v>2025</v>
      </c>
      <c r="E417" s="2">
        <v>45681</v>
      </c>
      <c r="F417">
        <v>7.37</v>
      </c>
      <c r="G417">
        <v>5.0199999999999996</v>
      </c>
      <c r="H417">
        <v>5.51</v>
      </c>
      <c r="I417">
        <v>2.76</v>
      </c>
      <c r="J417">
        <v>1.5</v>
      </c>
      <c r="K417">
        <v>0.9</v>
      </c>
      <c r="L417">
        <v>104</v>
      </c>
      <c r="M417">
        <v>1.1000000000000001</v>
      </c>
      <c r="N417">
        <v>1.86</v>
      </c>
      <c r="O417">
        <v>3.29</v>
      </c>
      <c r="P417" t="s">
        <v>3656</v>
      </c>
      <c r="Q417" t="s">
        <v>3603</v>
      </c>
      <c r="R417">
        <v>107</v>
      </c>
      <c r="S417" t="s">
        <v>3604</v>
      </c>
      <c r="T417" s="2">
        <v>44317</v>
      </c>
      <c r="U417">
        <v>2021</v>
      </c>
      <c r="V417">
        <v>0.97199999999999998</v>
      </c>
      <c r="AA417">
        <v>2.8000000000000001E-2</v>
      </c>
    </row>
    <row r="418" spans="2:27" x14ac:dyDescent="0.25">
      <c r="B418" t="s">
        <v>1216</v>
      </c>
    </row>
    <row r="419" spans="2:27" x14ac:dyDescent="0.25">
      <c r="B419" t="s">
        <v>1220</v>
      </c>
      <c r="C419" t="s">
        <v>3652</v>
      </c>
      <c r="D419">
        <v>2025</v>
      </c>
      <c r="E419" s="2">
        <v>45699</v>
      </c>
      <c r="F419">
        <v>9.94</v>
      </c>
      <c r="G419">
        <v>5.59</v>
      </c>
      <c r="H419">
        <v>5.79</v>
      </c>
      <c r="I419">
        <v>2.5099999999999998</v>
      </c>
      <c r="J419">
        <v>1.73</v>
      </c>
      <c r="K419">
        <v>1.26</v>
      </c>
      <c r="L419">
        <v>246</v>
      </c>
      <c r="M419">
        <v>2.14</v>
      </c>
      <c r="N419">
        <v>2.06</v>
      </c>
      <c r="O419">
        <v>42.75</v>
      </c>
      <c r="P419" t="s">
        <v>3657</v>
      </c>
      <c r="Q419" t="s">
        <v>3603</v>
      </c>
      <c r="R419">
        <v>349</v>
      </c>
      <c r="S419" t="s">
        <v>3604</v>
      </c>
      <c r="T419" s="2">
        <v>44317</v>
      </c>
      <c r="U419">
        <v>2021</v>
      </c>
      <c r="V419">
        <v>0.71060000000000001</v>
      </c>
      <c r="AA419">
        <v>0.28939999999999999</v>
      </c>
    </row>
    <row r="420" spans="2:27" x14ac:dyDescent="0.25">
      <c r="B420" t="s">
        <v>1224</v>
      </c>
      <c r="C420" t="s">
        <v>3652</v>
      </c>
      <c r="D420">
        <v>2025</v>
      </c>
      <c r="E420" s="2">
        <v>45713</v>
      </c>
      <c r="F420">
        <v>24.26</v>
      </c>
      <c r="G420">
        <v>7.46</v>
      </c>
      <c r="H420">
        <v>9.9</v>
      </c>
      <c r="I420">
        <v>2.25</v>
      </c>
      <c r="J420">
        <v>6.17</v>
      </c>
      <c r="K420">
        <v>2.35</v>
      </c>
      <c r="L420">
        <v>39</v>
      </c>
      <c r="M420">
        <v>7.57</v>
      </c>
      <c r="N420">
        <v>9.01</v>
      </c>
      <c r="O420">
        <v>318.08</v>
      </c>
      <c r="P420" t="s">
        <v>3658</v>
      </c>
      <c r="Q420" t="s">
        <v>3603</v>
      </c>
      <c r="R420">
        <v>77</v>
      </c>
      <c r="S420" t="s">
        <v>3604</v>
      </c>
      <c r="T420" s="2">
        <v>44317</v>
      </c>
      <c r="U420">
        <v>2021</v>
      </c>
      <c r="V420">
        <v>0.6623</v>
      </c>
      <c r="AA420">
        <v>0.3377</v>
      </c>
    </row>
    <row r="421" spans="2:27" x14ac:dyDescent="0.25">
      <c r="B421" t="s">
        <v>1228</v>
      </c>
    </row>
    <row r="422" spans="2:27" x14ac:dyDescent="0.25">
      <c r="B422" t="s">
        <v>1232</v>
      </c>
      <c r="C422" t="s">
        <v>3652</v>
      </c>
      <c r="D422">
        <v>2025</v>
      </c>
      <c r="E422" s="2">
        <v>45688</v>
      </c>
      <c r="F422">
        <v>10.48</v>
      </c>
      <c r="G422">
        <v>7.29</v>
      </c>
      <c r="H422">
        <v>7.17</v>
      </c>
      <c r="I422">
        <v>3.2</v>
      </c>
      <c r="J422">
        <v>1.89</v>
      </c>
      <c r="K422">
        <v>1.22</v>
      </c>
      <c r="L422">
        <v>77</v>
      </c>
      <c r="M422">
        <v>1.36</v>
      </c>
      <c r="N422">
        <v>2.02</v>
      </c>
      <c r="O422">
        <v>5.43</v>
      </c>
      <c r="P422" t="s">
        <v>3659</v>
      </c>
      <c r="Q422" t="s">
        <v>3603</v>
      </c>
      <c r="R422">
        <v>83</v>
      </c>
      <c r="S422" t="s">
        <v>3604</v>
      </c>
      <c r="T422" s="2">
        <v>44317</v>
      </c>
      <c r="U422">
        <v>2021</v>
      </c>
      <c r="V422">
        <v>0.93979999999999997</v>
      </c>
      <c r="AA422">
        <v>6.0199999999999997E-2</v>
      </c>
    </row>
    <row r="423" spans="2:27" x14ac:dyDescent="0.25">
      <c r="B423" t="s">
        <v>1235</v>
      </c>
      <c r="C423" t="s">
        <v>3661</v>
      </c>
      <c r="D423">
        <v>2025</v>
      </c>
      <c r="E423" s="2">
        <v>45720</v>
      </c>
      <c r="F423">
        <v>14.14</v>
      </c>
      <c r="G423">
        <v>7.97</v>
      </c>
      <c r="H423">
        <v>8.74</v>
      </c>
      <c r="I423">
        <v>3.62</v>
      </c>
      <c r="J423">
        <v>2.62</v>
      </c>
      <c r="K423">
        <v>1.7</v>
      </c>
      <c r="L423">
        <v>71</v>
      </c>
      <c r="M423">
        <v>4.5199999999999996</v>
      </c>
      <c r="N423">
        <v>2.4</v>
      </c>
      <c r="O423">
        <v>49.73</v>
      </c>
      <c r="P423" t="s">
        <v>3662</v>
      </c>
      <c r="Q423" t="s">
        <v>3603</v>
      </c>
      <c r="R423">
        <v>76</v>
      </c>
      <c r="S423" t="s">
        <v>3604</v>
      </c>
      <c r="T423" s="2">
        <v>44317</v>
      </c>
      <c r="U423">
        <v>2021</v>
      </c>
      <c r="V423">
        <v>0.93420000000000003</v>
      </c>
      <c r="AA423">
        <v>6.5799999999999997E-2</v>
      </c>
    </row>
    <row r="424" spans="2:27" x14ac:dyDescent="0.25">
      <c r="B424" t="s">
        <v>1238</v>
      </c>
      <c r="D424">
        <v>2024</v>
      </c>
      <c r="F424">
        <v>8.36</v>
      </c>
      <c r="G424">
        <v>2.94</v>
      </c>
      <c r="J424">
        <v>1.36</v>
      </c>
      <c r="K424">
        <v>0.7</v>
      </c>
      <c r="L424">
        <v>23</v>
      </c>
      <c r="O424">
        <v>0</v>
      </c>
      <c r="P424" t="s">
        <v>3694</v>
      </c>
      <c r="Q424" t="s">
        <v>3603</v>
      </c>
      <c r="R424">
        <v>140</v>
      </c>
      <c r="S424" t="s">
        <v>3604</v>
      </c>
      <c r="T424" s="2">
        <v>44682</v>
      </c>
      <c r="U424">
        <v>2022</v>
      </c>
      <c r="V424">
        <v>0.94289999999999996</v>
      </c>
      <c r="AA424">
        <v>5.7099999999999998E-2</v>
      </c>
    </row>
    <row r="425" spans="2:27" x14ac:dyDescent="0.25">
      <c r="B425" t="s">
        <v>1241</v>
      </c>
      <c r="C425" t="s">
        <v>3845</v>
      </c>
      <c r="D425">
        <v>2022</v>
      </c>
      <c r="E425" s="2">
        <v>44562</v>
      </c>
      <c r="F425">
        <v>2.11</v>
      </c>
      <c r="G425">
        <v>1.08</v>
      </c>
      <c r="L425">
        <v>0</v>
      </c>
      <c r="O425">
        <v>0</v>
      </c>
      <c r="P425" t="s">
        <v>3854</v>
      </c>
      <c r="Q425" t="s">
        <v>3603</v>
      </c>
      <c r="R425">
        <v>24</v>
      </c>
      <c r="S425" t="s">
        <v>3604</v>
      </c>
      <c r="T425" s="2">
        <v>44682</v>
      </c>
      <c r="U425">
        <v>2022</v>
      </c>
      <c r="V425">
        <v>0.75</v>
      </c>
      <c r="AA425">
        <v>25</v>
      </c>
    </row>
    <row r="426" spans="2:27" x14ac:dyDescent="0.25">
      <c r="B426" t="s">
        <v>1242</v>
      </c>
      <c r="C426" t="s">
        <v>3845</v>
      </c>
      <c r="D426">
        <v>2022</v>
      </c>
      <c r="E426" s="2">
        <v>44562</v>
      </c>
      <c r="F426">
        <v>4.7</v>
      </c>
      <c r="G426">
        <v>1.18</v>
      </c>
      <c r="L426">
        <v>0</v>
      </c>
      <c r="O426">
        <v>0</v>
      </c>
      <c r="P426" t="s">
        <v>3851</v>
      </c>
      <c r="Q426" t="s">
        <v>3603</v>
      </c>
      <c r="R426">
        <v>109</v>
      </c>
      <c r="S426" t="s">
        <v>3604</v>
      </c>
      <c r="T426" s="2">
        <v>44682</v>
      </c>
      <c r="U426">
        <v>2022</v>
      </c>
      <c r="V426">
        <v>0.99080000000000001</v>
      </c>
      <c r="AA426">
        <v>0.92</v>
      </c>
    </row>
    <row r="427" spans="2:27" x14ac:dyDescent="0.25">
      <c r="B427" t="s">
        <v>1243</v>
      </c>
      <c r="D427">
        <v>2024</v>
      </c>
      <c r="F427">
        <v>9.14</v>
      </c>
      <c r="G427">
        <v>4.8099999999999996</v>
      </c>
      <c r="H427">
        <v>9.68</v>
      </c>
      <c r="I427">
        <v>1.32</v>
      </c>
      <c r="J427">
        <v>3.5</v>
      </c>
      <c r="L427">
        <v>1</v>
      </c>
      <c r="O427">
        <v>0</v>
      </c>
      <c r="P427" t="s">
        <v>3695</v>
      </c>
      <c r="Q427" t="s">
        <v>3603</v>
      </c>
      <c r="R427">
        <v>370</v>
      </c>
      <c r="S427" t="s">
        <v>3604</v>
      </c>
      <c r="T427" s="2">
        <v>44682</v>
      </c>
      <c r="U427">
        <v>2022</v>
      </c>
      <c r="V427">
        <v>0.97570000000000001</v>
      </c>
      <c r="AA427">
        <v>2.4299999999999999E-2</v>
      </c>
    </row>
    <row r="428" spans="2:27" x14ac:dyDescent="0.25">
      <c r="B428" t="s">
        <v>1246</v>
      </c>
      <c r="D428">
        <v>2024</v>
      </c>
      <c r="F428">
        <v>5.9</v>
      </c>
      <c r="G428">
        <v>5.17</v>
      </c>
      <c r="L428">
        <v>0</v>
      </c>
      <c r="O428">
        <v>0</v>
      </c>
      <c r="P428" t="s">
        <v>3679</v>
      </c>
      <c r="Q428" t="s">
        <v>3603</v>
      </c>
      <c r="R428">
        <v>120</v>
      </c>
      <c r="S428" t="s">
        <v>3604</v>
      </c>
      <c r="T428" s="2">
        <v>44682</v>
      </c>
      <c r="U428">
        <v>2022</v>
      </c>
      <c r="V428">
        <v>0.97499999999999998</v>
      </c>
      <c r="AA428">
        <v>2.5000000000000001E-2</v>
      </c>
    </row>
    <row r="429" spans="2:27" x14ac:dyDescent="0.25">
      <c r="B429" t="s">
        <v>1249</v>
      </c>
    </row>
    <row r="430" spans="2:27" x14ac:dyDescent="0.25">
      <c r="B430" t="s">
        <v>1252</v>
      </c>
      <c r="D430">
        <v>2024</v>
      </c>
      <c r="F430">
        <v>0.52</v>
      </c>
      <c r="G430">
        <v>0.42</v>
      </c>
      <c r="L430">
        <v>0</v>
      </c>
      <c r="O430">
        <v>0</v>
      </c>
      <c r="P430" t="s">
        <v>3687</v>
      </c>
      <c r="Q430" t="s">
        <v>3603</v>
      </c>
      <c r="R430">
        <v>116</v>
      </c>
      <c r="S430" t="s">
        <v>3604</v>
      </c>
      <c r="T430" s="2">
        <v>44682</v>
      </c>
      <c r="U430">
        <v>2022</v>
      </c>
      <c r="V430">
        <v>0.6724</v>
      </c>
      <c r="AA430">
        <v>0.3276</v>
      </c>
    </row>
    <row r="431" spans="2:27" x14ac:dyDescent="0.25">
      <c r="B431" t="s">
        <v>1255</v>
      </c>
      <c r="C431" t="s">
        <v>3845</v>
      </c>
      <c r="D431">
        <v>2022</v>
      </c>
      <c r="E431" s="2">
        <v>44562</v>
      </c>
      <c r="F431">
        <v>1.62</v>
      </c>
      <c r="G431">
        <v>1.02</v>
      </c>
      <c r="L431">
        <v>0</v>
      </c>
      <c r="O431">
        <v>0</v>
      </c>
      <c r="P431" t="s">
        <v>3853</v>
      </c>
      <c r="Q431" t="s">
        <v>3603</v>
      </c>
      <c r="R431">
        <v>54</v>
      </c>
      <c r="S431" t="s">
        <v>3604</v>
      </c>
      <c r="T431" s="2">
        <v>44682</v>
      </c>
      <c r="U431">
        <v>2022</v>
      </c>
      <c r="V431">
        <v>0.90739999999999998</v>
      </c>
      <c r="AA431">
        <v>9.26</v>
      </c>
    </row>
    <row r="432" spans="2:27" x14ac:dyDescent="0.25">
      <c r="B432" t="s">
        <v>1256</v>
      </c>
      <c r="C432" t="s">
        <v>3845</v>
      </c>
      <c r="D432">
        <v>2022</v>
      </c>
      <c r="E432" s="2">
        <v>44562</v>
      </c>
      <c r="F432">
        <v>4.5999999999999996</v>
      </c>
      <c r="G432">
        <v>1.21</v>
      </c>
      <c r="L432">
        <v>0</v>
      </c>
      <c r="O432">
        <v>0</v>
      </c>
      <c r="P432" t="s">
        <v>3848</v>
      </c>
      <c r="Q432" t="s">
        <v>3603</v>
      </c>
      <c r="R432">
        <v>107</v>
      </c>
      <c r="S432" t="s">
        <v>3604</v>
      </c>
      <c r="T432" s="2">
        <v>44682</v>
      </c>
      <c r="U432">
        <v>2022</v>
      </c>
      <c r="V432">
        <v>0.95330000000000004</v>
      </c>
      <c r="AA432">
        <v>4.67</v>
      </c>
    </row>
    <row r="433" spans="2:27" x14ac:dyDescent="0.25">
      <c r="B433" t="s">
        <v>1259</v>
      </c>
      <c r="C433" t="s">
        <v>3845</v>
      </c>
      <c r="D433">
        <v>2022</v>
      </c>
      <c r="E433" s="2">
        <v>44562</v>
      </c>
      <c r="F433">
        <v>1</v>
      </c>
      <c r="G433">
        <v>0</v>
      </c>
      <c r="J433">
        <v>0.1</v>
      </c>
      <c r="K433">
        <v>0</v>
      </c>
      <c r="L433">
        <v>4</v>
      </c>
      <c r="M433">
        <v>0.95</v>
      </c>
      <c r="N433">
        <v>0</v>
      </c>
      <c r="O433">
        <v>3.8</v>
      </c>
      <c r="P433" t="s">
        <v>3847</v>
      </c>
      <c r="Q433" t="s">
        <v>3603</v>
      </c>
      <c r="R433">
        <v>4</v>
      </c>
      <c r="S433" t="s">
        <v>3604</v>
      </c>
      <c r="T433" s="2">
        <v>44682</v>
      </c>
      <c r="U433">
        <v>2022</v>
      </c>
      <c r="V433">
        <v>0.66100000000000003</v>
      </c>
      <c r="AA433">
        <v>0.33900000000000002</v>
      </c>
    </row>
    <row r="434" spans="2:27" x14ac:dyDescent="0.25">
      <c r="B434" t="s">
        <v>1260</v>
      </c>
      <c r="C434" t="s">
        <v>3845</v>
      </c>
      <c r="D434">
        <v>2022</v>
      </c>
      <c r="E434" s="2">
        <v>44562</v>
      </c>
      <c r="F434">
        <v>1.48</v>
      </c>
      <c r="G434">
        <v>0.72</v>
      </c>
      <c r="L434">
        <v>0</v>
      </c>
      <c r="O434">
        <v>0</v>
      </c>
      <c r="P434" t="s">
        <v>3849</v>
      </c>
      <c r="Q434" t="s">
        <v>3603</v>
      </c>
      <c r="R434">
        <v>90</v>
      </c>
      <c r="S434" t="s">
        <v>3604</v>
      </c>
      <c r="T434" s="2">
        <v>44682</v>
      </c>
      <c r="U434">
        <v>2022</v>
      </c>
      <c r="V434">
        <v>0.43330000000000002</v>
      </c>
      <c r="AA434">
        <v>56.67</v>
      </c>
    </row>
    <row r="435" spans="2:27" x14ac:dyDescent="0.25">
      <c r="B435" t="s">
        <v>1264</v>
      </c>
      <c r="D435">
        <v>2024</v>
      </c>
      <c r="F435">
        <v>1.75</v>
      </c>
      <c r="G435">
        <v>1.91</v>
      </c>
      <c r="J435">
        <v>0.9</v>
      </c>
      <c r="K435">
        <v>0.51</v>
      </c>
      <c r="L435">
        <v>6</v>
      </c>
      <c r="O435">
        <v>0</v>
      </c>
      <c r="P435" t="s">
        <v>3747</v>
      </c>
      <c r="Q435" t="s">
        <v>3603</v>
      </c>
      <c r="R435">
        <v>225</v>
      </c>
      <c r="S435" t="s">
        <v>3604</v>
      </c>
      <c r="T435" s="2">
        <v>44682</v>
      </c>
      <c r="U435">
        <v>2022</v>
      </c>
      <c r="V435">
        <v>0.4133</v>
      </c>
      <c r="AA435">
        <v>0.5867</v>
      </c>
    </row>
    <row r="436" spans="2:27" x14ac:dyDescent="0.25">
      <c r="B436" t="s">
        <v>1267</v>
      </c>
    </row>
    <row r="437" spans="2:27" x14ac:dyDescent="0.25">
      <c r="B437" t="s">
        <v>1270</v>
      </c>
      <c r="D437">
        <v>2024</v>
      </c>
      <c r="F437">
        <v>6.8</v>
      </c>
      <c r="G437">
        <v>3.68</v>
      </c>
      <c r="L437">
        <v>0</v>
      </c>
      <c r="O437">
        <v>0</v>
      </c>
      <c r="P437" t="s">
        <v>3748</v>
      </c>
      <c r="Q437" t="s">
        <v>3603</v>
      </c>
      <c r="R437">
        <v>62</v>
      </c>
      <c r="S437" t="s">
        <v>3604</v>
      </c>
      <c r="T437" s="2">
        <v>44682</v>
      </c>
      <c r="U437">
        <v>2022</v>
      </c>
      <c r="V437">
        <v>0.7258</v>
      </c>
      <c r="AA437">
        <v>0.2742</v>
      </c>
    </row>
    <row r="438" spans="2:27" x14ac:dyDescent="0.25">
      <c r="B438" t="s">
        <v>1270</v>
      </c>
      <c r="C438" t="s">
        <v>3845</v>
      </c>
      <c r="D438">
        <v>2022</v>
      </c>
      <c r="E438" s="2">
        <v>44562</v>
      </c>
      <c r="F438">
        <v>2.57</v>
      </c>
      <c r="G438">
        <v>0.89</v>
      </c>
      <c r="J438">
        <v>0</v>
      </c>
      <c r="K438">
        <v>0</v>
      </c>
      <c r="L438">
        <v>56</v>
      </c>
      <c r="M438">
        <v>2.57</v>
      </c>
      <c r="N438">
        <v>0.89</v>
      </c>
      <c r="O438">
        <v>144</v>
      </c>
      <c r="P438" t="s">
        <v>3900</v>
      </c>
      <c r="Q438" t="s">
        <v>3603</v>
      </c>
      <c r="R438">
        <v>56</v>
      </c>
      <c r="S438" t="s">
        <v>3604</v>
      </c>
      <c r="T438" s="2">
        <v>44682</v>
      </c>
      <c r="U438">
        <v>2022</v>
      </c>
      <c r="V438">
        <v>1</v>
      </c>
      <c r="AA438">
        <v>0</v>
      </c>
    </row>
    <row r="439" spans="2:27" x14ac:dyDescent="0.25">
      <c r="B439" t="s">
        <v>1271</v>
      </c>
      <c r="D439">
        <v>2024</v>
      </c>
      <c r="F439">
        <v>14.93</v>
      </c>
      <c r="G439">
        <v>1.18</v>
      </c>
      <c r="L439">
        <v>0</v>
      </c>
      <c r="O439">
        <v>0</v>
      </c>
      <c r="P439" t="s">
        <v>3769</v>
      </c>
      <c r="Q439" t="s">
        <v>3603</v>
      </c>
      <c r="R439">
        <v>50</v>
      </c>
      <c r="S439" t="s">
        <v>3604</v>
      </c>
      <c r="T439" s="2">
        <v>44682</v>
      </c>
      <c r="U439">
        <v>2022</v>
      </c>
      <c r="V439">
        <v>0.06</v>
      </c>
      <c r="AA439">
        <v>0.94</v>
      </c>
    </row>
    <row r="440" spans="2:27" x14ac:dyDescent="0.25">
      <c r="B440" t="s">
        <v>1272</v>
      </c>
      <c r="D440">
        <v>2024</v>
      </c>
      <c r="F440">
        <v>18.940000000000001</v>
      </c>
      <c r="G440">
        <v>3.73</v>
      </c>
      <c r="L440">
        <v>0</v>
      </c>
      <c r="O440">
        <v>0</v>
      </c>
      <c r="P440" t="s">
        <v>3771</v>
      </c>
      <c r="Q440" t="s">
        <v>3603</v>
      </c>
      <c r="R440">
        <v>120</v>
      </c>
      <c r="S440" t="s">
        <v>3604</v>
      </c>
      <c r="T440" s="2">
        <v>44682</v>
      </c>
      <c r="U440">
        <v>2022</v>
      </c>
      <c r="V440">
        <v>0.99170000000000003</v>
      </c>
      <c r="AA440">
        <v>8.3000000000000001E-3</v>
      </c>
    </row>
    <row r="441" spans="2:27" x14ac:dyDescent="0.25">
      <c r="B441" t="s">
        <v>1275</v>
      </c>
      <c r="C441" t="s">
        <v>3845</v>
      </c>
      <c r="D441">
        <v>2022</v>
      </c>
      <c r="E441" s="2">
        <v>44562</v>
      </c>
      <c r="F441">
        <v>5.43</v>
      </c>
      <c r="G441">
        <v>2.12</v>
      </c>
      <c r="L441">
        <v>0</v>
      </c>
      <c r="O441">
        <v>0</v>
      </c>
      <c r="P441" t="s">
        <v>3850</v>
      </c>
      <c r="Q441" t="s">
        <v>3603</v>
      </c>
      <c r="R441">
        <v>103</v>
      </c>
      <c r="S441" t="s">
        <v>3604</v>
      </c>
      <c r="T441" s="2">
        <v>44682</v>
      </c>
      <c r="U441">
        <v>2022</v>
      </c>
      <c r="V441">
        <v>1</v>
      </c>
      <c r="AA441">
        <v>0</v>
      </c>
    </row>
    <row r="442" spans="2:27" x14ac:dyDescent="0.25">
      <c r="B442" t="s">
        <v>1278</v>
      </c>
      <c r="D442">
        <v>2025</v>
      </c>
      <c r="F442">
        <v>12.54</v>
      </c>
      <c r="G442">
        <v>5.75</v>
      </c>
      <c r="L442">
        <v>0</v>
      </c>
      <c r="O442">
        <v>0</v>
      </c>
      <c r="P442" t="s">
        <v>3858</v>
      </c>
      <c r="Q442" t="s">
        <v>3603</v>
      </c>
      <c r="R442">
        <v>145</v>
      </c>
      <c r="S442" t="s">
        <v>3604</v>
      </c>
      <c r="T442" s="2">
        <v>45047</v>
      </c>
      <c r="U442">
        <v>2023</v>
      </c>
      <c r="V442">
        <v>0.72409999999999997</v>
      </c>
      <c r="AA442">
        <v>0.27589999999999998</v>
      </c>
    </row>
    <row r="443" spans="2:27" x14ac:dyDescent="0.25">
      <c r="B443" t="s">
        <v>1278</v>
      </c>
    </row>
    <row r="444" spans="2:27" x14ac:dyDescent="0.25">
      <c r="B444" t="s">
        <v>1281</v>
      </c>
      <c r="C444" t="s">
        <v>3663</v>
      </c>
      <c r="D444">
        <v>2025</v>
      </c>
      <c r="E444" s="2">
        <v>45685</v>
      </c>
      <c r="F444">
        <v>12.25</v>
      </c>
      <c r="G444">
        <v>4.09</v>
      </c>
      <c r="H444">
        <v>10.050000000000001</v>
      </c>
      <c r="I444">
        <v>3.16</v>
      </c>
      <c r="J444">
        <v>2.19</v>
      </c>
      <c r="K444">
        <v>0.71</v>
      </c>
      <c r="L444">
        <v>215</v>
      </c>
      <c r="O444">
        <v>0</v>
      </c>
      <c r="P444" t="s">
        <v>3675</v>
      </c>
      <c r="Q444" t="s">
        <v>3603</v>
      </c>
      <c r="R444">
        <v>240</v>
      </c>
      <c r="S444" t="s">
        <v>3604</v>
      </c>
      <c r="T444" s="2">
        <v>45047</v>
      </c>
      <c r="U444">
        <v>2023</v>
      </c>
      <c r="V444">
        <v>0.9</v>
      </c>
      <c r="AA444">
        <v>0.1</v>
      </c>
    </row>
    <row r="445" spans="2:27" x14ac:dyDescent="0.25">
      <c r="B445" t="s">
        <v>1285</v>
      </c>
      <c r="C445" t="s">
        <v>3663</v>
      </c>
      <c r="D445">
        <v>2025</v>
      </c>
      <c r="E445" s="2">
        <v>45681</v>
      </c>
      <c r="F445">
        <v>15.32</v>
      </c>
      <c r="G445">
        <v>3.59</v>
      </c>
      <c r="H445">
        <v>11.53</v>
      </c>
      <c r="I445">
        <v>2.33</v>
      </c>
      <c r="J445">
        <v>2.38</v>
      </c>
      <c r="K445">
        <v>0.63</v>
      </c>
      <c r="L445">
        <v>116</v>
      </c>
      <c r="O445">
        <v>0</v>
      </c>
      <c r="P445" t="s">
        <v>3664</v>
      </c>
      <c r="Q445" t="s">
        <v>3603</v>
      </c>
      <c r="R445">
        <v>117</v>
      </c>
      <c r="S445" t="s">
        <v>3604</v>
      </c>
      <c r="T445" s="2">
        <v>45047</v>
      </c>
      <c r="U445">
        <v>2023</v>
      </c>
      <c r="V445">
        <v>0.99150000000000005</v>
      </c>
      <c r="AA445">
        <v>8.5000000000000006E-3</v>
      </c>
    </row>
    <row r="446" spans="2:27" x14ac:dyDescent="0.25">
      <c r="B446" t="s">
        <v>1288</v>
      </c>
      <c r="C446" t="s">
        <v>3665</v>
      </c>
      <c r="D446">
        <v>2025</v>
      </c>
      <c r="E446" s="2">
        <v>45721</v>
      </c>
      <c r="F446">
        <v>18.899999999999999</v>
      </c>
      <c r="G446">
        <v>2.66</v>
      </c>
      <c r="J446">
        <v>3.64</v>
      </c>
      <c r="K446">
        <v>1.52</v>
      </c>
      <c r="L446">
        <v>7</v>
      </c>
      <c r="M446">
        <v>1.19</v>
      </c>
      <c r="N446">
        <v>1.8</v>
      </c>
      <c r="O446">
        <v>4.7699999999999996</v>
      </c>
      <c r="P446" t="s">
        <v>3666</v>
      </c>
      <c r="Q446" t="s">
        <v>3603</v>
      </c>
      <c r="R446">
        <v>108</v>
      </c>
      <c r="S446" t="s">
        <v>3604</v>
      </c>
      <c r="T446" s="2">
        <v>45047</v>
      </c>
      <c r="U446">
        <v>2023</v>
      </c>
      <c r="V446">
        <v>1</v>
      </c>
      <c r="AA446">
        <v>0</v>
      </c>
    </row>
    <row r="447" spans="2:27" x14ac:dyDescent="0.25">
      <c r="B447" t="s">
        <v>1289</v>
      </c>
      <c r="C447" t="s">
        <v>3665</v>
      </c>
      <c r="D447">
        <v>2025</v>
      </c>
      <c r="E447" s="2">
        <v>45721</v>
      </c>
      <c r="F447">
        <v>3.37</v>
      </c>
      <c r="G447">
        <v>1.55</v>
      </c>
      <c r="J447">
        <v>0.51</v>
      </c>
      <c r="K447">
        <v>0.06</v>
      </c>
      <c r="L447">
        <v>109</v>
      </c>
      <c r="O447">
        <v>0</v>
      </c>
      <c r="P447" t="s">
        <v>3667</v>
      </c>
      <c r="Q447" t="s">
        <v>3603</v>
      </c>
      <c r="R447">
        <v>110</v>
      </c>
      <c r="S447" t="s">
        <v>3604</v>
      </c>
      <c r="T447" s="2">
        <v>45047</v>
      </c>
      <c r="U447">
        <v>2023</v>
      </c>
      <c r="V447">
        <v>0.9909</v>
      </c>
      <c r="AA447">
        <v>9.1000000000000004E-3</v>
      </c>
    </row>
    <row r="448" spans="2:27" x14ac:dyDescent="0.25">
      <c r="B448" t="s">
        <v>1293</v>
      </c>
      <c r="D448">
        <v>2025</v>
      </c>
      <c r="F448">
        <v>8.69</v>
      </c>
      <c r="G448">
        <v>2.87</v>
      </c>
      <c r="L448">
        <v>0</v>
      </c>
      <c r="O448">
        <v>0</v>
      </c>
      <c r="P448" t="s">
        <v>3859</v>
      </c>
      <c r="Q448" t="s">
        <v>3603</v>
      </c>
      <c r="R448">
        <v>200</v>
      </c>
      <c r="S448" t="s">
        <v>3604</v>
      </c>
      <c r="T448" s="2">
        <v>45047</v>
      </c>
      <c r="U448">
        <v>2023</v>
      </c>
      <c r="V448">
        <v>0.88500000000000001</v>
      </c>
      <c r="AA448">
        <v>0.115</v>
      </c>
    </row>
    <row r="449" spans="2:27" x14ac:dyDescent="0.25">
      <c r="B449" t="s">
        <v>1293</v>
      </c>
    </row>
    <row r="450" spans="2:27" x14ac:dyDescent="0.25">
      <c r="B450" t="s">
        <v>1297</v>
      </c>
      <c r="C450" t="s">
        <v>3668</v>
      </c>
      <c r="D450">
        <v>2025</v>
      </c>
      <c r="E450" s="2">
        <v>45706</v>
      </c>
      <c r="F450">
        <v>9.49</v>
      </c>
      <c r="G450">
        <v>2.4900000000000002</v>
      </c>
      <c r="H450">
        <v>9.02</v>
      </c>
      <c r="I450">
        <v>2.71</v>
      </c>
      <c r="J450">
        <v>1.57</v>
      </c>
      <c r="K450">
        <v>0.46</v>
      </c>
      <c r="L450">
        <v>76</v>
      </c>
      <c r="O450">
        <v>0</v>
      </c>
      <c r="P450" t="s">
        <v>3669</v>
      </c>
      <c r="Q450" t="s">
        <v>3603</v>
      </c>
      <c r="R450">
        <v>77</v>
      </c>
      <c r="S450" t="s">
        <v>3604</v>
      </c>
      <c r="T450" s="2">
        <v>45047</v>
      </c>
      <c r="U450">
        <v>2023</v>
      </c>
      <c r="V450">
        <v>0.98699999999999999</v>
      </c>
      <c r="AA450">
        <v>1.2999999999999999E-2</v>
      </c>
    </row>
    <row r="451" spans="2:27" x14ac:dyDescent="0.25">
      <c r="B451" t="s">
        <v>1298</v>
      </c>
    </row>
    <row r="452" spans="2:27" x14ac:dyDescent="0.25">
      <c r="B452" t="s">
        <v>1299</v>
      </c>
    </row>
    <row r="453" spans="2:27" x14ac:dyDescent="0.25">
      <c r="B453" t="s">
        <v>1300</v>
      </c>
      <c r="D453">
        <v>2025</v>
      </c>
      <c r="F453">
        <v>2.4900000000000002</v>
      </c>
      <c r="G453">
        <v>1.69</v>
      </c>
      <c r="L453">
        <v>0</v>
      </c>
      <c r="O453">
        <v>0</v>
      </c>
      <c r="P453" t="s">
        <v>3860</v>
      </c>
      <c r="Q453" t="s">
        <v>3603</v>
      </c>
      <c r="R453">
        <v>230</v>
      </c>
      <c r="S453" t="s">
        <v>3604</v>
      </c>
      <c r="T453" s="2">
        <v>45047</v>
      </c>
      <c r="U453">
        <v>2023</v>
      </c>
      <c r="V453">
        <v>0.6</v>
      </c>
      <c r="AA453">
        <v>0.4</v>
      </c>
    </row>
    <row r="454" spans="2:27" x14ac:dyDescent="0.25">
      <c r="B454" t="s">
        <v>1300</v>
      </c>
    </row>
    <row r="455" spans="2:27" x14ac:dyDescent="0.25">
      <c r="B455" t="s">
        <v>1303</v>
      </c>
      <c r="D455">
        <v>2025</v>
      </c>
      <c r="F455">
        <v>1.81</v>
      </c>
      <c r="G455">
        <v>0.75</v>
      </c>
      <c r="L455">
        <v>0</v>
      </c>
      <c r="O455">
        <v>0</v>
      </c>
      <c r="P455" t="s">
        <v>3861</v>
      </c>
      <c r="Q455" t="s">
        <v>3603</v>
      </c>
      <c r="R455">
        <v>133</v>
      </c>
      <c r="S455" t="s">
        <v>3604</v>
      </c>
      <c r="T455" s="2">
        <v>45413</v>
      </c>
      <c r="U455">
        <v>2024</v>
      </c>
      <c r="V455">
        <v>0.84960000000000002</v>
      </c>
      <c r="AA455">
        <v>0.15040000000000001</v>
      </c>
    </row>
    <row r="456" spans="2:27" x14ac:dyDescent="0.25">
      <c r="B456" t="s">
        <v>1303</v>
      </c>
    </row>
    <row r="457" spans="2:27" x14ac:dyDescent="0.25">
      <c r="B457" t="s">
        <v>1304</v>
      </c>
      <c r="D457">
        <v>2025</v>
      </c>
      <c r="F457">
        <v>0.97</v>
      </c>
      <c r="G457">
        <v>0.49</v>
      </c>
      <c r="L457">
        <v>0</v>
      </c>
      <c r="O457">
        <v>0</v>
      </c>
      <c r="P457" t="s">
        <v>3862</v>
      </c>
      <c r="Q457" t="s">
        <v>3603</v>
      </c>
      <c r="R457">
        <v>366</v>
      </c>
      <c r="S457" t="s">
        <v>3604</v>
      </c>
      <c r="T457" s="2">
        <v>45413</v>
      </c>
      <c r="U457">
        <v>2024</v>
      </c>
      <c r="V457">
        <v>0.80600000000000005</v>
      </c>
      <c r="AA457">
        <v>0.19400000000000001</v>
      </c>
    </row>
    <row r="458" spans="2:27" x14ac:dyDescent="0.25">
      <c r="B458" t="s">
        <v>1304</v>
      </c>
    </row>
    <row r="459" spans="2:27" x14ac:dyDescent="0.25">
      <c r="B459" t="s">
        <v>1308</v>
      </c>
      <c r="D459">
        <v>2025</v>
      </c>
      <c r="F459">
        <v>1.89</v>
      </c>
      <c r="G459">
        <v>0.92</v>
      </c>
      <c r="L459">
        <v>0</v>
      </c>
      <c r="O459">
        <v>0</v>
      </c>
      <c r="P459" t="s">
        <v>3880</v>
      </c>
      <c r="Q459" t="s">
        <v>3603</v>
      </c>
      <c r="R459">
        <v>102</v>
      </c>
      <c r="S459" t="s">
        <v>3604</v>
      </c>
      <c r="T459" s="2">
        <v>45413</v>
      </c>
      <c r="U459">
        <v>2024</v>
      </c>
      <c r="V459">
        <v>0.92159999999999997</v>
      </c>
      <c r="AA459">
        <v>7.8399999999999997E-2</v>
      </c>
    </row>
    <row r="460" spans="2:27" x14ac:dyDescent="0.25">
      <c r="B460" t="s">
        <v>1308</v>
      </c>
    </row>
    <row r="461" spans="2:27" x14ac:dyDescent="0.25">
      <c r="B461" t="s">
        <v>1311</v>
      </c>
      <c r="C461" t="s">
        <v>3670</v>
      </c>
      <c r="D461">
        <v>2025</v>
      </c>
      <c r="E461" s="2">
        <v>45688</v>
      </c>
      <c r="F461">
        <v>4.28</v>
      </c>
      <c r="G461">
        <v>1.84</v>
      </c>
      <c r="J461">
        <v>0.97</v>
      </c>
      <c r="K461">
        <v>0.33</v>
      </c>
      <c r="L461">
        <v>75</v>
      </c>
      <c r="O461">
        <v>0</v>
      </c>
      <c r="P461" t="s">
        <v>3671</v>
      </c>
      <c r="Q461" t="s">
        <v>3603</v>
      </c>
      <c r="R461">
        <v>84</v>
      </c>
      <c r="S461" t="s">
        <v>3604</v>
      </c>
      <c r="T461" s="2">
        <v>45413</v>
      </c>
      <c r="U461">
        <v>2024</v>
      </c>
      <c r="V461">
        <v>0.89290000000000003</v>
      </c>
      <c r="AA461">
        <v>0.1071</v>
      </c>
    </row>
    <row r="462" spans="2:27" x14ac:dyDescent="0.25">
      <c r="B462" t="s">
        <v>1315</v>
      </c>
      <c r="C462" t="s">
        <v>3672</v>
      </c>
      <c r="D462">
        <v>2025</v>
      </c>
      <c r="E462" s="2">
        <v>45721</v>
      </c>
      <c r="F462">
        <v>7.11</v>
      </c>
      <c r="G462">
        <v>3.04</v>
      </c>
      <c r="J462">
        <v>0.85</v>
      </c>
      <c r="K462">
        <v>0.23</v>
      </c>
      <c r="L462">
        <v>72</v>
      </c>
      <c r="O462">
        <v>0</v>
      </c>
      <c r="P462" t="s">
        <v>3673</v>
      </c>
      <c r="Q462" t="s">
        <v>3603</v>
      </c>
      <c r="R462">
        <v>79</v>
      </c>
      <c r="S462" t="s">
        <v>3604</v>
      </c>
      <c r="T462" s="2">
        <v>45413</v>
      </c>
      <c r="U462">
        <v>2024</v>
      </c>
      <c r="V462">
        <v>0.91139999999999999</v>
      </c>
      <c r="AA462">
        <v>8.8599999999999998E-2</v>
      </c>
    </row>
    <row r="463" spans="2:27" x14ac:dyDescent="0.25">
      <c r="B463" t="s">
        <v>1316</v>
      </c>
      <c r="C463" t="s">
        <v>3672</v>
      </c>
      <c r="D463">
        <v>2025</v>
      </c>
      <c r="E463" s="2">
        <v>45721</v>
      </c>
      <c r="F463">
        <v>5.83</v>
      </c>
      <c r="G463">
        <v>2.21</v>
      </c>
      <c r="J463">
        <v>0.84</v>
      </c>
      <c r="K463">
        <v>0.23</v>
      </c>
      <c r="L463">
        <v>74</v>
      </c>
      <c r="O463">
        <v>0</v>
      </c>
      <c r="P463" t="s">
        <v>3674</v>
      </c>
      <c r="Q463" t="s">
        <v>3603</v>
      </c>
      <c r="R463">
        <v>76</v>
      </c>
      <c r="S463" t="s">
        <v>3604</v>
      </c>
      <c r="T463" s="2">
        <v>45413</v>
      </c>
      <c r="U463">
        <v>2024</v>
      </c>
      <c r="V463">
        <v>0.97370000000000001</v>
      </c>
      <c r="AA463">
        <v>2.63E-2</v>
      </c>
    </row>
    <row r="464" spans="2:27" x14ac:dyDescent="0.25">
      <c r="B464" t="s">
        <v>1319</v>
      </c>
      <c r="D464">
        <v>2025</v>
      </c>
      <c r="F464">
        <v>5.68</v>
      </c>
      <c r="G464">
        <v>1.66</v>
      </c>
      <c r="L464">
        <v>0</v>
      </c>
      <c r="O464">
        <v>0</v>
      </c>
      <c r="P464" t="s">
        <v>3876</v>
      </c>
      <c r="Q464" t="s">
        <v>3603</v>
      </c>
      <c r="R464">
        <v>156</v>
      </c>
      <c r="S464" t="s">
        <v>3604</v>
      </c>
      <c r="T464" s="2">
        <v>45413</v>
      </c>
      <c r="U464">
        <v>2024</v>
      </c>
      <c r="V464">
        <v>0.5897</v>
      </c>
      <c r="AA464">
        <v>0.4103</v>
      </c>
    </row>
    <row r="465" spans="2:27" x14ac:dyDescent="0.25">
      <c r="B465" t="s">
        <v>1319</v>
      </c>
    </row>
    <row r="466" spans="2:27" x14ac:dyDescent="0.25">
      <c r="B466" t="s">
        <v>1322</v>
      </c>
      <c r="C466" t="s">
        <v>3672</v>
      </c>
      <c r="D466">
        <v>2025</v>
      </c>
      <c r="E466" s="2">
        <v>45722</v>
      </c>
      <c r="F466">
        <v>2.0299999999999998</v>
      </c>
      <c r="G466">
        <v>0.8</v>
      </c>
      <c r="J466">
        <v>0.5</v>
      </c>
      <c r="K466">
        <v>0</v>
      </c>
      <c r="L466">
        <v>27</v>
      </c>
      <c r="O466">
        <v>0</v>
      </c>
      <c r="P466" t="s">
        <v>3746</v>
      </c>
      <c r="Q466" t="s">
        <v>3603</v>
      </c>
      <c r="R466">
        <v>130</v>
      </c>
      <c r="S466" t="s">
        <v>3604</v>
      </c>
      <c r="T466" s="2">
        <v>45413</v>
      </c>
      <c r="U466">
        <v>2024</v>
      </c>
      <c r="V466">
        <v>0.2077</v>
      </c>
      <c r="AA466">
        <v>0.7923</v>
      </c>
    </row>
    <row r="467" spans="2:27" x14ac:dyDescent="0.25">
      <c r="B467" t="s">
        <v>1325</v>
      </c>
      <c r="D467">
        <v>2025</v>
      </c>
      <c r="F467">
        <v>0.5</v>
      </c>
      <c r="G467">
        <v>0</v>
      </c>
      <c r="H467">
        <v>0.5</v>
      </c>
      <c r="I467">
        <v>0</v>
      </c>
      <c r="L467">
        <v>0</v>
      </c>
      <c r="O467">
        <v>0</v>
      </c>
      <c r="P467" t="s">
        <v>3877</v>
      </c>
      <c r="Q467" t="s">
        <v>3603</v>
      </c>
      <c r="R467">
        <v>99</v>
      </c>
      <c r="S467" t="s">
        <v>3604</v>
      </c>
      <c r="T467" s="2">
        <v>45413</v>
      </c>
      <c r="U467">
        <v>2024</v>
      </c>
      <c r="V467">
        <v>3.0300000000000001E-2</v>
      </c>
      <c r="AA467">
        <v>0.96970000000000001</v>
      </c>
    </row>
    <row r="468" spans="2:27" x14ac:dyDescent="0.25">
      <c r="B468" t="s">
        <v>1325</v>
      </c>
    </row>
    <row r="469" spans="2:27" x14ac:dyDescent="0.25">
      <c r="B469" t="s">
        <v>1326</v>
      </c>
      <c r="C469" t="s">
        <v>3672</v>
      </c>
      <c r="D469">
        <v>2025</v>
      </c>
      <c r="E469" s="2">
        <v>45722</v>
      </c>
      <c r="F469">
        <v>0.68</v>
      </c>
      <c r="G469">
        <v>0.27</v>
      </c>
      <c r="H469">
        <v>0.67</v>
      </c>
      <c r="I469">
        <v>0.28000000000000003</v>
      </c>
      <c r="J469">
        <v>0.5</v>
      </c>
      <c r="K469">
        <v>0</v>
      </c>
      <c r="L469">
        <v>99</v>
      </c>
      <c r="O469">
        <v>0</v>
      </c>
      <c r="P469" t="s">
        <v>3786</v>
      </c>
      <c r="Q469" t="s">
        <v>3603</v>
      </c>
      <c r="R469">
        <v>273</v>
      </c>
      <c r="S469" t="s">
        <v>3604</v>
      </c>
      <c r="T469" s="2">
        <v>45413</v>
      </c>
      <c r="U469">
        <v>2024</v>
      </c>
      <c r="V469">
        <v>0.72529999999999994</v>
      </c>
      <c r="AA469">
        <v>0.2747</v>
      </c>
    </row>
    <row r="470" spans="2:27" x14ac:dyDescent="0.25">
      <c r="B470" t="s">
        <v>1327</v>
      </c>
      <c r="D470">
        <v>2025</v>
      </c>
      <c r="F470">
        <v>1.31</v>
      </c>
      <c r="G470">
        <v>0.53</v>
      </c>
      <c r="L470">
        <v>0</v>
      </c>
      <c r="O470">
        <v>0</v>
      </c>
      <c r="P470" t="s">
        <v>3878</v>
      </c>
      <c r="Q470" t="s">
        <v>3603</v>
      </c>
      <c r="R470">
        <v>186</v>
      </c>
      <c r="S470" t="s">
        <v>3604</v>
      </c>
      <c r="T470" s="2">
        <v>45413</v>
      </c>
      <c r="U470">
        <v>2024</v>
      </c>
      <c r="V470">
        <v>0.73660000000000003</v>
      </c>
      <c r="AA470">
        <v>0.26340000000000002</v>
      </c>
    </row>
    <row r="471" spans="2:27" x14ac:dyDescent="0.25">
      <c r="B471" t="s">
        <v>1327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U689"/>
  <sheetViews>
    <sheetView topLeftCell="B427" workbookViewId="0">
      <selection activeCell="Q688" sqref="Q428:U688"/>
    </sheetView>
  </sheetViews>
  <sheetFormatPr baseColWidth="10" defaultColWidth="9.140625" defaultRowHeight="15" x14ac:dyDescent="0.25"/>
  <cols>
    <col min="1" max="1" width="13.42578125" bestFit="1" customWidth="1"/>
    <col min="2" max="2" width="27.7109375" bestFit="1" customWidth="1"/>
    <col min="3" max="3" width="12.42578125" bestFit="1" customWidth="1"/>
    <col min="4" max="13" width="10.5703125" bestFit="1" customWidth="1"/>
    <col min="14" max="14" width="18.42578125" bestFit="1" customWidth="1"/>
    <col min="17" max="17" width="16" bestFit="1" customWidth="1"/>
    <col min="18" max="18" width="35.5703125" bestFit="1" customWidth="1"/>
    <col min="19" max="19" width="26.7109375" bestFit="1" customWidth="1"/>
    <col min="20" max="20" width="19.42578125" bestFit="1" customWidth="1"/>
    <col min="21" max="22" width="20.5703125" bestFit="1" customWidth="1"/>
  </cols>
  <sheetData>
    <row r="1" spans="1:14" x14ac:dyDescent="0.25">
      <c r="A1" s="1" t="s">
        <v>0</v>
      </c>
      <c r="B1" s="1" t="s">
        <v>1345</v>
      </c>
      <c r="C1" s="1" t="s">
        <v>3901</v>
      </c>
      <c r="D1" s="1" t="s">
        <v>3902</v>
      </c>
      <c r="E1" s="1" t="s">
        <v>3903</v>
      </c>
      <c r="F1" s="1" t="s">
        <v>3904</v>
      </c>
      <c r="G1" s="1" t="s">
        <v>3905</v>
      </c>
      <c r="H1" s="1" t="s">
        <v>3906</v>
      </c>
      <c r="I1" s="1" t="s">
        <v>3907</v>
      </c>
      <c r="J1" s="1" t="s">
        <v>3908</v>
      </c>
      <c r="K1" s="1" t="s">
        <v>3909</v>
      </c>
      <c r="L1" s="1" t="s">
        <v>3910</v>
      </c>
      <c r="M1" s="1" t="s">
        <v>3911</v>
      </c>
      <c r="N1" s="1" t="s">
        <v>3912</v>
      </c>
    </row>
    <row r="2" spans="1:14" hidden="1" x14ac:dyDescent="0.25">
      <c r="A2" t="s">
        <v>19</v>
      </c>
      <c r="B2" t="s">
        <v>3571</v>
      </c>
      <c r="C2">
        <v>0</v>
      </c>
      <c r="N2">
        <v>0</v>
      </c>
    </row>
    <row r="3" spans="1:14" hidden="1" x14ac:dyDescent="0.25">
      <c r="A3" t="s">
        <v>23</v>
      </c>
      <c r="B3" t="s">
        <v>3571</v>
      </c>
      <c r="C3">
        <v>0</v>
      </c>
      <c r="N3">
        <v>0</v>
      </c>
    </row>
    <row r="4" spans="1:14" hidden="1" x14ac:dyDescent="0.25">
      <c r="A4" t="s">
        <v>26</v>
      </c>
      <c r="B4" t="s">
        <v>3571</v>
      </c>
      <c r="C4">
        <v>0</v>
      </c>
      <c r="N4">
        <v>0</v>
      </c>
    </row>
    <row r="5" spans="1:14" hidden="1" x14ac:dyDescent="0.25">
      <c r="A5" t="s">
        <v>30</v>
      </c>
      <c r="B5" t="s">
        <v>3571</v>
      </c>
      <c r="C5">
        <v>0</v>
      </c>
      <c r="N5">
        <v>0</v>
      </c>
    </row>
    <row r="6" spans="1:14" hidden="1" x14ac:dyDescent="0.25">
      <c r="A6" t="s">
        <v>34</v>
      </c>
      <c r="B6" t="s">
        <v>3571</v>
      </c>
      <c r="C6">
        <v>0</v>
      </c>
      <c r="N6">
        <v>0</v>
      </c>
    </row>
    <row r="7" spans="1:14" hidden="1" x14ac:dyDescent="0.25">
      <c r="A7" t="s">
        <v>38</v>
      </c>
      <c r="B7" t="s">
        <v>3571</v>
      </c>
      <c r="C7">
        <v>0</v>
      </c>
      <c r="N7">
        <v>0</v>
      </c>
    </row>
    <row r="8" spans="1:14" hidden="1" x14ac:dyDescent="0.25">
      <c r="A8" t="s">
        <v>42</v>
      </c>
      <c r="B8" t="s">
        <v>3571</v>
      </c>
      <c r="C8">
        <v>0.155</v>
      </c>
      <c r="I8">
        <v>62</v>
      </c>
      <c r="N8">
        <v>62</v>
      </c>
    </row>
    <row r="9" spans="1:14" hidden="1" x14ac:dyDescent="0.25">
      <c r="A9" t="s">
        <v>46</v>
      </c>
      <c r="B9" t="s">
        <v>3571</v>
      </c>
      <c r="C9">
        <v>0</v>
      </c>
      <c r="N9">
        <v>0</v>
      </c>
    </row>
    <row r="10" spans="1:14" hidden="1" x14ac:dyDescent="0.25">
      <c r="A10" t="s">
        <v>49</v>
      </c>
      <c r="B10" t="s">
        <v>3571</v>
      </c>
      <c r="C10">
        <v>0</v>
      </c>
      <c r="N10">
        <v>0</v>
      </c>
    </row>
    <row r="11" spans="1:14" hidden="1" x14ac:dyDescent="0.25">
      <c r="A11" t="s">
        <v>53</v>
      </c>
      <c r="B11" t="s">
        <v>3571</v>
      </c>
      <c r="C11">
        <v>0</v>
      </c>
      <c r="N11">
        <v>0</v>
      </c>
    </row>
    <row r="12" spans="1:14" hidden="1" x14ac:dyDescent="0.25">
      <c r="A12" t="s">
        <v>56</v>
      </c>
      <c r="B12" t="s">
        <v>3571</v>
      </c>
      <c r="C12">
        <v>0</v>
      </c>
      <c r="N12">
        <v>0</v>
      </c>
    </row>
    <row r="13" spans="1:14" hidden="1" x14ac:dyDescent="0.25">
      <c r="A13" t="s">
        <v>59</v>
      </c>
      <c r="B13" t="s">
        <v>3571</v>
      </c>
      <c r="C13">
        <v>0</v>
      </c>
      <c r="N13">
        <v>0</v>
      </c>
    </row>
    <row r="14" spans="1:14" hidden="1" x14ac:dyDescent="0.25">
      <c r="A14" t="s">
        <v>63</v>
      </c>
      <c r="B14" t="s">
        <v>3571</v>
      </c>
      <c r="C14">
        <v>0.75</v>
      </c>
      <c r="F14">
        <v>550</v>
      </c>
      <c r="G14">
        <v>200</v>
      </c>
      <c r="N14">
        <v>750</v>
      </c>
    </row>
    <row r="15" spans="1:14" hidden="1" x14ac:dyDescent="0.25">
      <c r="A15" t="s">
        <v>1438</v>
      </c>
      <c r="B15" t="s">
        <v>3571</v>
      </c>
      <c r="C15">
        <v>0</v>
      </c>
      <c r="N15">
        <v>0</v>
      </c>
    </row>
    <row r="16" spans="1:14" hidden="1" x14ac:dyDescent="0.25">
      <c r="A16" t="s">
        <v>66</v>
      </c>
      <c r="B16" t="s">
        <v>3571</v>
      </c>
      <c r="C16">
        <v>0</v>
      </c>
      <c r="I16">
        <v>0</v>
      </c>
      <c r="N16">
        <v>0</v>
      </c>
    </row>
    <row r="17" spans="1:14" hidden="1" x14ac:dyDescent="0.25">
      <c r="A17" t="s">
        <v>67</v>
      </c>
      <c r="B17" t="s">
        <v>3571</v>
      </c>
      <c r="C17">
        <v>0</v>
      </c>
      <c r="N17">
        <v>0</v>
      </c>
    </row>
    <row r="18" spans="1:14" hidden="1" x14ac:dyDescent="0.25">
      <c r="A18" t="s">
        <v>70</v>
      </c>
      <c r="B18" t="s">
        <v>3571</v>
      </c>
      <c r="C18">
        <v>0</v>
      </c>
      <c r="N18">
        <v>0</v>
      </c>
    </row>
    <row r="19" spans="1:14" hidden="1" x14ac:dyDescent="0.25">
      <c r="A19" t="s">
        <v>74</v>
      </c>
      <c r="B19" t="s">
        <v>3571</v>
      </c>
      <c r="C19">
        <v>0</v>
      </c>
      <c r="N19">
        <v>0</v>
      </c>
    </row>
    <row r="20" spans="1:14" hidden="1" x14ac:dyDescent="0.25">
      <c r="A20" t="s">
        <v>77</v>
      </c>
      <c r="B20" t="s">
        <v>3571</v>
      </c>
      <c r="C20">
        <v>0</v>
      </c>
      <c r="N20">
        <v>0</v>
      </c>
    </row>
    <row r="21" spans="1:14" hidden="1" x14ac:dyDescent="0.25">
      <c r="A21" t="s">
        <v>81</v>
      </c>
      <c r="B21" t="s">
        <v>3571</v>
      </c>
      <c r="C21">
        <v>0</v>
      </c>
      <c r="N21">
        <v>0</v>
      </c>
    </row>
    <row r="22" spans="1:14" hidden="1" x14ac:dyDescent="0.25">
      <c r="A22" t="s">
        <v>85</v>
      </c>
      <c r="B22" t="s">
        <v>3571</v>
      </c>
      <c r="C22">
        <v>0</v>
      </c>
      <c r="N22">
        <v>0</v>
      </c>
    </row>
    <row r="23" spans="1:14" hidden="1" x14ac:dyDescent="0.25">
      <c r="A23" t="s">
        <v>89</v>
      </c>
      <c r="B23" t="s">
        <v>3571</v>
      </c>
      <c r="C23">
        <v>0</v>
      </c>
      <c r="N23">
        <v>0</v>
      </c>
    </row>
    <row r="24" spans="1:14" hidden="1" x14ac:dyDescent="0.25">
      <c r="A24" t="s">
        <v>92</v>
      </c>
      <c r="B24" t="s">
        <v>3571</v>
      </c>
      <c r="C24">
        <v>6.6666666666666666E-2</v>
      </c>
      <c r="H24">
        <v>50</v>
      </c>
      <c r="N24">
        <v>50</v>
      </c>
    </row>
    <row r="25" spans="1:14" hidden="1" x14ac:dyDescent="0.25">
      <c r="A25" t="s">
        <v>95</v>
      </c>
      <c r="B25" t="s">
        <v>3571</v>
      </c>
      <c r="C25">
        <v>0</v>
      </c>
      <c r="N25">
        <v>0</v>
      </c>
    </row>
    <row r="26" spans="1:14" hidden="1" x14ac:dyDescent="0.25">
      <c r="A26" t="s">
        <v>98</v>
      </c>
      <c r="B26" t="s">
        <v>3571</v>
      </c>
      <c r="C26">
        <v>0</v>
      </c>
      <c r="N26">
        <v>0</v>
      </c>
    </row>
    <row r="27" spans="1:14" hidden="1" x14ac:dyDescent="0.25">
      <c r="A27" t="s">
        <v>99</v>
      </c>
      <c r="B27" t="s">
        <v>3571</v>
      </c>
      <c r="C27">
        <v>0</v>
      </c>
      <c r="N27">
        <v>0</v>
      </c>
    </row>
    <row r="28" spans="1:14" hidden="1" x14ac:dyDescent="0.25">
      <c r="A28" t="s">
        <v>100</v>
      </c>
      <c r="B28" t="s">
        <v>3571</v>
      </c>
      <c r="C28">
        <v>0</v>
      </c>
      <c r="N28">
        <v>0</v>
      </c>
    </row>
    <row r="29" spans="1:14" hidden="1" x14ac:dyDescent="0.25">
      <c r="A29" t="s">
        <v>103</v>
      </c>
      <c r="B29" t="s">
        <v>3571</v>
      </c>
      <c r="C29">
        <v>0.85</v>
      </c>
      <c r="G29">
        <v>1700</v>
      </c>
      <c r="N29">
        <v>1700</v>
      </c>
    </row>
    <row r="30" spans="1:14" hidden="1" x14ac:dyDescent="0.25">
      <c r="A30" t="s">
        <v>107</v>
      </c>
      <c r="B30" t="s">
        <v>3571</v>
      </c>
      <c r="C30">
        <v>0.8</v>
      </c>
      <c r="G30">
        <v>300</v>
      </c>
      <c r="H30">
        <v>100</v>
      </c>
      <c r="N30">
        <v>400</v>
      </c>
    </row>
    <row r="31" spans="1:14" hidden="1" x14ac:dyDescent="0.25">
      <c r="A31" t="s">
        <v>110</v>
      </c>
      <c r="B31" t="s">
        <v>3571</v>
      </c>
      <c r="C31">
        <v>0.94</v>
      </c>
      <c r="G31">
        <v>640</v>
      </c>
      <c r="H31">
        <v>300</v>
      </c>
      <c r="N31">
        <v>940</v>
      </c>
    </row>
    <row r="32" spans="1:14" hidden="1" x14ac:dyDescent="0.25">
      <c r="A32" t="s">
        <v>113</v>
      </c>
      <c r="B32" t="s">
        <v>3571</v>
      </c>
      <c r="C32">
        <v>0</v>
      </c>
      <c r="N32">
        <v>0</v>
      </c>
    </row>
    <row r="33" spans="1:14" hidden="1" x14ac:dyDescent="0.25">
      <c r="A33" t="s">
        <v>114</v>
      </c>
      <c r="B33" t="s">
        <v>3571</v>
      </c>
      <c r="C33">
        <v>0.5</v>
      </c>
      <c r="G33">
        <v>250</v>
      </c>
      <c r="H33">
        <v>250</v>
      </c>
      <c r="N33">
        <v>500</v>
      </c>
    </row>
    <row r="34" spans="1:14" hidden="1" x14ac:dyDescent="0.25">
      <c r="A34" t="s">
        <v>118</v>
      </c>
      <c r="B34" t="s">
        <v>3571</v>
      </c>
      <c r="C34">
        <v>0.27272727272727271</v>
      </c>
      <c r="G34">
        <v>300</v>
      </c>
      <c r="H34">
        <v>0</v>
      </c>
      <c r="N34">
        <v>300</v>
      </c>
    </row>
    <row r="35" spans="1:14" hidden="1" x14ac:dyDescent="0.25">
      <c r="A35" t="s">
        <v>121</v>
      </c>
      <c r="B35" t="s">
        <v>3571</v>
      </c>
      <c r="C35">
        <v>0</v>
      </c>
      <c r="N35">
        <v>0</v>
      </c>
    </row>
    <row r="36" spans="1:14" hidden="1" x14ac:dyDescent="0.25">
      <c r="A36" t="s">
        <v>124</v>
      </c>
      <c r="B36" t="s">
        <v>3571</v>
      </c>
      <c r="C36">
        <v>0.16666666666666671</v>
      </c>
      <c r="I36">
        <v>200</v>
      </c>
      <c r="N36">
        <v>200</v>
      </c>
    </row>
    <row r="37" spans="1:14" hidden="1" x14ac:dyDescent="0.25">
      <c r="A37" t="s">
        <v>127</v>
      </c>
      <c r="B37" t="s">
        <v>3571</v>
      </c>
      <c r="C37">
        <v>0</v>
      </c>
      <c r="N37">
        <v>0</v>
      </c>
    </row>
    <row r="38" spans="1:14" hidden="1" x14ac:dyDescent="0.25">
      <c r="A38" t="s">
        <v>131</v>
      </c>
      <c r="B38" t="s">
        <v>3571</v>
      </c>
      <c r="C38">
        <v>0.1</v>
      </c>
      <c r="H38">
        <v>400</v>
      </c>
      <c r="N38">
        <v>400</v>
      </c>
    </row>
    <row r="39" spans="1:14" hidden="1" x14ac:dyDescent="0.25">
      <c r="A39" t="s">
        <v>135</v>
      </c>
      <c r="B39" t="s">
        <v>3571</v>
      </c>
      <c r="C39">
        <v>0</v>
      </c>
      <c r="H39">
        <v>0</v>
      </c>
      <c r="N39">
        <v>0</v>
      </c>
    </row>
    <row r="40" spans="1:14" hidden="1" x14ac:dyDescent="0.25">
      <c r="A40" t="s">
        <v>138</v>
      </c>
      <c r="B40" t="s">
        <v>3571</v>
      </c>
      <c r="C40">
        <v>0.14285714285714279</v>
      </c>
      <c r="I40">
        <v>100</v>
      </c>
      <c r="N40">
        <v>100</v>
      </c>
    </row>
    <row r="41" spans="1:14" hidden="1" x14ac:dyDescent="0.25">
      <c r="A41" t="s">
        <v>142</v>
      </c>
      <c r="B41" t="s">
        <v>3571</v>
      </c>
      <c r="C41">
        <v>0</v>
      </c>
      <c r="N41">
        <v>0</v>
      </c>
    </row>
    <row r="42" spans="1:14" hidden="1" x14ac:dyDescent="0.25">
      <c r="A42" t="s">
        <v>146</v>
      </c>
      <c r="B42" t="s">
        <v>3571</v>
      </c>
      <c r="C42">
        <v>0.4</v>
      </c>
      <c r="I42">
        <v>800</v>
      </c>
      <c r="N42">
        <v>800</v>
      </c>
    </row>
    <row r="43" spans="1:14" hidden="1" x14ac:dyDescent="0.25">
      <c r="A43" t="s">
        <v>149</v>
      </c>
      <c r="B43" t="s">
        <v>3571</v>
      </c>
      <c r="C43">
        <v>0.34563758389261751</v>
      </c>
      <c r="H43">
        <v>655</v>
      </c>
      <c r="J43">
        <v>375</v>
      </c>
      <c r="N43">
        <v>1030</v>
      </c>
    </row>
    <row r="44" spans="1:14" hidden="1" x14ac:dyDescent="0.25">
      <c r="A44" t="s">
        <v>153</v>
      </c>
      <c r="B44" t="s">
        <v>3571</v>
      </c>
      <c r="C44">
        <v>0.22</v>
      </c>
      <c r="I44">
        <v>264</v>
      </c>
      <c r="N44">
        <v>264</v>
      </c>
    </row>
    <row r="45" spans="1:14" hidden="1" x14ac:dyDescent="0.25">
      <c r="A45" t="s">
        <v>156</v>
      </c>
      <c r="B45" t="s">
        <v>3571</v>
      </c>
      <c r="C45">
        <v>0.187</v>
      </c>
      <c r="I45">
        <v>90</v>
      </c>
      <c r="J45">
        <v>97</v>
      </c>
      <c r="N45">
        <v>187</v>
      </c>
    </row>
    <row r="46" spans="1:14" hidden="1" x14ac:dyDescent="0.25">
      <c r="A46" t="s">
        <v>159</v>
      </c>
      <c r="B46" t="s">
        <v>3571</v>
      </c>
      <c r="C46">
        <v>0.1111111111111111</v>
      </c>
      <c r="I46">
        <v>500</v>
      </c>
      <c r="N46">
        <v>500</v>
      </c>
    </row>
    <row r="47" spans="1:14" hidden="1" x14ac:dyDescent="0.25">
      <c r="A47" t="s">
        <v>162</v>
      </c>
      <c r="B47" t="s">
        <v>3571</v>
      </c>
      <c r="C47">
        <v>3.5000000000000003E-2</v>
      </c>
      <c r="H47">
        <v>70</v>
      </c>
      <c r="N47">
        <v>70</v>
      </c>
    </row>
    <row r="48" spans="1:14" hidden="1" x14ac:dyDescent="0.25">
      <c r="A48" t="s">
        <v>166</v>
      </c>
      <c r="B48" t="s">
        <v>3571</v>
      </c>
      <c r="C48">
        <v>0.1333333333333333</v>
      </c>
      <c r="I48">
        <v>160</v>
      </c>
      <c r="N48">
        <v>160</v>
      </c>
    </row>
    <row r="49" spans="1:14" hidden="1" x14ac:dyDescent="0.25">
      <c r="A49" t="s">
        <v>170</v>
      </c>
      <c r="B49" t="s">
        <v>3571</v>
      </c>
      <c r="C49">
        <v>0.2697222222222222</v>
      </c>
      <c r="J49">
        <v>971</v>
      </c>
      <c r="N49">
        <v>971</v>
      </c>
    </row>
    <row r="50" spans="1:14" hidden="1" x14ac:dyDescent="0.25">
      <c r="A50" t="s">
        <v>174</v>
      </c>
      <c r="B50" t="s">
        <v>3571</v>
      </c>
      <c r="C50">
        <v>0.1125</v>
      </c>
      <c r="I50">
        <v>135</v>
      </c>
      <c r="N50">
        <v>135</v>
      </c>
    </row>
    <row r="51" spans="1:14" hidden="1" x14ac:dyDescent="0.25">
      <c r="A51" t="s">
        <v>177</v>
      </c>
      <c r="B51" t="s">
        <v>3571</v>
      </c>
      <c r="C51">
        <v>1.1627906976744189E-2</v>
      </c>
      <c r="I51">
        <v>40</v>
      </c>
      <c r="N51">
        <v>40</v>
      </c>
    </row>
    <row r="52" spans="1:14" hidden="1" x14ac:dyDescent="0.25">
      <c r="A52" t="s">
        <v>180</v>
      </c>
      <c r="B52" t="s">
        <v>3571</v>
      </c>
      <c r="C52">
        <v>6.1538461538461542E-2</v>
      </c>
      <c r="I52">
        <v>80</v>
      </c>
      <c r="N52">
        <v>80</v>
      </c>
    </row>
    <row r="53" spans="1:14" hidden="1" x14ac:dyDescent="0.25">
      <c r="A53" t="s">
        <v>183</v>
      </c>
      <c r="B53" t="s">
        <v>3571</v>
      </c>
      <c r="C53">
        <v>0.46666666666666667</v>
      </c>
      <c r="I53">
        <v>300</v>
      </c>
      <c r="J53">
        <v>420</v>
      </c>
      <c r="K53">
        <v>400</v>
      </c>
      <c r="N53">
        <v>1120</v>
      </c>
    </row>
    <row r="54" spans="1:14" hidden="1" x14ac:dyDescent="0.25">
      <c r="A54" t="s">
        <v>187</v>
      </c>
      <c r="B54" t="s">
        <v>3571</v>
      </c>
      <c r="C54">
        <v>0.05</v>
      </c>
      <c r="J54">
        <v>50</v>
      </c>
      <c r="N54">
        <v>50</v>
      </c>
    </row>
    <row r="55" spans="1:14" hidden="1" x14ac:dyDescent="0.25">
      <c r="A55" t="s">
        <v>190</v>
      </c>
      <c r="B55" t="s">
        <v>3571</v>
      </c>
      <c r="C55">
        <v>0</v>
      </c>
      <c r="N55">
        <v>0</v>
      </c>
    </row>
    <row r="56" spans="1:14" hidden="1" x14ac:dyDescent="0.25">
      <c r="A56" t="s">
        <v>193</v>
      </c>
      <c r="B56" t="s">
        <v>3571</v>
      </c>
      <c r="C56">
        <v>0</v>
      </c>
      <c r="N56">
        <v>0</v>
      </c>
    </row>
    <row r="57" spans="1:14" hidden="1" x14ac:dyDescent="0.25">
      <c r="A57" t="s">
        <v>196</v>
      </c>
      <c r="B57" t="s">
        <v>3571</v>
      </c>
      <c r="C57">
        <v>0.21299999999999999</v>
      </c>
      <c r="I57">
        <v>852</v>
      </c>
      <c r="N57">
        <v>852</v>
      </c>
    </row>
    <row r="58" spans="1:14" hidden="1" x14ac:dyDescent="0.25">
      <c r="A58" t="s">
        <v>200</v>
      </c>
      <c r="B58" t="s">
        <v>3571</v>
      </c>
      <c r="C58">
        <v>0.4</v>
      </c>
      <c r="I58">
        <v>800</v>
      </c>
      <c r="N58">
        <v>800</v>
      </c>
    </row>
    <row r="59" spans="1:14" hidden="1" x14ac:dyDescent="0.25">
      <c r="A59" t="s">
        <v>203</v>
      </c>
      <c r="B59" t="s">
        <v>3571</v>
      </c>
      <c r="C59">
        <v>0.06</v>
      </c>
      <c r="I59">
        <v>120</v>
      </c>
      <c r="N59">
        <v>120</v>
      </c>
    </row>
    <row r="60" spans="1:14" hidden="1" x14ac:dyDescent="0.25">
      <c r="A60" t="s">
        <v>206</v>
      </c>
      <c r="B60" t="s">
        <v>3571</v>
      </c>
      <c r="C60">
        <v>0</v>
      </c>
      <c r="N60">
        <v>0</v>
      </c>
    </row>
    <row r="61" spans="1:14" hidden="1" x14ac:dyDescent="0.25">
      <c r="A61" t="s">
        <v>210</v>
      </c>
      <c r="B61" t="s">
        <v>3571</v>
      </c>
      <c r="C61">
        <v>0.215</v>
      </c>
      <c r="J61">
        <v>430</v>
      </c>
      <c r="N61">
        <v>430</v>
      </c>
    </row>
    <row r="62" spans="1:14" hidden="1" x14ac:dyDescent="0.25">
      <c r="A62" t="s">
        <v>213</v>
      </c>
      <c r="B62" t="s">
        <v>3571</v>
      </c>
      <c r="C62">
        <v>0.4</v>
      </c>
      <c r="I62">
        <v>200</v>
      </c>
      <c r="N62">
        <v>200</v>
      </c>
    </row>
    <row r="63" spans="1:14" hidden="1" x14ac:dyDescent="0.25">
      <c r="A63" t="s">
        <v>214</v>
      </c>
      <c r="B63" t="s">
        <v>3571</v>
      </c>
      <c r="C63">
        <v>0.19666666666666671</v>
      </c>
      <c r="I63">
        <v>236</v>
      </c>
      <c r="N63">
        <v>236</v>
      </c>
    </row>
    <row r="64" spans="1:14" hidden="1" x14ac:dyDescent="0.25">
      <c r="A64" t="s">
        <v>218</v>
      </c>
      <c r="B64" t="s">
        <v>3571</v>
      </c>
      <c r="C64">
        <v>0.2</v>
      </c>
      <c r="I64">
        <v>120</v>
      </c>
      <c r="N64">
        <v>120</v>
      </c>
    </row>
    <row r="65" spans="1:14" hidden="1" x14ac:dyDescent="0.25">
      <c r="A65" t="s">
        <v>221</v>
      </c>
      <c r="B65" t="s">
        <v>3571</v>
      </c>
      <c r="C65">
        <v>0</v>
      </c>
      <c r="N65">
        <v>0</v>
      </c>
    </row>
    <row r="66" spans="1:14" hidden="1" x14ac:dyDescent="0.25">
      <c r="A66" t="s">
        <v>225</v>
      </c>
      <c r="B66" t="s">
        <v>3571</v>
      </c>
      <c r="C66">
        <v>5.8823529411764712E-2</v>
      </c>
      <c r="J66">
        <v>100</v>
      </c>
      <c r="N66">
        <v>100</v>
      </c>
    </row>
    <row r="67" spans="1:14" hidden="1" x14ac:dyDescent="0.25">
      <c r="A67" t="s">
        <v>228</v>
      </c>
      <c r="B67" t="s">
        <v>3571</v>
      </c>
      <c r="C67">
        <v>0.12</v>
      </c>
      <c r="I67">
        <v>120</v>
      </c>
      <c r="N67">
        <v>120</v>
      </c>
    </row>
    <row r="68" spans="1:14" hidden="1" x14ac:dyDescent="0.25">
      <c r="A68" t="s">
        <v>232</v>
      </c>
      <c r="B68" t="s">
        <v>3571</v>
      </c>
      <c r="C68">
        <v>0</v>
      </c>
      <c r="N68">
        <v>0</v>
      </c>
    </row>
    <row r="69" spans="1:14" hidden="1" x14ac:dyDescent="0.25">
      <c r="A69" t="s">
        <v>235</v>
      </c>
      <c r="B69" t="s">
        <v>3571</v>
      </c>
      <c r="C69">
        <v>0.02</v>
      </c>
      <c r="I69">
        <v>40</v>
      </c>
      <c r="N69">
        <v>40</v>
      </c>
    </row>
    <row r="70" spans="1:14" hidden="1" x14ac:dyDescent="0.25">
      <c r="A70" t="s">
        <v>238</v>
      </c>
      <c r="B70" t="s">
        <v>3571</v>
      </c>
      <c r="C70">
        <v>0.29199999999999998</v>
      </c>
      <c r="I70">
        <v>62</v>
      </c>
      <c r="J70">
        <v>230</v>
      </c>
      <c r="N70">
        <v>292</v>
      </c>
    </row>
    <row r="71" spans="1:14" hidden="1" x14ac:dyDescent="0.25">
      <c r="A71" t="s">
        <v>241</v>
      </c>
      <c r="B71" t="s">
        <v>3571</v>
      </c>
      <c r="C71">
        <v>0.24</v>
      </c>
      <c r="J71">
        <v>240</v>
      </c>
      <c r="N71">
        <v>240</v>
      </c>
    </row>
    <row r="72" spans="1:14" hidden="1" x14ac:dyDescent="0.25">
      <c r="A72" t="s">
        <v>244</v>
      </c>
      <c r="B72" t="s">
        <v>3571</v>
      </c>
      <c r="C72">
        <v>0</v>
      </c>
      <c r="N72">
        <v>0</v>
      </c>
    </row>
    <row r="73" spans="1:14" hidden="1" x14ac:dyDescent="0.25">
      <c r="A73" t="s">
        <v>245</v>
      </c>
      <c r="B73" t="s">
        <v>3571</v>
      </c>
      <c r="C73">
        <v>1</v>
      </c>
      <c r="J73">
        <v>650</v>
      </c>
      <c r="N73">
        <v>650</v>
      </c>
    </row>
    <row r="74" spans="1:14" hidden="1" x14ac:dyDescent="0.25">
      <c r="A74" t="s">
        <v>249</v>
      </c>
      <c r="B74" t="s">
        <v>3571</v>
      </c>
      <c r="C74">
        <v>0</v>
      </c>
      <c r="N74">
        <v>0</v>
      </c>
    </row>
    <row r="75" spans="1:14" hidden="1" x14ac:dyDescent="0.25">
      <c r="A75" t="s">
        <v>252</v>
      </c>
      <c r="B75" t="s">
        <v>3571</v>
      </c>
      <c r="C75">
        <v>8.6705202312138727E-2</v>
      </c>
      <c r="J75">
        <v>150</v>
      </c>
      <c r="N75">
        <v>150</v>
      </c>
    </row>
    <row r="76" spans="1:14" hidden="1" x14ac:dyDescent="0.25">
      <c r="A76" t="s">
        <v>256</v>
      </c>
      <c r="B76" t="s">
        <v>3571</v>
      </c>
      <c r="C76">
        <v>0.21199999999999999</v>
      </c>
      <c r="J76">
        <v>212</v>
      </c>
      <c r="N76">
        <v>212</v>
      </c>
    </row>
    <row r="77" spans="1:14" hidden="1" x14ac:dyDescent="0.25">
      <c r="A77" t="s">
        <v>259</v>
      </c>
      <c r="B77" t="s">
        <v>3571</v>
      </c>
      <c r="C77">
        <v>6.2E-2</v>
      </c>
      <c r="J77">
        <v>62</v>
      </c>
      <c r="N77">
        <v>62</v>
      </c>
    </row>
    <row r="78" spans="1:14" hidden="1" x14ac:dyDescent="0.25">
      <c r="A78" t="s">
        <v>262</v>
      </c>
      <c r="B78" t="s">
        <v>3571</v>
      </c>
      <c r="C78">
        <v>3.826086956521739E-2</v>
      </c>
      <c r="I78">
        <v>50</v>
      </c>
      <c r="J78">
        <v>60</v>
      </c>
      <c r="N78">
        <v>110</v>
      </c>
    </row>
    <row r="79" spans="1:14" hidden="1" x14ac:dyDescent="0.25">
      <c r="A79" t="s">
        <v>265</v>
      </c>
      <c r="B79" t="s">
        <v>3571</v>
      </c>
      <c r="C79">
        <v>0.05</v>
      </c>
      <c r="J79">
        <v>50</v>
      </c>
      <c r="N79">
        <v>50</v>
      </c>
    </row>
    <row r="80" spans="1:14" hidden="1" x14ac:dyDescent="0.25">
      <c r="A80" t="s">
        <v>268</v>
      </c>
      <c r="B80" t="s">
        <v>3571</v>
      </c>
      <c r="C80">
        <v>0</v>
      </c>
      <c r="N80">
        <v>0</v>
      </c>
    </row>
    <row r="81" spans="1:14" hidden="1" x14ac:dyDescent="0.25">
      <c r="A81" t="s">
        <v>271</v>
      </c>
      <c r="B81" t="s">
        <v>3571</v>
      </c>
      <c r="C81">
        <v>0</v>
      </c>
      <c r="N81">
        <v>0</v>
      </c>
    </row>
    <row r="82" spans="1:14" hidden="1" x14ac:dyDescent="0.25">
      <c r="A82" t="s">
        <v>274</v>
      </c>
      <c r="B82" t="s">
        <v>3571</v>
      </c>
      <c r="C82">
        <v>0.28125</v>
      </c>
      <c r="H82">
        <v>1125</v>
      </c>
      <c r="N82">
        <v>1125</v>
      </c>
    </row>
    <row r="83" spans="1:14" hidden="1" x14ac:dyDescent="0.25">
      <c r="A83" t="s">
        <v>278</v>
      </c>
      <c r="B83" t="s">
        <v>3571</v>
      </c>
      <c r="C83">
        <v>0.65500000000000003</v>
      </c>
      <c r="H83">
        <v>500</v>
      </c>
      <c r="I83">
        <v>155</v>
      </c>
      <c r="N83">
        <v>655</v>
      </c>
    </row>
    <row r="84" spans="1:14" hidden="1" x14ac:dyDescent="0.25">
      <c r="A84" t="s">
        <v>282</v>
      </c>
      <c r="B84" t="s">
        <v>3571</v>
      </c>
      <c r="C84">
        <v>0</v>
      </c>
      <c r="N84">
        <v>0</v>
      </c>
    </row>
    <row r="85" spans="1:14" hidden="1" x14ac:dyDescent="0.25">
      <c r="A85" t="s">
        <v>283</v>
      </c>
      <c r="B85" t="s">
        <v>3571</v>
      </c>
      <c r="C85">
        <v>1.1499999999999999</v>
      </c>
      <c r="H85">
        <v>250</v>
      </c>
      <c r="J85">
        <v>900</v>
      </c>
      <c r="N85">
        <v>1150</v>
      </c>
    </row>
    <row r="86" spans="1:14" hidden="1" x14ac:dyDescent="0.25">
      <c r="A86" t="s">
        <v>286</v>
      </c>
      <c r="B86" t="s">
        <v>3571</v>
      </c>
      <c r="C86">
        <v>0</v>
      </c>
      <c r="N86">
        <v>0</v>
      </c>
    </row>
    <row r="87" spans="1:14" hidden="1" x14ac:dyDescent="0.25">
      <c r="A87" t="s">
        <v>287</v>
      </c>
      <c r="B87" t="s">
        <v>3571</v>
      </c>
      <c r="C87">
        <v>0.72058823529411764</v>
      </c>
      <c r="H87">
        <v>425</v>
      </c>
      <c r="J87">
        <v>800</v>
      </c>
      <c r="N87">
        <v>1225</v>
      </c>
    </row>
    <row r="88" spans="1:14" hidden="1" x14ac:dyDescent="0.25">
      <c r="A88" t="s">
        <v>291</v>
      </c>
      <c r="B88" t="s">
        <v>3571</v>
      </c>
      <c r="C88">
        <v>0.33333333333333331</v>
      </c>
      <c r="H88">
        <v>1500</v>
      </c>
      <c r="N88">
        <v>1500</v>
      </c>
    </row>
    <row r="89" spans="1:14" hidden="1" x14ac:dyDescent="0.25">
      <c r="A89" t="s">
        <v>295</v>
      </c>
      <c r="B89" t="s">
        <v>3571</v>
      </c>
      <c r="C89">
        <v>0.4</v>
      </c>
      <c r="H89">
        <v>250</v>
      </c>
      <c r="J89">
        <v>150</v>
      </c>
      <c r="N89">
        <v>400</v>
      </c>
    </row>
    <row r="90" spans="1:14" hidden="1" x14ac:dyDescent="0.25">
      <c r="A90" t="s">
        <v>299</v>
      </c>
      <c r="B90" t="s">
        <v>3571</v>
      </c>
      <c r="C90">
        <v>0.28499999999999998</v>
      </c>
      <c r="H90">
        <v>500</v>
      </c>
      <c r="I90">
        <v>70</v>
      </c>
      <c r="N90">
        <v>570</v>
      </c>
    </row>
    <row r="91" spans="1:14" hidden="1" x14ac:dyDescent="0.25">
      <c r="A91" t="s">
        <v>302</v>
      </c>
      <c r="B91" t="s">
        <v>3571</v>
      </c>
      <c r="C91">
        <v>0</v>
      </c>
      <c r="N91">
        <v>0</v>
      </c>
    </row>
    <row r="92" spans="1:14" hidden="1" x14ac:dyDescent="0.25">
      <c r="A92" t="s">
        <v>305</v>
      </c>
      <c r="B92" t="s">
        <v>3571</v>
      </c>
      <c r="C92">
        <v>0</v>
      </c>
      <c r="N92">
        <v>0</v>
      </c>
    </row>
    <row r="93" spans="1:14" hidden="1" x14ac:dyDescent="0.25">
      <c r="A93" t="s">
        <v>308</v>
      </c>
      <c r="B93" t="s">
        <v>3571</v>
      </c>
      <c r="C93">
        <v>0.1</v>
      </c>
      <c r="J93">
        <v>100</v>
      </c>
      <c r="N93">
        <v>100</v>
      </c>
    </row>
    <row r="94" spans="1:14" hidden="1" x14ac:dyDescent="0.25">
      <c r="A94" t="s">
        <v>311</v>
      </c>
      <c r="B94" t="s">
        <v>3571</v>
      </c>
      <c r="C94">
        <v>0</v>
      </c>
      <c r="N94">
        <v>0</v>
      </c>
    </row>
    <row r="95" spans="1:14" hidden="1" x14ac:dyDescent="0.25">
      <c r="A95" t="s">
        <v>315</v>
      </c>
      <c r="B95" t="s">
        <v>3571</v>
      </c>
      <c r="C95">
        <v>0</v>
      </c>
      <c r="N95">
        <v>0</v>
      </c>
    </row>
    <row r="96" spans="1:14" hidden="1" x14ac:dyDescent="0.25">
      <c r="A96" t="s">
        <v>319</v>
      </c>
      <c r="B96" t="s">
        <v>3571</v>
      </c>
      <c r="C96">
        <v>0</v>
      </c>
      <c r="N96">
        <v>0</v>
      </c>
    </row>
    <row r="97" spans="1:14" hidden="1" x14ac:dyDescent="0.25">
      <c r="A97" t="s">
        <v>323</v>
      </c>
      <c r="B97" t="s">
        <v>3571</v>
      </c>
      <c r="C97">
        <v>0</v>
      </c>
      <c r="N97">
        <v>0</v>
      </c>
    </row>
    <row r="98" spans="1:14" hidden="1" x14ac:dyDescent="0.25">
      <c r="A98" t="s">
        <v>326</v>
      </c>
      <c r="B98" t="s">
        <v>3571</v>
      </c>
      <c r="C98">
        <v>0.16666666666666671</v>
      </c>
      <c r="K98">
        <v>200</v>
      </c>
      <c r="N98">
        <v>200</v>
      </c>
    </row>
    <row r="99" spans="1:14" hidden="1" x14ac:dyDescent="0.25">
      <c r="A99" t="s">
        <v>329</v>
      </c>
      <c r="B99" t="s">
        <v>3571</v>
      </c>
      <c r="C99">
        <v>0</v>
      </c>
      <c r="N99">
        <v>0</v>
      </c>
    </row>
    <row r="100" spans="1:14" hidden="1" x14ac:dyDescent="0.25">
      <c r="A100" t="s">
        <v>333</v>
      </c>
      <c r="B100" t="s">
        <v>3571</v>
      </c>
      <c r="C100">
        <v>0</v>
      </c>
      <c r="N100">
        <v>0</v>
      </c>
    </row>
    <row r="101" spans="1:14" hidden="1" x14ac:dyDescent="0.25">
      <c r="A101" t="s">
        <v>336</v>
      </c>
      <c r="B101" t="s">
        <v>3571</v>
      </c>
      <c r="C101">
        <v>0.312</v>
      </c>
      <c r="K101">
        <v>250</v>
      </c>
      <c r="L101">
        <v>62</v>
      </c>
      <c r="N101">
        <v>312</v>
      </c>
    </row>
    <row r="102" spans="1:14" hidden="1" x14ac:dyDescent="0.25">
      <c r="A102" t="s">
        <v>340</v>
      </c>
      <c r="B102" t="s">
        <v>3571</v>
      </c>
      <c r="C102">
        <v>0.20882352941176471</v>
      </c>
      <c r="L102">
        <v>355</v>
      </c>
      <c r="N102">
        <v>355</v>
      </c>
    </row>
    <row r="103" spans="1:14" hidden="1" x14ac:dyDescent="0.25">
      <c r="A103" t="s">
        <v>344</v>
      </c>
      <c r="B103" t="s">
        <v>3571</v>
      </c>
      <c r="C103">
        <v>8.3333333333333329E-2</v>
      </c>
      <c r="K103">
        <v>100</v>
      </c>
      <c r="N103">
        <v>100</v>
      </c>
    </row>
    <row r="104" spans="1:14" hidden="1" x14ac:dyDescent="0.25">
      <c r="A104" t="s">
        <v>348</v>
      </c>
      <c r="B104" t="s">
        <v>3571</v>
      </c>
      <c r="C104">
        <v>0.09</v>
      </c>
      <c r="L104">
        <v>180</v>
      </c>
      <c r="N104">
        <v>180</v>
      </c>
    </row>
    <row r="105" spans="1:14" hidden="1" x14ac:dyDescent="0.25">
      <c r="A105" t="s">
        <v>352</v>
      </c>
      <c r="B105" t="s">
        <v>3571</v>
      </c>
      <c r="C105">
        <v>7.0000000000000007E-2</v>
      </c>
      <c r="L105">
        <v>140</v>
      </c>
      <c r="N105">
        <v>140</v>
      </c>
    </row>
    <row r="106" spans="1:14" hidden="1" x14ac:dyDescent="0.25">
      <c r="A106" t="s">
        <v>356</v>
      </c>
      <c r="B106" t="s">
        <v>3571</v>
      </c>
      <c r="C106">
        <v>0</v>
      </c>
      <c r="N106">
        <v>0</v>
      </c>
    </row>
    <row r="107" spans="1:14" hidden="1" x14ac:dyDescent="0.25">
      <c r="A107" t="s">
        <v>359</v>
      </c>
      <c r="B107" t="s">
        <v>3571</v>
      </c>
    </row>
    <row r="108" spans="1:14" hidden="1" x14ac:dyDescent="0.25">
      <c r="A108" t="s">
        <v>362</v>
      </c>
      <c r="B108" t="s">
        <v>3571</v>
      </c>
    </row>
    <row r="109" spans="1:14" hidden="1" x14ac:dyDescent="0.25">
      <c r="A109" t="s">
        <v>365</v>
      </c>
      <c r="B109" t="s">
        <v>3571</v>
      </c>
    </row>
    <row r="110" spans="1:14" hidden="1" x14ac:dyDescent="0.25">
      <c r="A110" t="s">
        <v>369</v>
      </c>
      <c r="B110" t="s">
        <v>3571</v>
      </c>
    </row>
    <row r="111" spans="1:14" hidden="1" x14ac:dyDescent="0.25">
      <c r="A111" t="s">
        <v>372</v>
      </c>
      <c r="B111" t="s">
        <v>3571</v>
      </c>
    </row>
    <row r="112" spans="1:14" hidden="1" x14ac:dyDescent="0.25">
      <c r="A112" t="s">
        <v>373</v>
      </c>
      <c r="B112" t="s">
        <v>3571</v>
      </c>
    </row>
    <row r="113" spans="1:14" hidden="1" x14ac:dyDescent="0.25">
      <c r="A113" t="s">
        <v>380</v>
      </c>
      <c r="B113" t="s">
        <v>3571</v>
      </c>
      <c r="C113">
        <v>0.5</v>
      </c>
      <c r="H113">
        <v>500</v>
      </c>
      <c r="N113">
        <v>500</v>
      </c>
    </row>
    <row r="114" spans="1:14" hidden="1" x14ac:dyDescent="0.25">
      <c r="A114" t="s">
        <v>383</v>
      </c>
      <c r="B114" t="s">
        <v>3571</v>
      </c>
      <c r="C114">
        <v>0</v>
      </c>
      <c r="N114">
        <v>0</v>
      </c>
    </row>
    <row r="115" spans="1:14" hidden="1" x14ac:dyDescent="0.25">
      <c r="A115" t="s">
        <v>386</v>
      </c>
      <c r="B115" t="s">
        <v>3571</v>
      </c>
      <c r="C115">
        <v>0</v>
      </c>
      <c r="N115">
        <v>0</v>
      </c>
    </row>
    <row r="116" spans="1:14" hidden="1" x14ac:dyDescent="0.25">
      <c r="A116" t="s">
        <v>389</v>
      </c>
      <c r="B116" t="s">
        <v>3571</v>
      </c>
      <c r="C116">
        <v>0</v>
      </c>
      <c r="N116">
        <v>0</v>
      </c>
    </row>
    <row r="117" spans="1:14" hidden="1" x14ac:dyDescent="0.25">
      <c r="A117" t="s">
        <v>392</v>
      </c>
      <c r="B117" t="s">
        <v>3571</v>
      </c>
      <c r="C117">
        <v>0</v>
      </c>
      <c r="N117">
        <v>0</v>
      </c>
    </row>
    <row r="118" spans="1:14" hidden="1" x14ac:dyDescent="0.25">
      <c r="A118" t="s">
        <v>395</v>
      </c>
      <c r="B118" t="s">
        <v>3571</v>
      </c>
      <c r="C118">
        <v>0</v>
      </c>
      <c r="N118">
        <v>0</v>
      </c>
    </row>
    <row r="119" spans="1:14" hidden="1" x14ac:dyDescent="0.25">
      <c r="A119" t="s">
        <v>398</v>
      </c>
      <c r="B119" t="s">
        <v>3571</v>
      </c>
      <c r="C119">
        <v>1</v>
      </c>
      <c r="H119">
        <v>300</v>
      </c>
      <c r="N119">
        <v>300</v>
      </c>
    </row>
    <row r="120" spans="1:14" hidden="1" x14ac:dyDescent="0.25">
      <c r="A120" t="s">
        <v>401</v>
      </c>
      <c r="B120" t="s">
        <v>3571</v>
      </c>
      <c r="C120">
        <v>0</v>
      </c>
      <c r="N120">
        <v>0</v>
      </c>
    </row>
    <row r="121" spans="1:14" hidden="1" x14ac:dyDescent="0.25">
      <c r="A121" t="s">
        <v>404</v>
      </c>
      <c r="B121" t="s">
        <v>3571</v>
      </c>
      <c r="C121">
        <v>1</v>
      </c>
      <c r="I121">
        <v>550</v>
      </c>
      <c r="N121">
        <v>550</v>
      </c>
    </row>
    <row r="122" spans="1:14" hidden="1" x14ac:dyDescent="0.25">
      <c r="A122" t="s">
        <v>407</v>
      </c>
      <c r="B122" t="s">
        <v>3571</v>
      </c>
      <c r="C122">
        <v>0</v>
      </c>
      <c r="N122">
        <v>0</v>
      </c>
    </row>
    <row r="123" spans="1:14" hidden="1" x14ac:dyDescent="0.25">
      <c r="A123" t="s">
        <v>410</v>
      </c>
      <c r="B123" t="s">
        <v>3571</v>
      </c>
      <c r="C123">
        <v>0</v>
      </c>
      <c r="N123">
        <v>0</v>
      </c>
    </row>
    <row r="124" spans="1:14" hidden="1" x14ac:dyDescent="0.25">
      <c r="A124" t="s">
        <v>414</v>
      </c>
      <c r="B124" t="s">
        <v>3571</v>
      </c>
      <c r="C124">
        <v>0.30149999999999999</v>
      </c>
      <c r="H124">
        <v>140</v>
      </c>
      <c r="I124">
        <v>463</v>
      </c>
      <c r="N124">
        <v>603</v>
      </c>
    </row>
    <row r="125" spans="1:14" hidden="1" x14ac:dyDescent="0.25">
      <c r="A125" t="s">
        <v>417</v>
      </c>
      <c r="B125" t="s">
        <v>3571</v>
      </c>
      <c r="C125">
        <v>5.2499999999999998E-2</v>
      </c>
      <c r="H125">
        <v>105</v>
      </c>
      <c r="N125">
        <v>105</v>
      </c>
    </row>
    <row r="126" spans="1:14" hidden="1" x14ac:dyDescent="0.25">
      <c r="A126" t="s">
        <v>421</v>
      </c>
      <c r="B126" t="s">
        <v>3571</v>
      </c>
      <c r="C126">
        <v>0.35</v>
      </c>
      <c r="J126">
        <v>2800</v>
      </c>
      <c r="N126">
        <v>2800</v>
      </c>
    </row>
    <row r="127" spans="1:14" hidden="1" x14ac:dyDescent="0.25">
      <c r="A127" t="s">
        <v>425</v>
      </c>
      <c r="B127" t="s">
        <v>3571</v>
      </c>
      <c r="N127">
        <v>0</v>
      </c>
    </row>
    <row r="128" spans="1:14" hidden="1" x14ac:dyDescent="0.25">
      <c r="A128" t="s">
        <v>428</v>
      </c>
      <c r="B128" t="s">
        <v>3571</v>
      </c>
      <c r="C128">
        <v>0.97889720898570454</v>
      </c>
      <c r="I128">
        <v>1438</v>
      </c>
      <c r="N128">
        <v>1438</v>
      </c>
    </row>
    <row r="129" spans="1:14" hidden="1" x14ac:dyDescent="0.25">
      <c r="A129" t="s">
        <v>432</v>
      </c>
      <c r="B129" t="s">
        <v>3571</v>
      </c>
      <c r="C129">
        <v>0.7</v>
      </c>
      <c r="I129">
        <v>700</v>
      </c>
      <c r="N129">
        <v>700</v>
      </c>
    </row>
    <row r="130" spans="1:14" hidden="1" x14ac:dyDescent="0.25">
      <c r="A130" t="s">
        <v>435</v>
      </c>
      <c r="B130" t="s">
        <v>3571</v>
      </c>
      <c r="C130">
        <v>0.87056603773584906</v>
      </c>
      <c r="I130">
        <v>982</v>
      </c>
      <c r="K130">
        <v>1325</v>
      </c>
      <c r="N130">
        <v>2307</v>
      </c>
    </row>
    <row r="131" spans="1:14" hidden="1" x14ac:dyDescent="0.25">
      <c r="A131" t="s">
        <v>439</v>
      </c>
      <c r="B131" t="s">
        <v>3571</v>
      </c>
      <c r="C131">
        <v>0</v>
      </c>
      <c r="N131">
        <v>0</v>
      </c>
    </row>
    <row r="132" spans="1:14" hidden="1" x14ac:dyDescent="0.25">
      <c r="A132" t="s">
        <v>443</v>
      </c>
      <c r="B132" t="s">
        <v>3571</v>
      </c>
      <c r="C132">
        <v>0</v>
      </c>
      <c r="N132">
        <v>0</v>
      </c>
    </row>
    <row r="133" spans="1:14" hidden="1" x14ac:dyDescent="0.25">
      <c r="A133" t="s">
        <v>446</v>
      </c>
      <c r="B133" t="s">
        <v>3571</v>
      </c>
      <c r="C133">
        <v>0.5</v>
      </c>
      <c r="I133">
        <v>1000</v>
      </c>
      <c r="N133">
        <v>1000</v>
      </c>
    </row>
    <row r="134" spans="1:14" hidden="1" x14ac:dyDescent="0.25">
      <c r="A134" t="s">
        <v>449</v>
      </c>
      <c r="B134" t="s">
        <v>3571</v>
      </c>
      <c r="C134">
        <v>0</v>
      </c>
      <c r="N134">
        <v>0</v>
      </c>
    </row>
    <row r="135" spans="1:14" hidden="1" x14ac:dyDescent="0.25">
      <c r="A135" t="s">
        <v>450</v>
      </c>
      <c r="B135" t="s">
        <v>3571</v>
      </c>
      <c r="C135">
        <v>0.32041884816753929</v>
      </c>
      <c r="I135">
        <v>918</v>
      </c>
      <c r="N135">
        <v>918</v>
      </c>
    </row>
    <row r="136" spans="1:14" hidden="1" x14ac:dyDescent="0.25">
      <c r="A136" t="s">
        <v>453</v>
      </c>
      <c r="B136" t="s">
        <v>3571</v>
      </c>
      <c r="C136">
        <v>0.864176245210728</v>
      </c>
      <c r="I136">
        <v>4511</v>
      </c>
      <c r="N136">
        <v>4511</v>
      </c>
    </row>
    <row r="137" spans="1:14" hidden="1" x14ac:dyDescent="0.25">
      <c r="A137" t="s">
        <v>456</v>
      </c>
      <c r="B137" t="s">
        <v>3571</v>
      </c>
      <c r="C137">
        <v>0</v>
      </c>
      <c r="N137">
        <v>0</v>
      </c>
    </row>
    <row r="138" spans="1:14" hidden="1" x14ac:dyDescent="0.25">
      <c r="A138" t="s">
        <v>457</v>
      </c>
      <c r="B138" t="s">
        <v>3571</v>
      </c>
      <c r="C138">
        <v>0.16411641164116411</v>
      </c>
      <c r="I138">
        <v>1094</v>
      </c>
      <c r="N138">
        <v>1094</v>
      </c>
    </row>
    <row r="139" spans="1:14" hidden="1" x14ac:dyDescent="0.25">
      <c r="A139" t="s">
        <v>460</v>
      </c>
      <c r="B139" t="s">
        <v>3571</v>
      </c>
      <c r="C139">
        <v>0</v>
      </c>
      <c r="N139">
        <v>0</v>
      </c>
    </row>
    <row r="140" spans="1:14" hidden="1" x14ac:dyDescent="0.25">
      <c r="A140" t="s">
        <v>464</v>
      </c>
      <c r="B140" t="s">
        <v>3571</v>
      </c>
      <c r="C140">
        <v>7.3659398939304654E-3</v>
      </c>
      <c r="H140">
        <v>50</v>
      </c>
      <c r="N140">
        <v>50</v>
      </c>
    </row>
    <row r="141" spans="1:14" hidden="1" x14ac:dyDescent="0.25">
      <c r="A141" t="s">
        <v>468</v>
      </c>
      <c r="B141" t="s">
        <v>3571</v>
      </c>
      <c r="C141">
        <v>0.246</v>
      </c>
      <c r="H141">
        <v>35</v>
      </c>
      <c r="I141">
        <v>211</v>
      </c>
      <c r="N141">
        <v>246</v>
      </c>
    </row>
    <row r="142" spans="1:14" hidden="1" x14ac:dyDescent="0.25">
      <c r="A142" t="s">
        <v>471</v>
      </c>
      <c r="B142" t="s">
        <v>3571</v>
      </c>
      <c r="C142">
        <v>1.308641975308642E-2</v>
      </c>
      <c r="H142">
        <v>53</v>
      </c>
      <c r="N142">
        <v>53</v>
      </c>
    </row>
    <row r="143" spans="1:14" hidden="1" x14ac:dyDescent="0.25">
      <c r="A143" t="s">
        <v>472</v>
      </c>
      <c r="B143" t="s">
        <v>3571</v>
      </c>
      <c r="C143">
        <v>0.45</v>
      </c>
      <c r="J143">
        <v>500</v>
      </c>
      <c r="K143">
        <v>400</v>
      </c>
      <c r="N143">
        <v>900</v>
      </c>
    </row>
    <row r="144" spans="1:14" hidden="1" x14ac:dyDescent="0.25">
      <c r="A144" t="s">
        <v>473</v>
      </c>
      <c r="B144" t="s">
        <v>3571</v>
      </c>
      <c r="C144">
        <v>0.63738888888888889</v>
      </c>
      <c r="J144">
        <v>11473</v>
      </c>
      <c r="N144">
        <v>11473</v>
      </c>
    </row>
    <row r="145" spans="1:14" hidden="1" x14ac:dyDescent="0.25">
      <c r="A145" t="s">
        <v>477</v>
      </c>
      <c r="B145" t="s">
        <v>3571</v>
      </c>
      <c r="C145">
        <v>0</v>
      </c>
      <c r="N145">
        <v>0</v>
      </c>
    </row>
    <row r="146" spans="1:14" hidden="1" x14ac:dyDescent="0.25">
      <c r="A146" t="s">
        <v>478</v>
      </c>
      <c r="B146" t="s">
        <v>3571</v>
      </c>
      <c r="C146">
        <v>0</v>
      </c>
      <c r="N146">
        <v>0</v>
      </c>
    </row>
    <row r="147" spans="1:14" hidden="1" x14ac:dyDescent="0.25">
      <c r="A147" t="s">
        <v>479</v>
      </c>
      <c r="B147" t="s">
        <v>3571</v>
      </c>
      <c r="C147">
        <v>0.65</v>
      </c>
      <c r="I147">
        <v>1300</v>
      </c>
      <c r="N147">
        <v>1300</v>
      </c>
    </row>
    <row r="148" spans="1:14" hidden="1" x14ac:dyDescent="0.25">
      <c r="A148" t="s">
        <v>480</v>
      </c>
      <c r="B148" t="s">
        <v>3571</v>
      </c>
      <c r="C148">
        <v>0.26415094339622641</v>
      </c>
      <c r="J148">
        <v>700</v>
      </c>
      <c r="N148">
        <v>700</v>
      </c>
    </row>
    <row r="149" spans="1:14" hidden="1" x14ac:dyDescent="0.25">
      <c r="A149" t="s">
        <v>481</v>
      </c>
      <c r="B149" t="s">
        <v>3571</v>
      </c>
      <c r="C149">
        <v>1.3560000000000001</v>
      </c>
      <c r="J149">
        <v>300</v>
      </c>
      <c r="K149">
        <v>1056</v>
      </c>
      <c r="N149">
        <v>1356</v>
      </c>
    </row>
    <row r="150" spans="1:14" hidden="1" x14ac:dyDescent="0.25">
      <c r="A150" t="s">
        <v>484</v>
      </c>
      <c r="B150" t="s">
        <v>3571</v>
      </c>
      <c r="C150">
        <v>0.25</v>
      </c>
      <c r="J150">
        <v>250</v>
      </c>
      <c r="N150">
        <v>250</v>
      </c>
    </row>
    <row r="151" spans="1:14" hidden="1" x14ac:dyDescent="0.25">
      <c r="A151" t="s">
        <v>488</v>
      </c>
      <c r="B151" t="s">
        <v>3571</v>
      </c>
      <c r="C151">
        <v>4.2999656002751983E-2</v>
      </c>
      <c r="J151">
        <v>25</v>
      </c>
      <c r="K151">
        <v>100</v>
      </c>
      <c r="N151">
        <v>125</v>
      </c>
    </row>
    <row r="152" spans="1:14" hidden="1" x14ac:dyDescent="0.25">
      <c r="A152" t="s">
        <v>492</v>
      </c>
      <c r="B152" t="s">
        <v>3571</v>
      </c>
      <c r="C152">
        <v>0.45</v>
      </c>
      <c r="J152">
        <v>375</v>
      </c>
      <c r="K152">
        <v>300</v>
      </c>
      <c r="N152">
        <v>675</v>
      </c>
    </row>
    <row r="153" spans="1:14" hidden="1" x14ac:dyDescent="0.25">
      <c r="A153" t="s">
        <v>495</v>
      </c>
      <c r="B153" t="s">
        <v>3571</v>
      </c>
      <c r="C153">
        <v>5.2700922266139663E-2</v>
      </c>
      <c r="J153">
        <v>200</v>
      </c>
      <c r="N153">
        <v>200</v>
      </c>
    </row>
    <row r="154" spans="1:14" hidden="1" x14ac:dyDescent="0.25">
      <c r="A154" t="s">
        <v>496</v>
      </c>
      <c r="B154" t="s">
        <v>3571</v>
      </c>
      <c r="C154">
        <v>0</v>
      </c>
      <c r="N154">
        <v>0</v>
      </c>
    </row>
    <row r="155" spans="1:14" hidden="1" x14ac:dyDescent="0.25">
      <c r="A155" t="s">
        <v>497</v>
      </c>
      <c r="B155" t="s">
        <v>3571</v>
      </c>
      <c r="C155">
        <v>0</v>
      </c>
      <c r="N155">
        <v>0</v>
      </c>
    </row>
    <row r="156" spans="1:14" hidden="1" x14ac:dyDescent="0.25">
      <c r="A156" t="s">
        <v>498</v>
      </c>
      <c r="B156" t="s">
        <v>3571</v>
      </c>
      <c r="C156">
        <v>0.36</v>
      </c>
      <c r="K156">
        <v>360</v>
      </c>
      <c r="N156">
        <v>360</v>
      </c>
    </row>
    <row r="157" spans="1:14" hidden="1" x14ac:dyDescent="0.25">
      <c r="A157" t="s">
        <v>502</v>
      </c>
      <c r="B157" t="s">
        <v>3571</v>
      </c>
      <c r="C157">
        <v>0</v>
      </c>
      <c r="N157">
        <v>0</v>
      </c>
    </row>
    <row r="158" spans="1:14" hidden="1" x14ac:dyDescent="0.25">
      <c r="A158" t="s">
        <v>503</v>
      </c>
      <c r="B158" t="s">
        <v>3571</v>
      </c>
      <c r="C158">
        <v>0.125</v>
      </c>
      <c r="K158">
        <v>250</v>
      </c>
      <c r="N158">
        <v>250</v>
      </c>
    </row>
    <row r="159" spans="1:14" hidden="1" x14ac:dyDescent="0.25">
      <c r="A159" t="s">
        <v>504</v>
      </c>
      <c r="B159" t="s">
        <v>3571</v>
      </c>
      <c r="C159">
        <v>0</v>
      </c>
      <c r="N159">
        <v>0</v>
      </c>
    </row>
    <row r="160" spans="1:14" hidden="1" x14ac:dyDescent="0.25">
      <c r="A160" t="s">
        <v>505</v>
      </c>
      <c r="B160" t="s">
        <v>3571</v>
      </c>
      <c r="C160">
        <v>0</v>
      </c>
      <c r="N160">
        <v>0</v>
      </c>
    </row>
    <row r="161" spans="1:14" hidden="1" x14ac:dyDescent="0.25">
      <c r="A161" t="s">
        <v>506</v>
      </c>
      <c r="B161" t="s">
        <v>3571</v>
      </c>
      <c r="C161">
        <v>0</v>
      </c>
      <c r="N161">
        <v>0</v>
      </c>
    </row>
    <row r="162" spans="1:14" hidden="1" x14ac:dyDescent="0.25">
      <c r="A162" t="s">
        <v>509</v>
      </c>
      <c r="B162" t="s">
        <v>3571</v>
      </c>
      <c r="C162">
        <v>0</v>
      </c>
      <c r="N162">
        <v>0</v>
      </c>
    </row>
    <row r="163" spans="1:14" hidden="1" x14ac:dyDescent="0.25">
      <c r="A163" t="s">
        <v>512</v>
      </c>
      <c r="B163" t="s">
        <v>3571</v>
      </c>
      <c r="C163">
        <v>0</v>
      </c>
      <c r="N163">
        <v>0</v>
      </c>
    </row>
    <row r="164" spans="1:14" hidden="1" x14ac:dyDescent="0.25">
      <c r="A164" t="s">
        <v>515</v>
      </c>
      <c r="B164" t="s">
        <v>3571</v>
      </c>
      <c r="C164">
        <v>0.72727272727272729</v>
      </c>
      <c r="I164">
        <v>4000</v>
      </c>
      <c r="N164">
        <v>4000</v>
      </c>
    </row>
    <row r="165" spans="1:14" hidden="1" x14ac:dyDescent="0.25">
      <c r="A165" t="s">
        <v>519</v>
      </c>
      <c r="B165" t="s">
        <v>3571</v>
      </c>
      <c r="C165">
        <v>0</v>
      </c>
      <c r="N165">
        <v>0</v>
      </c>
    </row>
    <row r="166" spans="1:14" hidden="1" x14ac:dyDescent="0.25">
      <c r="A166" t="s">
        <v>522</v>
      </c>
      <c r="B166" t="s">
        <v>3571</v>
      </c>
      <c r="C166">
        <v>0</v>
      </c>
      <c r="N166">
        <v>0</v>
      </c>
    </row>
    <row r="167" spans="1:14" hidden="1" x14ac:dyDescent="0.25">
      <c r="A167" t="s">
        <v>525</v>
      </c>
      <c r="B167" t="s">
        <v>3571</v>
      </c>
      <c r="C167">
        <v>0</v>
      </c>
      <c r="N167">
        <v>0</v>
      </c>
    </row>
    <row r="168" spans="1:14" hidden="1" x14ac:dyDescent="0.25">
      <c r="A168" t="s">
        <v>526</v>
      </c>
      <c r="B168" t="s">
        <v>3571</v>
      </c>
      <c r="C168">
        <v>0</v>
      </c>
      <c r="N168">
        <v>0</v>
      </c>
    </row>
    <row r="169" spans="1:14" hidden="1" x14ac:dyDescent="0.25">
      <c r="A169" t="s">
        <v>530</v>
      </c>
      <c r="B169" t="s">
        <v>3571</v>
      </c>
      <c r="C169">
        <v>0.36363636363636359</v>
      </c>
      <c r="J169">
        <v>1000</v>
      </c>
      <c r="N169">
        <v>1000</v>
      </c>
    </row>
    <row r="170" spans="1:14" hidden="1" x14ac:dyDescent="0.25">
      <c r="A170" t="s">
        <v>533</v>
      </c>
      <c r="B170" t="s">
        <v>3571</v>
      </c>
      <c r="N170">
        <v>0</v>
      </c>
    </row>
    <row r="171" spans="1:14" hidden="1" x14ac:dyDescent="0.25">
      <c r="A171" t="s">
        <v>537</v>
      </c>
      <c r="B171" t="s">
        <v>3571</v>
      </c>
      <c r="C171">
        <v>0</v>
      </c>
      <c r="N171">
        <v>0</v>
      </c>
    </row>
    <row r="172" spans="1:14" hidden="1" x14ac:dyDescent="0.25">
      <c r="A172" t="s">
        <v>541</v>
      </c>
      <c r="B172" t="s">
        <v>3571</v>
      </c>
      <c r="C172">
        <v>0.22616666666666671</v>
      </c>
      <c r="I172">
        <v>2714</v>
      </c>
      <c r="N172">
        <v>2714</v>
      </c>
    </row>
    <row r="173" spans="1:14" hidden="1" x14ac:dyDescent="0.25">
      <c r="A173" t="s">
        <v>544</v>
      </c>
      <c r="B173" t="s">
        <v>3571</v>
      </c>
      <c r="C173">
        <v>0</v>
      </c>
      <c r="N173">
        <v>0</v>
      </c>
    </row>
    <row r="174" spans="1:14" hidden="1" x14ac:dyDescent="0.25">
      <c r="A174" t="s">
        <v>547</v>
      </c>
      <c r="B174" t="s">
        <v>3571</v>
      </c>
      <c r="C174">
        <v>0.4</v>
      </c>
      <c r="I174">
        <v>1320</v>
      </c>
      <c r="N174">
        <v>1320</v>
      </c>
    </row>
    <row r="175" spans="1:14" hidden="1" x14ac:dyDescent="0.25">
      <c r="A175" t="s">
        <v>551</v>
      </c>
      <c r="B175" t="s">
        <v>3571</v>
      </c>
      <c r="C175">
        <v>0</v>
      </c>
      <c r="N175">
        <v>0</v>
      </c>
    </row>
    <row r="176" spans="1:14" hidden="1" x14ac:dyDescent="0.25">
      <c r="A176" t="s">
        <v>554</v>
      </c>
      <c r="B176" t="s">
        <v>3571</v>
      </c>
      <c r="C176">
        <v>0</v>
      </c>
      <c r="N176">
        <v>0</v>
      </c>
    </row>
    <row r="177" spans="1:14" hidden="1" x14ac:dyDescent="0.25">
      <c r="A177" t="s">
        <v>557</v>
      </c>
      <c r="B177" t="s">
        <v>3571</v>
      </c>
      <c r="C177">
        <v>0</v>
      </c>
      <c r="N177">
        <v>0</v>
      </c>
    </row>
    <row r="178" spans="1:14" hidden="1" x14ac:dyDescent="0.25">
      <c r="A178" t="s">
        <v>560</v>
      </c>
      <c r="B178" t="s">
        <v>3571</v>
      </c>
      <c r="C178">
        <v>0</v>
      </c>
      <c r="N178">
        <v>0</v>
      </c>
    </row>
    <row r="179" spans="1:14" hidden="1" x14ac:dyDescent="0.25">
      <c r="A179" t="s">
        <v>563</v>
      </c>
      <c r="B179" t="s">
        <v>3571</v>
      </c>
      <c r="C179">
        <v>0.14130434782608689</v>
      </c>
      <c r="I179">
        <v>1300</v>
      </c>
      <c r="N179">
        <v>1300</v>
      </c>
    </row>
    <row r="180" spans="1:14" hidden="1" x14ac:dyDescent="0.25">
      <c r="A180" t="s">
        <v>566</v>
      </c>
      <c r="B180" t="s">
        <v>3571</v>
      </c>
      <c r="C180">
        <v>0</v>
      </c>
      <c r="N180">
        <v>0</v>
      </c>
    </row>
    <row r="181" spans="1:14" hidden="1" x14ac:dyDescent="0.25">
      <c r="A181" t="s">
        <v>569</v>
      </c>
      <c r="B181" t="s">
        <v>3571</v>
      </c>
      <c r="C181">
        <v>0.65527272727272723</v>
      </c>
      <c r="J181">
        <v>1802</v>
      </c>
      <c r="N181">
        <v>1802</v>
      </c>
    </row>
    <row r="182" spans="1:14" hidden="1" x14ac:dyDescent="0.25">
      <c r="A182" t="s">
        <v>572</v>
      </c>
      <c r="B182" t="s">
        <v>3571</v>
      </c>
      <c r="C182">
        <v>0.94545454545454544</v>
      </c>
      <c r="J182">
        <v>2300</v>
      </c>
      <c r="K182">
        <v>300</v>
      </c>
      <c r="N182">
        <v>2600</v>
      </c>
    </row>
    <row r="183" spans="1:14" hidden="1" x14ac:dyDescent="0.25">
      <c r="A183" t="s">
        <v>575</v>
      </c>
      <c r="B183" t="s">
        <v>3571</v>
      </c>
      <c r="C183">
        <v>0.79545454545454541</v>
      </c>
      <c r="J183">
        <v>1450</v>
      </c>
      <c r="K183">
        <v>300</v>
      </c>
      <c r="N183">
        <v>1750</v>
      </c>
    </row>
    <row r="184" spans="1:14" hidden="1" x14ac:dyDescent="0.25">
      <c r="A184" t="s">
        <v>578</v>
      </c>
      <c r="B184" t="s">
        <v>3571</v>
      </c>
      <c r="C184">
        <v>0</v>
      </c>
      <c r="N184">
        <v>0</v>
      </c>
    </row>
    <row r="185" spans="1:14" hidden="1" x14ac:dyDescent="0.25">
      <c r="A185" t="s">
        <v>582</v>
      </c>
      <c r="B185" t="s">
        <v>3571</v>
      </c>
      <c r="C185">
        <v>0</v>
      </c>
      <c r="N185">
        <v>0</v>
      </c>
    </row>
    <row r="186" spans="1:14" hidden="1" x14ac:dyDescent="0.25">
      <c r="A186" t="s">
        <v>586</v>
      </c>
      <c r="B186" t="s">
        <v>3571</v>
      </c>
      <c r="C186">
        <v>1.1818181818181821</v>
      </c>
      <c r="K186">
        <v>1500</v>
      </c>
      <c r="L186">
        <v>1750</v>
      </c>
      <c r="N186">
        <v>3250</v>
      </c>
    </row>
    <row r="187" spans="1:14" hidden="1" x14ac:dyDescent="0.25">
      <c r="A187" t="s">
        <v>589</v>
      </c>
      <c r="B187" t="s">
        <v>3571</v>
      </c>
      <c r="C187">
        <v>1.4363636363636361</v>
      </c>
      <c r="J187">
        <v>600</v>
      </c>
      <c r="K187">
        <v>2050</v>
      </c>
      <c r="L187">
        <v>1300</v>
      </c>
      <c r="N187">
        <v>3950</v>
      </c>
    </row>
    <row r="188" spans="1:14" hidden="1" x14ac:dyDescent="0.25">
      <c r="A188" t="s">
        <v>592</v>
      </c>
      <c r="B188" t="s">
        <v>3571</v>
      </c>
      <c r="C188">
        <v>1.28</v>
      </c>
      <c r="J188">
        <v>320</v>
      </c>
      <c r="K188">
        <v>2600</v>
      </c>
      <c r="L188">
        <v>600</v>
      </c>
      <c r="N188">
        <v>3520</v>
      </c>
    </row>
    <row r="189" spans="1:14" hidden="1" x14ac:dyDescent="0.25">
      <c r="A189" t="s">
        <v>595</v>
      </c>
      <c r="B189" t="s">
        <v>3571</v>
      </c>
      <c r="C189">
        <v>0</v>
      </c>
      <c r="N189">
        <v>0</v>
      </c>
    </row>
    <row r="190" spans="1:14" hidden="1" x14ac:dyDescent="0.25">
      <c r="A190" t="s">
        <v>598</v>
      </c>
      <c r="B190" t="s">
        <v>3571</v>
      </c>
      <c r="C190">
        <v>0.1818181818181818</v>
      </c>
      <c r="K190">
        <v>400</v>
      </c>
      <c r="N190">
        <v>400</v>
      </c>
    </row>
    <row r="191" spans="1:14" hidden="1" x14ac:dyDescent="0.25">
      <c r="A191" t="s">
        <v>602</v>
      </c>
      <c r="B191" t="s">
        <v>3571</v>
      </c>
      <c r="C191">
        <v>1.0363636363636359</v>
      </c>
      <c r="J191">
        <v>150</v>
      </c>
      <c r="K191">
        <v>1900</v>
      </c>
      <c r="L191">
        <v>800</v>
      </c>
      <c r="N191">
        <v>2850</v>
      </c>
    </row>
    <row r="192" spans="1:14" hidden="1" x14ac:dyDescent="0.25">
      <c r="A192" t="s">
        <v>605</v>
      </c>
      <c r="B192" t="s">
        <v>3571</v>
      </c>
      <c r="C192">
        <v>1.1090909090909089</v>
      </c>
      <c r="J192">
        <v>750</v>
      </c>
      <c r="K192">
        <v>2300</v>
      </c>
      <c r="N192">
        <v>3050</v>
      </c>
    </row>
    <row r="193" spans="1:14" hidden="1" x14ac:dyDescent="0.25">
      <c r="A193" t="s">
        <v>608</v>
      </c>
      <c r="B193" t="s">
        <v>3571</v>
      </c>
      <c r="C193">
        <v>0.79325699745547074</v>
      </c>
      <c r="J193">
        <v>141</v>
      </c>
      <c r="K193">
        <v>3600</v>
      </c>
      <c r="N193">
        <v>3741</v>
      </c>
    </row>
    <row r="194" spans="1:14" hidden="1" x14ac:dyDescent="0.25">
      <c r="A194" t="s">
        <v>611</v>
      </c>
      <c r="B194" t="s">
        <v>3571</v>
      </c>
      <c r="C194">
        <v>3.4090909090909088E-2</v>
      </c>
      <c r="K194">
        <v>150</v>
      </c>
      <c r="N194">
        <v>150</v>
      </c>
    </row>
    <row r="195" spans="1:14" hidden="1" x14ac:dyDescent="0.25">
      <c r="A195" t="s">
        <v>614</v>
      </c>
      <c r="B195" t="s">
        <v>3571</v>
      </c>
      <c r="C195">
        <v>1.677727272727273</v>
      </c>
      <c r="J195">
        <v>691</v>
      </c>
      <c r="K195">
        <v>1500</v>
      </c>
      <c r="L195">
        <v>1500</v>
      </c>
      <c r="N195">
        <v>3691</v>
      </c>
    </row>
    <row r="196" spans="1:14" hidden="1" x14ac:dyDescent="0.25">
      <c r="A196" t="s">
        <v>617</v>
      </c>
      <c r="B196" t="s">
        <v>3571</v>
      </c>
      <c r="C196">
        <v>0.13454545454545461</v>
      </c>
      <c r="J196">
        <v>370</v>
      </c>
      <c r="N196">
        <v>370</v>
      </c>
    </row>
    <row r="197" spans="1:14" hidden="1" x14ac:dyDescent="0.25">
      <c r="A197" t="s">
        <v>620</v>
      </c>
      <c r="B197" t="s">
        <v>3571</v>
      </c>
      <c r="C197">
        <v>0</v>
      </c>
      <c r="N197">
        <v>0</v>
      </c>
    </row>
    <row r="198" spans="1:14" hidden="1" x14ac:dyDescent="0.25">
      <c r="A198" t="s">
        <v>623</v>
      </c>
      <c r="B198" t="s">
        <v>3571</v>
      </c>
      <c r="C198">
        <v>0.30909090909090908</v>
      </c>
      <c r="K198">
        <v>800</v>
      </c>
      <c r="L198">
        <v>50</v>
      </c>
      <c r="N198">
        <v>850</v>
      </c>
    </row>
    <row r="199" spans="1:14" hidden="1" x14ac:dyDescent="0.25">
      <c r="A199" t="s">
        <v>626</v>
      </c>
      <c r="B199" t="s">
        <v>3571</v>
      </c>
      <c r="C199">
        <v>0</v>
      </c>
      <c r="N199">
        <v>0</v>
      </c>
    </row>
    <row r="200" spans="1:14" hidden="1" x14ac:dyDescent="0.25">
      <c r="A200" t="s">
        <v>629</v>
      </c>
      <c r="B200" t="s">
        <v>3571</v>
      </c>
      <c r="C200">
        <v>0.50872727272727269</v>
      </c>
      <c r="K200">
        <v>650</v>
      </c>
      <c r="L200">
        <v>749</v>
      </c>
      <c r="N200">
        <v>1399</v>
      </c>
    </row>
    <row r="201" spans="1:14" hidden="1" x14ac:dyDescent="0.25">
      <c r="A201" t="s">
        <v>633</v>
      </c>
      <c r="B201" t="s">
        <v>3571</v>
      </c>
      <c r="C201">
        <v>0</v>
      </c>
      <c r="N201">
        <v>0</v>
      </c>
    </row>
    <row r="202" spans="1:14" hidden="1" x14ac:dyDescent="0.25">
      <c r="A202" t="s">
        <v>636</v>
      </c>
      <c r="B202" t="s">
        <v>3571</v>
      </c>
      <c r="C202">
        <v>0</v>
      </c>
      <c r="N202">
        <v>0</v>
      </c>
    </row>
    <row r="203" spans="1:14" hidden="1" x14ac:dyDescent="0.25">
      <c r="A203" t="s">
        <v>637</v>
      </c>
      <c r="B203" t="s">
        <v>3571</v>
      </c>
      <c r="C203">
        <v>0</v>
      </c>
      <c r="N203">
        <v>0</v>
      </c>
    </row>
    <row r="204" spans="1:14" hidden="1" x14ac:dyDescent="0.25">
      <c r="A204" t="s">
        <v>638</v>
      </c>
      <c r="B204" t="s">
        <v>3571</v>
      </c>
      <c r="C204">
        <v>0.1690909090909091</v>
      </c>
      <c r="K204">
        <v>465</v>
      </c>
      <c r="N204">
        <v>465</v>
      </c>
    </row>
    <row r="205" spans="1:14" hidden="1" x14ac:dyDescent="0.25">
      <c r="A205" t="s">
        <v>641</v>
      </c>
      <c r="B205" t="s">
        <v>3571</v>
      </c>
      <c r="C205">
        <v>0</v>
      </c>
      <c r="N205">
        <v>0</v>
      </c>
    </row>
    <row r="206" spans="1:14" hidden="1" x14ac:dyDescent="0.25">
      <c r="A206" t="s">
        <v>644</v>
      </c>
      <c r="B206" t="s">
        <v>3571</v>
      </c>
      <c r="C206">
        <v>0.5</v>
      </c>
      <c r="K206">
        <v>550</v>
      </c>
      <c r="N206">
        <v>550</v>
      </c>
    </row>
    <row r="207" spans="1:14" hidden="1" x14ac:dyDescent="0.25">
      <c r="A207" t="s">
        <v>647</v>
      </c>
      <c r="B207" t="s">
        <v>3571</v>
      </c>
      <c r="C207">
        <v>0</v>
      </c>
      <c r="N207">
        <v>0</v>
      </c>
    </row>
    <row r="208" spans="1:14" hidden="1" x14ac:dyDescent="0.25">
      <c r="A208" t="s">
        <v>650</v>
      </c>
      <c r="B208" t="s">
        <v>3571</v>
      </c>
      <c r="C208">
        <v>0</v>
      </c>
      <c r="N208">
        <v>0</v>
      </c>
    </row>
    <row r="209" spans="1:14" hidden="1" x14ac:dyDescent="0.25">
      <c r="A209" t="s">
        <v>651</v>
      </c>
      <c r="B209" t="s">
        <v>3571</v>
      </c>
      <c r="C209">
        <v>0</v>
      </c>
      <c r="N209">
        <v>0</v>
      </c>
    </row>
    <row r="210" spans="1:14" hidden="1" x14ac:dyDescent="0.25">
      <c r="A210" t="s">
        <v>654</v>
      </c>
      <c r="B210" t="s">
        <v>3571</v>
      </c>
      <c r="C210">
        <v>0</v>
      </c>
      <c r="N210">
        <v>0</v>
      </c>
    </row>
    <row r="211" spans="1:14" hidden="1" x14ac:dyDescent="0.25">
      <c r="A211" t="s">
        <v>657</v>
      </c>
      <c r="B211" t="s">
        <v>3571</v>
      </c>
      <c r="C211">
        <v>9.0909090909090912E-2</v>
      </c>
      <c r="L211">
        <v>1000</v>
      </c>
      <c r="N211">
        <v>1000</v>
      </c>
    </row>
    <row r="212" spans="1:14" hidden="1" x14ac:dyDescent="0.25">
      <c r="A212" t="s">
        <v>658</v>
      </c>
      <c r="B212" t="s">
        <v>3571</v>
      </c>
      <c r="C212">
        <v>3.6363636363636362E-2</v>
      </c>
      <c r="K212">
        <v>100</v>
      </c>
      <c r="N212">
        <v>100</v>
      </c>
    </row>
    <row r="213" spans="1:14" hidden="1" x14ac:dyDescent="0.25">
      <c r="A213" t="s">
        <v>661</v>
      </c>
      <c r="B213" t="s">
        <v>3571</v>
      </c>
      <c r="C213">
        <v>0.27272727272727271</v>
      </c>
      <c r="L213">
        <v>150</v>
      </c>
      <c r="N213">
        <v>150</v>
      </c>
    </row>
    <row r="214" spans="1:14" hidden="1" x14ac:dyDescent="0.25">
      <c r="A214" t="s">
        <v>664</v>
      </c>
      <c r="B214" t="s">
        <v>3571</v>
      </c>
      <c r="C214">
        <v>0.50909090909090904</v>
      </c>
      <c r="L214">
        <v>280</v>
      </c>
      <c r="N214">
        <v>280</v>
      </c>
    </row>
    <row r="215" spans="1:14" hidden="1" x14ac:dyDescent="0.25">
      <c r="A215" t="s">
        <v>667</v>
      </c>
      <c r="B215" t="s">
        <v>3571</v>
      </c>
      <c r="C215">
        <v>5.4545454545454543E-2</v>
      </c>
      <c r="L215">
        <v>60</v>
      </c>
      <c r="N215">
        <v>60</v>
      </c>
    </row>
    <row r="216" spans="1:14" hidden="1" x14ac:dyDescent="0.25">
      <c r="A216" t="s">
        <v>671</v>
      </c>
      <c r="B216" t="s">
        <v>3571</v>
      </c>
      <c r="C216">
        <v>9.0909090909090912E-2</v>
      </c>
      <c r="L216">
        <v>50</v>
      </c>
      <c r="N216">
        <v>50</v>
      </c>
    </row>
    <row r="217" spans="1:14" hidden="1" x14ac:dyDescent="0.25">
      <c r="A217" t="s">
        <v>674</v>
      </c>
      <c r="B217" t="s">
        <v>3571</v>
      </c>
      <c r="C217">
        <v>0.25454545454545452</v>
      </c>
      <c r="L217">
        <v>140</v>
      </c>
      <c r="N217">
        <v>140</v>
      </c>
    </row>
    <row r="218" spans="1:14" hidden="1" x14ac:dyDescent="0.25">
      <c r="A218" t="s">
        <v>677</v>
      </c>
      <c r="B218" t="s">
        <v>3571</v>
      </c>
      <c r="C218">
        <v>6.363636363636363E-2</v>
      </c>
      <c r="L218">
        <v>35</v>
      </c>
      <c r="N218">
        <v>35</v>
      </c>
    </row>
    <row r="219" spans="1:14" hidden="1" x14ac:dyDescent="0.25">
      <c r="A219" t="s">
        <v>680</v>
      </c>
      <c r="B219" t="s">
        <v>3571</v>
      </c>
      <c r="C219">
        <v>0.2181818181818182</v>
      </c>
      <c r="L219">
        <v>120</v>
      </c>
      <c r="N219">
        <v>120</v>
      </c>
    </row>
    <row r="220" spans="1:14" hidden="1" x14ac:dyDescent="0.25">
      <c r="A220" t="s">
        <v>683</v>
      </c>
      <c r="B220" t="s">
        <v>3571</v>
      </c>
      <c r="C220">
        <v>0</v>
      </c>
      <c r="N220">
        <v>0</v>
      </c>
    </row>
    <row r="221" spans="1:14" hidden="1" x14ac:dyDescent="0.25">
      <c r="A221" t="s">
        <v>684</v>
      </c>
      <c r="B221" t="s">
        <v>3571</v>
      </c>
      <c r="C221">
        <v>0.13636363636363641</v>
      </c>
      <c r="L221">
        <v>150</v>
      </c>
      <c r="N221">
        <v>150</v>
      </c>
    </row>
    <row r="222" spans="1:14" hidden="1" x14ac:dyDescent="0.25">
      <c r="A222" t="s">
        <v>686</v>
      </c>
      <c r="B222" t="s">
        <v>3571</v>
      </c>
      <c r="C222">
        <v>0</v>
      </c>
      <c r="N222">
        <v>0</v>
      </c>
    </row>
    <row r="223" spans="1:14" hidden="1" x14ac:dyDescent="0.25">
      <c r="A223" t="s">
        <v>690</v>
      </c>
      <c r="B223" t="s">
        <v>3571</v>
      </c>
      <c r="C223">
        <v>0.25454545454545452</v>
      </c>
      <c r="L223">
        <v>140</v>
      </c>
      <c r="N223">
        <v>140</v>
      </c>
    </row>
    <row r="224" spans="1:14" hidden="1" x14ac:dyDescent="0.25">
      <c r="A224" t="s">
        <v>693</v>
      </c>
      <c r="B224" t="s">
        <v>3571</v>
      </c>
      <c r="C224">
        <v>0</v>
      </c>
      <c r="N224">
        <v>0</v>
      </c>
    </row>
    <row r="225" spans="1:14" hidden="1" x14ac:dyDescent="0.25">
      <c r="A225" t="s">
        <v>694</v>
      </c>
      <c r="B225" t="s">
        <v>3571</v>
      </c>
      <c r="C225">
        <v>0</v>
      </c>
      <c r="N225">
        <v>0</v>
      </c>
    </row>
    <row r="226" spans="1:14" hidden="1" x14ac:dyDescent="0.25">
      <c r="A226" t="s">
        <v>697</v>
      </c>
      <c r="B226" t="s">
        <v>3571</v>
      </c>
      <c r="C226">
        <v>0</v>
      </c>
      <c r="N226">
        <v>0</v>
      </c>
    </row>
    <row r="227" spans="1:14" hidden="1" x14ac:dyDescent="0.25">
      <c r="A227" t="s">
        <v>700</v>
      </c>
      <c r="B227" t="s">
        <v>3571</v>
      </c>
      <c r="C227">
        <v>0.59090909090909094</v>
      </c>
      <c r="L227">
        <v>650</v>
      </c>
      <c r="N227">
        <v>650</v>
      </c>
    </row>
    <row r="228" spans="1:14" hidden="1" x14ac:dyDescent="0.25">
      <c r="A228" t="s">
        <v>703</v>
      </c>
      <c r="B228" t="s">
        <v>3571</v>
      </c>
      <c r="C228">
        <v>0.1818181818181818</v>
      </c>
      <c r="L228">
        <v>100</v>
      </c>
      <c r="N228">
        <v>100</v>
      </c>
    </row>
    <row r="229" spans="1:14" hidden="1" x14ac:dyDescent="0.25">
      <c r="A229" t="s">
        <v>706</v>
      </c>
      <c r="B229" t="s">
        <v>3571</v>
      </c>
      <c r="C229">
        <v>0</v>
      </c>
      <c r="N229">
        <v>0</v>
      </c>
    </row>
    <row r="230" spans="1:14" hidden="1" x14ac:dyDescent="0.25">
      <c r="A230" t="s">
        <v>707</v>
      </c>
      <c r="B230" t="s">
        <v>3571</v>
      </c>
      <c r="C230">
        <v>0.27272727272727271</v>
      </c>
      <c r="L230">
        <v>300</v>
      </c>
      <c r="N230">
        <v>300</v>
      </c>
    </row>
    <row r="231" spans="1:14" hidden="1" x14ac:dyDescent="0.25">
      <c r="A231" t="s">
        <v>710</v>
      </c>
      <c r="B231" t="s">
        <v>3571</v>
      </c>
      <c r="C231">
        <v>0</v>
      </c>
      <c r="N231">
        <v>0</v>
      </c>
    </row>
    <row r="232" spans="1:14" hidden="1" x14ac:dyDescent="0.25">
      <c r="A232" t="s">
        <v>713</v>
      </c>
      <c r="B232" t="s">
        <v>3571</v>
      </c>
      <c r="C232">
        <v>9.0909090909090912E-2</v>
      </c>
      <c r="L232">
        <v>100</v>
      </c>
      <c r="N232">
        <v>100</v>
      </c>
    </row>
    <row r="233" spans="1:14" hidden="1" x14ac:dyDescent="0.25">
      <c r="A233" t="s">
        <v>716</v>
      </c>
      <c r="B233" t="s">
        <v>3571</v>
      </c>
      <c r="C233">
        <v>0.20909090909090911</v>
      </c>
      <c r="L233">
        <v>115</v>
      </c>
      <c r="N233">
        <v>115</v>
      </c>
    </row>
    <row r="234" spans="1:14" hidden="1" x14ac:dyDescent="0.25">
      <c r="A234" t="s">
        <v>717</v>
      </c>
      <c r="B234" t="s">
        <v>3571</v>
      </c>
      <c r="C234">
        <v>0.11818181818181819</v>
      </c>
      <c r="L234">
        <v>130</v>
      </c>
      <c r="N234">
        <v>130</v>
      </c>
    </row>
    <row r="235" spans="1:14" hidden="1" x14ac:dyDescent="0.25">
      <c r="A235" t="s">
        <v>720</v>
      </c>
      <c r="B235" t="s">
        <v>3571</v>
      </c>
      <c r="C235">
        <v>0</v>
      </c>
      <c r="N235">
        <v>0</v>
      </c>
    </row>
    <row r="236" spans="1:14" hidden="1" x14ac:dyDescent="0.25">
      <c r="A236" t="s">
        <v>723</v>
      </c>
      <c r="B236" t="s">
        <v>3571</v>
      </c>
      <c r="C236">
        <v>0.27272727272727271</v>
      </c>
      <c r="L236">
        <v>150</v>
      </c>
      <c r="N236">
        <v>150</v>
      </c>
    </row>
    <row r="237" spans="1:14" hidden="1" x14ac:dyDescent="0.25">
      <c r="A237" t="s">
        <v>726</v>
      </c>
      <c r="B237" t="s">
        <v>3571</v>
      </c>
      <c r="C237">
        <v>0</v>
      </c>
      <c r="N237">
        <v>0</v>
      </c>
    </row>
    <row r="238" spans="1:14" hidden="1" x14ac:dyDescent="0.25">
      <c r="A238" t="s">
        <v>730</v>
      </c>
      <c r="B238" t="s">
        <v>3571</v>
      </c>
      <c r="C238">
        <v>1.8181818181818181E-2</v>
      </c>
      <c r="L238">
        <v>100</v>
      </c>
      <c r="N238">
        <v>100</v>
      </c>
    </row>
    <row r="239" spans="1:14" hidden="1" x14ac:dyDescent="0.25">
      <c r="A239" t="s">
        <v>733</v>
      </c>
      <c r="B239" t="s">
        <v>3571</v>
      </c>
      <c r="C239">
        <v>0</v>
      </c>
      <c r="N239">
        <v>0</v>
      </c>
    </row>
    <row r="240" spans="1:14" hidden="1" x14ac:dyDescent="0.25">
      <c r="A240" t="s">
        <v>736</v>
      </c>
      <c r="B240" t="s">
        <v>3571</v>
      </c>
      <c r="C240">
        <v>0</v>
      </c>
      <c r="N240">
        <v>0</v>
      </c>
    </row>
    <row r="241" spans="1:14" hidden="1" x14ac:dyDescent="0.25">
      <c r="A241" t="s">
        <v>740</v>
      </c>
      <c r="B241" t="s">
        <v>3571</v>
      </c>
      <c r="C241">
        <v>0</v>
      </c>
      <c r="N241">
        <v>0</v>
      </c>
    </row>
    <row r="242" spans="1:14" hidden="1" x14ac:dyDescent="0.25">
      <c r="A242" t="s">
        <v>743</v>
      </c>
      <c r="B242" t="s">
        <v>3571</v>
      </c>
      <c r="C242">
        <v>0</v>
      </c>
      <c r="N242">
        <v>0</v>
      </c>
    </row>
    <row r="243" spans="1:14" hidden="1" x14ac:dyDescent="0.25">
      <c r="A243" t="s">
        <v>746</v>
      </c>
      <c r="B243" t="s">
        <v>3571</v>
      </c>
      <c r="C243">
        <v>0</v>
      </c>
      <c r="N243">
        <v>0</v>
      </c>
    </row>
    <row r="244" spans="1:14" hidden="1" x14ac:dyDescent="0.25">
      <c r="A244" t="s">
        <v>750</v>
      </c>
      <c r="B244" t="s">
        <v>3571</v>
      </c>
      <c r="C244">
        <v>0</v>
      </c>
      <c r="N244">
        <v>0</v>
      </c>
    </row>
    <row r="245" spans="1:14" hidden="1" x14ac:dyDescent="0.25">
      <c r="A245" t="s">
        <v>751</v>
      </c>
      <c r="B245" t="s">
        <v>3571</v>
      </c>
      <c r="C245">
        <v>0</v>
      </c>
      <c r="N245">
        <v>0</v>
      </c>
    </row>
    <row r="246" spans="1:14" hidden="1" x14ac:dyDescent="0.25">
      <c r="A246" t="s">
        <v>755</v>
      </c>
      <c r="B246" t="s">
        <v>3571</v>
      </c>
      <c r="C246">
        <v>0.13636363636363641</v>
      </c>
      <c r="L246">
        <v>150</v>
      </c>
      <c r="N246">
        <v>150</v>
      </c>
    </row>
    <row r="247" spans="1:14" hidden="1" x14ac:dyDescent="0.25">
      <c r="A247" t="s">
        <v>758</v>
      </c>
      <c r="B247" t="s">
        <v>3571</v>
      </c>
      <c r="C247">
        <v>0</v>
      </c>
      <c r="N247">
        <v>0</v>
      </c>
    </row>
    <row r="248" spans="1:14" hidden="1" x14ac:dyDescent="0.25">
      <c r="A248" t="s">
        <v>761</v>
      </c>
      <c r="B248" t="s">
        <v>3571</v>
      </c>
      <c r="C248">
        <v>0</v>
      </c>
      <c r="N248">
        <v>0</v>
      </c>
    </row>
    <row r="249" spans="1:14" hidden="1" x14ac:dyDescent="0.25">
      <c r="A249" t="s">
        <v>764</v>
      </c>
      <c r="B249" t="s">
        <v>3571</v>
      </c>
      <c r="C249">
        <v>0</v>
      </c>
      <c r="N249">
        <v>0</v>
      </c>
    </row>
    <row r="250" spans="1:14" hidden="1" x14ac:dyDescent="0.25">
      <c r="A250" t="s">
        <v>767</v>
      </c>
      <c r="B250" t="s">
        <v>3571</v>
      </c>
      <c r="C250">
        <v>0</v>
      </c>
      <c r="N250">
        <v>0</v>
      </c>
    </row>
    <row r="251" spans="1:14" hidden="1" x14ac:dyDescent="0.25">
      <c r="A251" t="s">
        <v>770</v>
      </c>
      <c r="B251" t="s">
        <v>3571</v>
      </c>
      <c r="C251">
        <v>6.0606060606060606E-3</v>
      </c>
      <c r="L251">
        <v>10</v>
      </c>
      <c r="N251">
        <v>10</v>
      </c>
    </row>
    <row r="252" spans="1:14" hidden="1" x14ac:dyDescent="0.25">
      <c r="A252" t="s">
        <v>773</v>
      </c>
      <c r="B252" t="s">
        <v>3571</v>
      </c>
      <c r="C252">
        <v>0</v>
      </c>
      <c r="N252">
        <v>0</v>
      </c>
    </row>
    <row r="253" spans="1:14" hidden="1" x14ac:dyDescent="0.25">
      <c r="A253" t="s">
        <v>776</v>
      </c>
      <c r="B253" t="s">
        <v>3571</v>
      </c>
      <c r="C253">
        <v>0</v>
      </c>
      <c r="N253">
        <v>0</v>
      </c>
    </row>
    <row r="254" spans="1:14" hidden="1" x14ac:dyDescent="0.25">
      <c r="A254" t="s">
        <v>779</v>
      </c>
      <c r="B254" t="s">
        <v>3571</v>
      </c>
      <c r="C254">
        <v>0</v>
      </c>
      <c r="N254">
        <v>0</v>
      </c>
    </row>
    <row r="255" spans="1:14" hidden="1" x14ac:dyDescent="0.25">
      <c r="A255" t="s">
        <v>782</v>
      </c>
      <c r="B255" t="s">
        <v>3571</v>
      </c>
      <c r="C255">
        <v>1</v>
      </c>
      <c r="L255">
        <v>550</v>
      </c>
      <c r="N255">
        <v>550</v>
      </c>
    </row>
    <row r="256" spans="1:14" hidden="1" x14ac:dyDescent="0.25">
      <c r="A256" t="s">
        <v>785</v>
      </c>
      <c r="B256" t="s">
        <v>3571</v>
      </c>
      <c r="C256">
        <v>0</v>
      </c>
      <c r="N256">
        <v>0</v>
      </c>
    </row>
    <row r="257" spans="1:14" hidden="1" x14ac:dyDescent="0.25">
      <c r="A257" t="s">
        <v>786</v>
      </c>
      <c r="B257" t="s">
        <v>3571</v>
      </c>
      <c r="C257">
        <v>0</v>
      </c>
      <c r="N257">
        <v>0</v>
      </c>
    </row>
    <row r="258" spans="1:14" hidden="1" x14ac:dyDescent="0.25">
      <c r="A258" t="s">
        <v>789</v>
      </c>
      <c r="B258" t="s">
        <v>3571</v>
      </c>
      <c r="C258">
        <v>0</v>
      </c>
      <c r="N258">
        <v>0</v>
      </c>
    </row>
    <row r="259" spans="1:14" hidden="1" x14ac:dyDescent="0.25">
      <c r="A259" t="s">
        <v>3913</v>
      </c>
      <c r="B259" t="s">
        <v>3571</v>
      </c>
    </row>
    <row r="260" spans="1:14" x14ac:dyDescent="0.25">
      <c r="A260" t="s">
        <v>855</v>
      </c>
      <c r="B260" t="s">
        <v>3571</v>
      </c>
      <c r="C260">
        <v>0.45454545454545447</v>
      </c>
      <c r="D260">
        <v>1000</v>
      </c>
      <c r="N260">
        <v>1000</v>
      </c>
    </row>
    <row r="261" spans="1:14" hidden="1" x14ac:dyDescent="0.25">
      <c r="A261" t="s">
        <v>858</v>
      </c>
      <c r="B261" t="s">
        <v>3571</v>
      </c>
      <c r="C261">
        <v>0</v>
      </c>
      <c r="N261">
        <v>0</v>
      </c>
    </row>
    <row r="262" spans="1:14" hidden="1" x14ac:dyDescent="0.25">
      <c r="A262" t="s">
        <v>861</v>
      </c>
      <c r="B262" t="s">
        <v>3571</v>
      </c>
      <c r="C262">
        <v>0.1863636363636364</v>
      </c>
      <c r="D262">
        <v>150</v>
      </c>
      <c r="E262">
        <v>55</v>
      </c>
      <c r="N262">
        <v>205</v>
      </c>
    </row>
    <row r="263" spans="1:14" hidden="1" x14ac:dyDescent="0.25">
      <c r="A263" t="s">
        <v>864</v>
      </c>
      <c r="B263" t="s">
        <v>3571</v>
      </c>
      <c r="C263">
        <v>0.81818181818181823</v>
      </c>
      <c r="E263">
        <v>1800</v>
      </c>
      <c r="N263">
        <v>1800</v>
      </c>
    </row>
    <row r="264" spans="1:14" hidden="1" x14ac:dyDescent="0.25">
      <c r="A264" t="s">
        <v>865</v>
      </c>
      <c r="B264" t="s">
        <v>3571</v>
      </c>
      <c r="C264">
        <v>1</v>
      </c>
      <c r="F264">
        <v>2200</v>
      </c>
      <c r="N264">
        <v>2200</v>
      </c>
    </row>
    <row r="265" spans="1:14" hidden="1" x14ac:dyDescent="0.25">
      <c r="A265" t="s">
        <v>866</v>
      </c>
      <c r="B265" t="s">
        <v>3571</v>
      </c>
      <c r="C265">
        <v>0.61363636363636365</v>
      </c>
      <c r="E265">
        <v>700</v>
      </c>
      <c r="F265">
        <v>650</v>
      </c>
      <c r="N265">
        <v>1350</v>
      </c>
    </row>
    <row r="266" spans="1:14" hidden="1" x14ac:dyDescent="0.25">
      <c r="A266" t="s">
        <v>869</v>
      </c>
      <c r="B266" t="s">
        <v>3571</v>
      </c>
      <c r="C266">
        <v>0.2181818181818182</v>
      </c>
      <c r="D266">
        <v>240</v>
      </c>
      <c r="N266">
        <v>240</v>
      </c>
    </row>
    <row r="267" spans="1:14" hidden="1" x14ac:dyDescent="0.25">
      <c r="A267" t="s">
        <v>872</v>
      </c>
      <c r="B267" t="s">
        <v>3571</v>
      </c>
      <c r="C267">
        <v>0.42499999999999999</v>
      </c>
      <c r="E267">
        <v>300</v>
      </c>
      <c r="F267">
        <v>40</v>
      </c>
      <c r="N267">
        <v>340</v>
      </c>
    </row>
    <row r="268" spans="1:14" hidden="1" x14ac:dyDescent="0.25">
      <c r="A268" t="s">
        <v>875</v>
      </c>
      <c r="B268" t="s">
        <v>3571</v>
      </c>
      <c r="C268">
        <v>1.242424242424242</v>
      </c>
      <c r="E268">
        <v>1650</v>
      </c>
      <c r="I268">
        <v>400</v>
      </c>
      <c r="N268">
        <v>2050</v>
      </c>
    </row>
    <row r="269" spans="1:14" hidden="1" x14ac:dyDescent="0.25">
      <c r="A269" t="s">
        <v>878</v>
      </c>
      <c r="B269" t="s">
        <v>3571</v>
      </c>
      <c r="C269">
        <v>1.572727272727273</v>
      </c>
      <c r="E269">
        <v>500</v>
      </c>
      <c r="F269">
        <v>365</v>
      </c>
      <c r="N269">
        <v>865</v>
      </c>
    </row>
    <row r="270" spans="1:14" hidden="1" x14ac:dyDescent="0.25">
      <c r="A270" t="s">
        <v>881</v>
      </c>
      <c r="B270" t="s">
        <v>3571</v>
      </c>
      <c r="C270">
        <v>0.11583011583011581</v>
      </c>
      <c r="E270">
        <v>150</v>
      </c>
      <c r="N270">
        <v>150</v>
      </c>
    </row>
    <row r="271" spans="1:14" hidden="1" x14ac:dyDescent="0.25">
      <c r="A271" t="s">
        <v>884</v>
      </c>
      <c r="B271" t="s">
        <v>3571</v>
      </c>
      <c r="C271">
        <v>0</v>
      </c>
      <c r="N271">
        <v>0</v>
      </c>
    </row>
    <row r="272" spans="1:14" hidden="1" x14ac:dyDescent="0.25">
      <c r="A272" t="s">
        <v>887</v>
      </c>
      <c r="B272" t="s">
        <v>3571</v>
      </c>
      <c r="C272">
        <v>0</v>
      </c>
      <c r="N272">
        <v>0</v>
      </c>
    </row>
    <row r="273" spans="1:14" hidden="1" x14ac:dyDescent="0.25">
      <c r="A273" t="s">
        <v>890</v>
      </c>
      <c r="B273" t="s">
        <v>3571</v>
      </c>
      <c r="C273">
        <v>1.439393939393939</v>
      </c>
      <c r="E273">
        <v>550</v>
      </c>
      <c r="F273">
        <v>400</v>
      </c>
      <c r="N273">
        <v>950</v>
      </c>
    </row>
    <row r="274" spans="1:14" hidden="1" x14ac:dyDescent="0.25">
      <c r="A274" t="s">
        <v>894</v>
      </c>
      <c r="B274" t="s">
        <v>3571</v>
      </c>
      <c r="C274">
        <v>0</v>
      </c>
      <c r="N274">
        <v>0</v>
      </c>
    </row>
    <row r="275" spans="1:14" hidden="1" x14ac:dyDescent="0.25">
      <c r="A275" t="s">
        <v>898</v>
      </c>
      <c r="B275" t="s">
        <v>3571</v>
      </c>
      <c r="C275">
        <v>1.3636363636363639E-2</v>
      </c>
      <c r="G275">
        <v>30</v>
      </c>
      <c r="N275">
        <v>30</v>
      </c>
    </row>
    <row r="276" spans="1:14" hidden="1" x14ac:dyDescent="0.25">
      <c r="A276" t="s">
        <v>901</v>
      </c>
      <c r="B276" t="s">
        <v>3571</v>
      </c>
      <c r="C276">
        <v>5.4545454545454543E-2</v>
      </c>
      <c r="G276">
        <v>30</v>
      </c>
      <c r="N276">
        <v>30</v>
      </c>
    </row>
    <row r="277" spans="1:14" hidden="1" x14ac:dyDescent="0.25">
      <c r="A277" t="s">
        <v>904</v>
      </c>
      <c r="B277" t="s">
        <v>3571</v>
      </c>
      <c r="C277">
        <v>4.2060988433228183E-2</v>
      </c>
      <c r="E277">
        <v>40</v>
      </c>
      <c r="N277">
        <v>40</v>
      </c>
    </row>
    <row r="278" spans="1:14" hidden="1" x14ac:dyDescent="0.25">
      <c r="A278" t="s">
        <v>908</v>
      </c>
      <c r="B278" t="s">
        <v>3571</v>
      </c>
      <c r="C278">
        <v>0</v>
      </c>
      <c r="N278">
        <v>0</v>
      </c>
    </row>
    <row r="279" spans="1:14" hidden="1" x14ac:dyDescent="0.25">
      <c r="A279" t="s">
        <v>911</v>
      </c>
      <c r="B279" t="s">
        <v>3571</v>
      </c>
      <c r="C279">
        <v>0</v>
      </c>
      <c r="N279">
        <v>0</v>
      </c>
    </row>
    <row r="280" spans="1:14" hidden="1" x14ac:dyDescent="0.25">
      <c r="A280" t="s">
        <v>914</v>
      </c>
      <c r="B280" t="s">
        <v>3571</v>
      </c>
      <c r="C280">
        <v>0</v>
      </c>
      <c r="N280">
        <v>0</v>
      </c>
    </row>
    <row r="281" spans="1:14" hidden="1" x14ac:dyDescent="0.25">
      <c r="A281" t="s">
        <v>917</v>
      </c>
      <c r="B281" t="s">
        <v>3571</v>
      </c>
      <c r="C281">
        <v>0.1047430830039526</v>
      </c>
      <c r="G281">
        <v>40</v>
      </c>
      <c r="I281">
        <v>225</v>
      </c>
      <c r="N281">
        <v>265</v>
      </c>
    </row>
    <row r="282" spans="1:14" hidden="1" x14ac:dyDescent="0.25">
      <c r="A282" t="s">
        <v>921</v>
      </c>
      <c r="B282" t="s">
        <v>3571</v>
      </c>
      <c r="C282">
        <v>0.34242424242424241</v>
      </c>
      <c r="F282">
        <v>40</v>
      </c>
      <c r="G282">
        <v>86</v>
      </c>
      <c r="I282">
        <v>100</v>
      </c>
      <c r="N282">
        <v>226</v>
      </c>
    </row>
    <row r="283" spans="1:14" hidden="1" x14ac:dyDescent="0.25">
      <c r="A283" t="s">
        <v>922</v>
      </c>
      <c r="B283" t="s">
        <v>3571</v>
      </c>
      <c r="C283">
        <v>0</v>
      </c>
      <c r="N283">
        <v>0</v>
      </c>
    </row>
    <row r="284" spans="1:14" hidden="1" x14ac:dyDescent="0.25">
      <c r="A284" t="s">
        <v>926</v>
      </c>
      <c r="B284" t="s">
        <v>3571</v>
      </c>
      <c r="C284">
        <v>0.26</v>
      </c>
      <c r="G284">
        <v>286</v>
      </c>
      <c r="N284">
        <v>286</v>
      </c>
    </row>
    <row r="285" spans="1:14" hidden="1" x14ac:dyDescent="0.25">
      <c r="A285" t="s">
        <v>929</v>
      </c>
      <c r="B285" t="s">
        <v>3571</v>
      </c>
      <c r="C285">
        <v>0</v>
      </c>
      <c r="N285">
        <v>0</v>
      </c>
    </row>
    <row r="286" spans="1:14" hidden="1" x14ac:dyDescent="0.25">
      <c r="A286" t="s">
        <v>932</v>
      </c>
      <c r="B286" t="s">
        <v>3571</v>
      </c>
      <c r="C286">
        <v>0.47058823529411759</v>
      </c>
      <c r="G286">
        <v>200</v>
      </c>
      <c r="N286">
        <v>200</v>
      </c>
    </row>
    <row r="287" spans="1:14" hidden="1" x14ac:dyDescent="0.25">
      <c r="A287" t="s">
        <v>933</v>
      </c>
      <c r="B287" t="s">
        <v>3571</v>
      </c>
      <c r="C287">
        <v>0</v>
      </c>
      <c r="N287">
        <v>0</v>
      </c>
    </row>
    <row r="288" spans="1:14" hidden="1" x14ac:dyDescent="0.25">
      <c r="A288" t="s">
        <v>936</v>
      </c>
      <c r="B288" t="s">
        <v>3571</v>
      </c>
      <c r="C288">
        <v>0.6454545454545455</v>
      </c>
      <c r="G288">
        <v>600</v>
      </c>
      <c r="J288">
        <v>110</v>
      </c>
      <c r="N288">
        <v>710</v>
      </c>
    </row>
    <row r="289" spans="1:14" hidden="1" x14ac:dyDescent="0.25">
      <c r="A289" t="s">
        <v>939</v>
      </c>
      <c r="B289" t="s">
        <v>3571</v>
      </c>
      <c r="C289">
        <v>0.55019762845849807</v>
      </c>
      <c r="F289">
        <v>1142</v>
      </c>
      <c r="G289">
        <v>150</v>
      </c>
      <c r="I289">
        <v>100</v>
      </c>
      <c r="N289">
        <v>1392</v>
      </c>
    </row>
    <row r="290" spans="1:14" hidden="1" x14ac:dyDescent="0.25">
      <c r="A290" t="s">
        <v>942</v>
      </c>
      <c r="B290" t="s">
        <v>3571</v>
      </c>
      <c r="C290">
        <v>0.36363636363636359</v>
      </c>
      <c r="G290">
        <v>200</v>
      </c>
      <c r="N290">
        <v>200</v>
      </c>
    </row>
    <row r="291" spans="1:14" hidden="1" x14ac:dyDescent="0.25">
      <c r="A291" t="s">
        <v>945</v>
      </c>
      <c r="B291" t="s">
        <v>3571</v>
      </c>
      <c r="C291">
        <v>0</v>
      </c>
      <c r="N291">
        <v>0</v>
      </c>
    </row>
    <row r="292" spans="1:14" hidden="1" x14ac:dyDescent="0.25">
      <c r="A292" t="s">
        <v>949</v>
      </c>
      <c r="B292" t="s">
        <v>3571</v>
      </c>
      <c r="C292">
        <v>0.5</v>
      </c>
      <c r="H292">
        <v>2200</v>
      </c>
      <c r="N292">
        <v>2200</v>
      </c>
    </row>
    <row r="293" spans="1:14" hidden="1" x14ac:dyDescent="0.25">
      <c r="A293" t="s">
        <v>952</v>
      </c>
      <c r="B293" t="s">
        <v>3571</v>
      </c>
      <c r="C293">
        <v>1.5772727272727269</v>
      </c>
      <c r="H293">
        <v>1372</v>
      </c>
      <c r="I293">
        <v>363</v>
      </c>
      <c r="N293">
        <v>1735</v>
      </c>
    </row>
    <row r="294" spans="1:14" hidden="1" x14ac:dyDescent="0.25">
      <c r="A294" t="s">
        <v>956</v>
      </c>
      <c r="B294" t="s">
        <v>3571</v>
      </c>
      <c r="C294">
        <v>0.80217391304347829</v>
      </c>
      <c r="H294">
        <v>307</v>
      </c>
      <c r="I294">
        <v>62</v>
      </c>
      <c r="N294">
        <v>369</v>
      </c>
    </row>
    <row r="295" spans="1:14" hidden="1" x14ac:dyDescent="0.25">
      <c r="A295" t="s">
        <v>957</v>
      </c>
      <c r="B295" t="s">
        <v>3571</v>
      </c>
      <c r="C295">
        <v>0</v>
      </c>
      <c r="N295">
        <v>0</v>
      </c>
    </row>
    <row r="296" spans="1:14" hidden="1" x14ac:dyDescent="0.25">
      <c r="A296" t="s">
        <v>958</v>
      </c>
      <c r="B296" t="s">
        <v>3571</v>
      </c>
      <c r="C296">
        <v>1.1181818181818179</v>
      </c>
      <c r="H296">
        <v>310</v>
      </c>
      <c r="I296">
        <v>200</v>
      </c>
      <c r="J296">
        <v>105</v>
      </c>
      <c r="N296">
        <v>615</v>
      </c>
    </row>
    <row r="297" spans="1:14" hidden="1" x14ac:dyDescent="0.25">
      <c r="A297" t="s">
        <v>961</v>
      </c>
      <c r="B297" t="s">
        <v>3571</v>
      </c>
      <c r="C297">
        <v>1.050588235294118</v>
      </c>
      <c r="G297">
        <v>1150</v>
      </c>
      <c r="H297">
        <v>532</v>
      </c>
      <c r="I297">
        <v>1890</v>
      </c>
      <c r="N297">
        <v>3572</v>
      </c>
    </row>
    <row r="298" spans="1:14" hidden="1" x14ac:dyDescent="0.25">
      <c r="A298" t="s">
        <v>965</v>
      </c>
      <c r="B298" t="s">
        <v>3571</v>
      </c>
      <c r="C298">
        <v>0.14545454545454539</v>
      </c>
      <c r="G298">
        <v>50</v>
      </c>
      <c r="H298">
        <v>110</v>
      </c>
      <c r="N298">
        <v>160</v>
      </c>
    </row>
    <row r="299" spans="1:14" hidden="1" x14ac:dyDescent="0.25">
      <c r="A299" t="s">
        <v>968</v>
      </c>
      <c r="B299" t="s">
        <v>3571</v>
      </c>
      <c r="C299">
        <v>0</v>
      </c>
      <c r="N299">
        <v>0</v>
      </c>
    </row>
    <row r="300" spans="1:14" hidden="1" x14ac:dyDescent="0.25">
      <c r="A300" t="s">
        <v>971</v>
      </c>
      <c r="B300" t="s">
        <v>3571</v>
      </c>
      <c r="C300">
        <v>0.48818181818181822</v>
      </c>
      <c r="H300">
        <v>181</v>
      </c>
      <c r="I300">
        <v>356</v>
      </c>
      <c r="N300">
        <v>537</v>
      </c>
    </row>
    <row r="301" spans="1:14" hidden="1" x14ac:dyDescent="0.25">
      <c r="A301" t="s">
        <v>974</v>
      </c>
      <c r="B301" t="s">
        <v>3571</v>
      </c>
      <c r="C301">
        <v>0</v>
      </c>
      <c r="N301">
        <v>0</v>
      </c>
    </row>
    <row r="302" spans="1:14" hidden="1" x14ac:dyDescent="0.25">
      <c r="A302" t="s">
        <v>975</v>
      </c>
      <c r="B302" t="s">
        <v>3571</v>
      </c>
      <c r="C302">
        <v>7.8864353312302835E-2</v>
      </c>
      <c r="H302">
        <v>250</v>
      </c>
      <c r="N302">
        <v>250</v>
      </c>
    </row>
    <row r="303" spans="1:14" hidden="1" x14ac:dyDescent="0.25">
      <c r="A303" t="s">
        <v>978</v>
      </c>
      <c r="B303" t="s">
        <v>3571</v>
      </c>
      <c r="C303">
        <v>1</v>
      </c>
      <c r="H303">
        <v>1100</v>
      </c>
      <c r="N303">
        <v>1100</v>
      </c>
    </row>
    <row r="304" spans="1:14" hidden="1" x14ac:dyDescent="0.25">
      <c r="A304" t="s">
        <v>981</v>
      </c>
      <c r="B304" t="s">
        <v>3571</v>
      </c>
      <c r="C304">
        <v>0.80636363636363639</v>
      </c>
      <c r="H304">
        <v>550</v>
      </c>
      <c r="I304">
        <v>337</v>
      </c>
      <c r="N304">
        <v>887</v>
      </c>
    </row>
    <row r="305" spans="1:14" hidden="1" x14ac:dyDescent="0.25">
      <c r="A305" t="s">
        <v>984</v>
      </c>
      <c r="B305" t="s">
        <v>3571</v>
      </c>
      <c r="C305">
        <v>1.112727272727273</v>
      </c>
      <c r="G305">
        <v>195</v>
      </c>
      <c r="H305">
        <v>425</v>
      </c>
      <c r="I305">
        <v>604</v>
      </c>
      <c r="N305">
        <v>1224</v>
      </c>
    </row>
    <row r="306" spans="1:14" hidden="1" x14ac:dyDescent="0.25">
      <c r="A306" t="s">
        <v>988</v>
      </c>
      <c r="B306" t="s">
        <v>3571</v>
      </c>
      <c r="C306">
        <v>0.13090909090909089</v>
      </c>
      <c r="H306">
        <v>112</v>
      </c>
      <c r="I306">
        <v>32</v>
      </c>
      <c r="N306">
        <v>144</v>
      </c>
    </row>
    <row r="307" spans="1:14" hidden="1" x14ac:dyDescent="0.25">
      <c r="A307" t="s">
        <v>991</v>
      </c>
      <c r="B307" t="s">
        <v>3571</v>
      </c>
      <c r="C307">
        <v>5.8181818181818182E-2</v>
      </c>
      <c r="G307">
        <v>64</v>
      </c>
      <c r="N307">
        <v>64</v>
      </c>
    </row>
    <row r="308" spans="1:14" hidden="1" x14ac:dyDescent="0.25">
      <c r="A308" t="s">
        <v>994</v>
      </c>
      <c r="B308" t="s">
        <v>3571</v>
      </c>
      <c r="C308">
        <v>0.36477272727272719</v>
      </c>
      <c r="H308">
        <v>271</v>
      </c>
      <c r="I308">
        <v>50</v>
      </c>
      <c r="N308">
        <v>321</v>
      </c>
    </row>
    <row r="309" spans="1:14" hidden="1" x14ac:dyDescent="0.25">
      <c r="A309" t="s">
        <v>997</v>
      </c>
      <c r="B309" t="s">
        <v>3571</v>
      </c>
      <c r="C309">
        <v>0.80181818181818176</v>
      </c>
      <c r="G309">
        <v>82</v>
      </c>
      <c r="H309">
        <v>800</v>
      </c>
      <c r="N309">
        <v>882</v>
      </c>
    </row>
    <row r="310" spans="1:14" hidden="1" x14ac:dyDescent="0.25">
      <c r="A310" t="s">
        <v>1000</v>
      </c>
      <c r="B310" t="s">
        <v>3571</v>
      </c>
      <c r="C310">
        <v>0.65454545454545454</v>
      </c>
      <c r="G310">
        <v>320</v>
      </c>
      <c r="I310">
        <v>400</v>
      </c>
      <c r="N310">
        <v>720</v>
      </c>
    </row>
    <row r="311" spans="1:14" hidden="1" x14ac:dyDescent="0.25">
      <c r="A311" t="s">
        <v>1003</v>
      </c>
      <c r="B311" t="s">
        <v>3571</v>
      </c>
      <c r="C311">
        <v>0.36363636363636359</v>
      </c>
      <c r="I311">
        <v>400</v>
      </c>
      <c r="N311">
        <v>400</v>
      </c>
    </row>
    <row r="312" spans="1:14" hidden="1" x14ac:dyDescent="0.25">
      <c r="A312" t="s">
        <v>1006</v>
      </c>
      <c r="B312" t="s">
        <v>3571</v>
      </c>
      <c r="C312">
        <v>0.5033333333333333</v>
      </c>
      <c r="I312">
        <v>1661</v>
      </c>
      <c r="N312">
        <v>1661</v>
      </c>
    </row>
    <row r="313" spans="1:14" hidden="1" x14ac:dyDescent="0.25">
      <c r="A313" t="s">
        <v>1010</v>
      </c>
      <c r="B313" t="s">
        <v>3571</v>
      </c>
      <c r="C313">
        <v>0.68181818181818177</v>
      </c>
      <c r="H313">
        <v>506</v>
      </c>
      <c r="I313">
        <v>160</v>
      </c>
      <c r="J313">
        <v>84</v>
      </c>
      <c r="N313">
        <v>750</v>
      </c>
    </row>
    <row r="314" spans="1:14" hidden="1" x14ac:dyDescent="0.25">
      <c r="A314" t="s">
        <v>1013</v>
      </c>
      <c r="B314" t="s">
        <v>3571</v>
      </c>
      <c r="C314">
        <v>0.76</v>
      </c>
      <c r="I314">
        <v>128</v>
      </c>
      <c r="J314">
        <v>252</v>
      </c>
      <c r="N314">
        <v>380</v>
      </c>
    </row>
    <row r="315" spans="1:14" hidden="1" x14ac:dyDescent="0.25">
      <c r="A315" t="s">
        <v>1016</v>
      </c>
      <c r="B315" t="s">
        <v>3571</v>
      </c>
      <c r="C315">
        <v>0.70303030303030301</v>
      </c>
      <c r="I315">
        <v>655</v>
      </c>
      <c r="J315">
        <v>273</v>
      </c>
      <c r="N315">
        <v>928</v>
      </c>
    </row>
    <row r="316" spans="1:14" hidden="1" x14ac:dyDescent="0.25">
      <c r="A316" t="s">
        <v>1017</v>
      </c>
      <c r="B316" t="s">
        <v>3571</v>
      </c>
      <c r="C316">
        <v>0.7151515151515152</v>
      </c>
      <c r="H316">
        <v>487</v>
      </c>
      <c r="I316">
        <v>400</v>
      </c>
      <c r="J316">
        <v>83</v>
      </c>
      <c r="K316">
        <v>210</v>
      </c>
      <c r="N316">
        <v>1180</v>
      </c>
    </row>
    <row r="317" spans="1:14" hidden="1" x14ac:dyDescent="0.25">
      <c r="A317" t="s">
        <v>1020</v>
      </c>
      <c r="B317" t="s">
        <v>3571</v>
      </c>
      <c r="C317">
        <v>0.40090909090909088</v>
      </c>
      <c r="H317">
        <v>150</v>
      </c>
      <c r="I317">
        <v>249</v>
      </c>
      <c r="J317">
        <v>42</v>
      </c>
      <c r="N317">
        <v>441</v>
      </c>
    </row>
    <row r="318" spans="1:14" hidden="1" x14ac:dyDescent="0.25">
      <c r="A318" t="s">
        <v>1024</v>
      </c>
      <c r="B318" t="s">
        <v>3571</v>
      </c>
      <c r="C318">
        <v>0.3977941176470588</v>
      </c>
      <c r="H318">
        <v>224</v>
      </c>
      <c r="I318">
        <v>254</v>
      </c>
      <c r="J318">
        <v>63</v>
      </c>
      <c r="N318">
        <v>541</v>
      </c>
    </row>
    <row r="319" spans="1:14" hidden="1" x14ac:dyDescent="0.25">
      <c r="A319" t="s">
        <v>1028</v>
      </c>
      <c r="B319" t="s">
        <v>3571</v>
      </c>
      <c r="C319">
        <v>0.22727272727272729</v>
      </c>
      <c r="I319">
        <v>250</v>
      </c>
      <c r="N319">
        <v>250</v>
      </c>
    </row>
    <row r="320" spans="1:14" hidden="1" x14ac:dyDescent="0.25">
      <c r="A320" t="s">
        <v>1031</v>
      </c>
      <c r="B320" t="s">
        <v>3571</v>
      </c>
      <c r="C320">
        <v>0.66363636363636369</v>
      </c>
      <c r="I320">
        <v>1061</v>
      </c>
      <c r="J320">
        <v>399</v>
      </c>
      <c r="N320">
        <v>1460</v>
      </c>
    </row>
    <row r="321" spans="1:14" hidden="1" x14ac:dyDescent="0.25">
      <c r="A321" t="s">
        <v>1034</v>
      </c>
      <c r="B321" t="s">
        <v>3571</v>
      </c>
      <c r="C321">
        <v>0.2327272727272727</v>
      </c>
      <c r="H321">
        <v>128</v>
      </c>
      <c r="N321">
        <v>128</v>
      </c>
    </row>
    <row r="322" spans="1:14" hidden="1" x14ac:dyDescent="0.25">
      <c r="A322" t="s">
        <v>1035</v>
      </c>
      <c r="B322" t="s">
        <v>3571</v>
      </c>
      <c r="C322">
        <v>0.2</v>
      </c>
      <c r="I322">
        <v>25</v>
      </c>
      <c r="J322">
        <v>63</v>
      </c>
      <c r="N322">
        <v>88</v>
      </c>
    </row>
    <row r="323" spans="1:14" hidden="1" x14ac:dyDescent="0.25">
      <c r="A323" t="s">
        <v>1036</v>
      </c>
      <c r="B323" t="s">
        <v>3571</v>
      </c>
      <c r="C323">
        <v>0.38363636363636361</v>
      </c>
      <c r="H323">
        <v>221</v>
      </c>
      <c r="I323">
        <v>138</v>
      </c>
      <c r="J323">
        <v>63</v>
      </c>
      <c r="N323">
        <v>422</v>
      </c>
    </row>
    <row r="324" spans="1:14" hidden="1" x14ac:dyDescent="0.25">
      <c r="A324" t="s">
        <v>1039</v>
      </c>
      <c r="B324" t="s">
        <v>3571</v>
      </c>
      <c r="C324">
        <v>0.59636363636363632</v>
      </c>
      <c r="H324">
        <v>250</v>
      </c>
      <c r="I324">
        <v>364</v>
      </c>
      <c r="J324">
        <v>42</v>
      </c>
      <c r="N324">
        <v>656</v>
      </c>
    </row>
    <row r="325" spans="1:14" hidden="1" x14ac:dyDescent="0.25">
      <c r="A325" t="s">
        <v>1043</v>
      </c>
      <c r="B325" t="s">
        <v>3571</v>
      </c>
      <c r="C325">
        <v>3.7090909090909091E-2</v>
      </c>
      <c r="H325">
        <v>204</v>
      </c>
      <c r="N325">
        <v>204</v>
      </c>
    </row>
    <row r="326" spans="1:14" hidden="1" x14ac:dyDescent="0.25">
      <c r="A326" t="s">
        <v>1046</v>
      </c>
      <c r="B326" t="s">
        <v>3571</v>
      </c>
      <c r="C326">
        <v>0.55000000000000004</v>
      </c>
      <c r="H326">
        <v>200</v>
      </c>
      <c r="I326">
        <v>800</v>
      </c>
      <c r="J326">
        <v>210</v>
      </c>
      <c r="N326">
        <v>1210</v>
      </c>
    </row>
    <row r="327" spans="1:14" hidden="1" x14ac:dyDescent="0.25">
      <c r="A327" t="s">
        <v>1049</v>
      </c>
      <c r="B327" t="s">
        <v>3571</v>
      </c>
      <c r="C327">
        <v>0.64909090909090905</v>
      </c>
      <c r="I327">
        <v>629</v>
      </c>
      <c r="J327">
        <v>85</v>
      </c>
      <c r="N327">
        <v>714</v>
      </c>
    </row>
    <row r="328" spans="1:14" hidden="1" x14ac:dyDescent="0.25">
      <c r="A328" t="s">
        <v>1053</v>
      </c>
      <c r="B328" t="s">
        <v>3571</v>
      </c>
      <c r="C328">
        <v>0.1672727272727273</v>
      </c>
      <c r="H328">
        <v>100</v>
      </c>
      <c r="J328">
        <v>84</v>
      </c>
      <c r="N328">
        <v>184</v>
      </c>
    </row>
    <row r="329" spans="1:14" hidden="1" x14ac:dyDescent="0.25">
      <c r="A329" t="s">
        <v>1056</v>
      </c>
      <c r="B329" t="s">
        <v>3571</v>
      </c>
      <c r="C329">
        <v>0.22727272727272729</v>
      </c>
      <c r="H329">
        <v>137</v>
      </c>
      <c r="J329">
        <v>63</v>
      </c>
      <c r="K329">
        <v>50</v>
      </c>
      <c r="N329">
        <v>250</v>
      </c>
    </row>
    <row r="330" spans="1:14" hidden="1" x14ac:dyDescent="0.25">
      <c r="A330" t="s">
        <v>1060</v>
      </c>
      <c r="B330" t="s">
        <v>3571</v>
      </c>
      <c r="C330">
        <v>0.85</v>
      </c>
      <c r="I330">
        <v>880</v>
      </c>
      <c r="J330">
        <v>55</v>
      </c>
      <c r="N330">
        <v>935</v>
      </c>
    </row>
    <row r="331" spans="1:14" hidden="1" x14ac:dyDescent="0.25">
      <c r="A331" t="s">
        <v>1063</v>
      </c>
      <c r="B331" t="s">
        <v>3571</v>
      </c>
      <c r="C331">
        <v>0.29090909090909089</v>
      </c>
      <c r="I331">
        <v>320</v>
      </c>
      <c r="N331">
        <v>320</v>
      </c>
    </row>
    <row r="332" spans="1:14" hidden="1" x14ac:dyDescent="0.25">
      <c r="A332" t="s">
        <v>1067</v>
      </c>
      <c r="B332" t="s">
        <v>3571</v>
      </c>
      <c r="C332">
        <v>0.45545454545454539</v>
      </c>
      <c r="H332">
        <v>350</v>
      </c>
      <c r="I332">
        <v>46</v>
      </c>
      <c r="J332">
        <v>42</v>
      </c>
      <c r="K332">
        <v>63</v>
      </c>
      <c r="N332">
        <v>501</v>
      </c>
    </row>
    <row r="333" spans="1:14" hidden="1" x14ac:dyDescent="0.25">
      <c r="A333" t="s">
        <v>1070</v>
      </c>
      <c r="B333" t="s">
        <v>3571</v>
      </c>
      <c r="C333">
        <v>0.95818181818181813</v>
      </c>
      <c r="H333">
        <v>605</v>
      </c>
      <c r="I333">
        <v>449</v>
      </c>
      <c r="N333">
        <v>1054</v>
      </c>
    </row>
    <row r="334" spans="1:14" hidden="1" x14ac:dyDescent="0.25">
      <c r="A334" t="s">
        <v>1073</v>
      </c>
      <c r="B334" t="s">
        <v>3571</v>
      </c>
      <c r="C334">
        <v>0.42752293577981648</v>
      </c>
      <c r="H334">
        <v>210</v>
      </c>
      <c r="I334">
        <v>130</v>
      </c>
      <c r="J334">
        <v>126</v>
      </c>
      <c r="N334">
        <v>466</v>
      </c>
    </row>
    <row r="335" spans="1:14" hidden="1" x14ac:dyDescent="0.25">
      <c r="A335" t="s">
        <v>1076</v>
      </c>
      <c r="B335" t="s">
        <v>3571</v>
      </c>
      <c r="C335">
        <v>0.81333333333333335</v>
      </c>
      <c r="H335">
        <v>105</v>
      </c>
      <c r="I335">
        <v>300</v>
      </c>
      <c r="J335">
        <v>105</v>
      </c>
      <c r="K335">
        <v>100</v>
      </c>
      <c r="N335">
        <v>610</v>
      </c>
    </row>
    <row r="336" spans="1:14" hidden="1" x14ac:dyDescent="0.25">
      <c r="A336" t="s">
        <v>1079</v>
      </c>
      <c r="B336" t="s">
        <v>3571</v>
      </c>
      <c r="C336">
        <v>0.38681818181818178</v>
      </c>
      <c r="I336">
        <v>251</v>
      </c>
      <c r="J336">
        <v>600</v>
      </c>
      <c r="N336">
        <v>851</v>
      </c>
    </row>
    <row r="337" spans="1:14" hidden="1" x14ac:dyDescent="0.25">
      <c r="A337" t="s">
        <v>1083</v>
      </c>
      <c r="B337" t="s">
        <v>3571</v>
      </c>
      <c r="C337">
        <v>0.5</v>
      </c>
      <c r="H337">
        <v>486</v>
      </c>
      <c r="I337">
        <v>64</v>
      </c>
      <c r="N337">
        <v>550</v>
      </c>
    </row>
    <row r="338" spans="1:14" hidden="1" x14ac:dyDescent="0.25">
      <c r="A338" t="s">
        <v>1086</v>
      </c>
      <c r="B338" t="s">
        <v>3571</v>
      </c>
      <c r="C338">
        <v>0.77230046948356812</v>
      </c>
      <c r="I338">
        <v>1275</v>
      </c>
      <c r="J338">
        <v>70</v>
      </c>
      <c r="K338">
        <v>300</v>
      </c>
      <c r="N338">
        <v>1645</v>
      </c>
    </row>
    <row r="339" spans="1:14" hidden="1" x14ac:dyDescent="0.25">
      <c r="A339" t="s">
        <v>1089</v>
      </c>
      <c r="B339" t="s">
        <v>3571</v>
      </c>
      <c r="C339">
        <v>1.0916981132075469</v>
      </c>
      <c r="I339">
        <v>4337</v>
      </c>
      <c r="J339">
        <v>1449</v>
      </c>
      <c r="N339">
        <v>5786</v>
      </c>
    </row>
    <row r="340" spans="1:14" hidden="1" x14ac:dyDescent="0.25">
      <c r="A340" t="s">
        <v>1092</v>
      </c>
      <c r="B340" t="s">
        <v>3571</v>
      </c>
      <c r="C340">
        <v>0.82545454545454544</v>
      </c>
      <c r="I340">
        <v>740</v>
      </c>
      <c r="J340">
        <v>168</v>
      </c>
      <c r="N340">
        <v>908</v>
      </c>
    </row>
    <row r="341" spans="1:14" hidden="1" x14ac:dyDescent="0.25">
      <c r="A341" t="s">
        <v>1095</v>
      </c>
      <c r="B341" t="s">
        <v>3571</v>
      </c>
      <c r="C341">
        <v>0.2</v>
      </c>
      <c r="I341">
        <v>370</v>
      </c>
      <c r="J341">
        <v>400</v>
      </c>
      <c r="N341">
        <v>770</v>
      </c>
    </row>
    <row r="342" spans="1:14" hidden="1" x14ac:dyDescent="0.25">
      <c r="A342" t="s">
        <v>1098</v>
      </c>
      <c r="B342" t="s">
        <v>3571</v>
      </c>
      <c r="C342">
        <v>0.24336009882643611</v>
      </c>
      <c r="H342">
        <v>266</v>
      </c>
      <c r="I342">
        <v>128</v>
      </c>
      <c r="N342">
        <v>394</v>
      </c>
    </row>
    <row r="343" spans="1:14" hidden="1" x14ac:dyDescent="0.25">
      <c r="A343" t="s">
        <v>1101</v>
      </c>
      <c r="B343" t="s">
        <v>3571</v>
      </c>
      <c r="C343">
        <v>0.13181818181818181</v>
      </c>
      <c r="I343">
        <v>145</v>
      </c>
      <c r="N343">
        <v>145</v>
      </c>
    </row>
    <row r="344" spans="1:14" hidden="1" x14ac:dyDescent="0.25">
      <c r="A344" t="s">
        <v>1104</v>
      </c>
      <c r="B344" t="s">
        <v>3571</v>
      </c>
      <c r="C344">
        <v>8.0303030303030307E-2</v>
      </c>
      <c r="I344">
        <v>106</v>
      </c>
      <c r="N344">
        <v>106</v>
      </c>
    </row>
    <row r="345" spans="1:14" hidden="1" x14ac:dyDescent="0.25">
      <c r="A345" t="s">
        <v>1108</v>
      </c>
      <c r="B345" t="s">
        <v>3571</v>
      </c>
      <c r="C345">
        <v>0.27894736842105261</v>
      </c>
      <c r="I345">
        <v>86</v>
      </c>
      <c r="J345">
        <v>20</v>
      </c>
      <c r="N345">
        <v>106</v>
      </c>
    </row>
    <row r="346" spans="1:14" hidden="1" x14ac:dyDescent="0.25">
      <c r="A346" t="s">
        <v>1109</v>
      </c>
      <c r="B346" t="s">
        <v>3571</v>
      </c>
      <c r="C346">
        <v>1.1181818181818179</v>
      </c>
      <c r="H346">
        <v>498</v>
      </c>
      <c r="I346">
        <v>500</v>
      </c>
      <c r="J346">
        <v>232</v>
      </c>
      <c r="N346">
        <v>1230</v>
      </c>
    </row>
    <row r="347" spans="1:14" hidden="1" x14ac:dyDescent="0.25">
      <c r="A347" t="s">
        <v>1110</v>
      </c>
      <c r="B347" t="s">
        <v>3571</v>
      </c>
      <c r="C347">
        <v>0.38818181818181818</v>
      </c>
      <c r="I347">
        <v>427</v>
      </c>
      <c r="N347">
        <v>427</v>
      </c>
    </row>
    <row r="348" spans="1:14" hidden="1" x14ac:dyDescent="0.25">
      <c r="A348" t="s">
        <v>1113</v>
      </c>
      <c r="B348" t="s">
        <v>3571</v>
      </c>
      <c r="C348">
        <v>0.33636363636363642</v>
      </c>
      <c r="I348">
        <v>370</v>
      </c>
      <c r="N348">
        <v>370</v>
      </c>
    </row>
    <row r="349" spans="1:14" hidden="1" x14ac:dyDescent="0.25">
      <c r="A349" t="s">
        <v>1117</v>
      </c>
      <c r="B349" t="s">
        <v>3571</v>
      </c>
      <c r="C349">
        <v>0.47700831024930751</v>
      </c>
      <c r="J349">
        <v>861</v>
      </c>
      <c r="N349">
        <v>861</v>
      </c>
    </row>
    <row r="350" spans="1:14" hidden="1" x14ac:dyDescent="0.25">
      <c r="A350" t="s">
        <v>1121</v>
      </c>
      <c r="B350" t="s">
        <v>3571</v>
      </c>
      <c r="C350">
        <v>7.636363636363637E-2</v>
      </c>
      <c r="J350">
        <v>84</v>
      </c>
      <c r="N350">
        <v>84</v>
      </c>
    </row>
    <row r="351" spans="1:14" hidden="1" x14ac:dyDescent="0.25">
      <c r="A351" t="s">
        <v>1124</v>
      </c>
      <c r="B351" t="s">
        <v>3571</v>
      </c>
      <c r="C351">
        <v>1.5022222222222219</v>
      </c>
      <c r="I351">
        <v>600</v>
      </c>
      <c r="J351">
        <v>252</v>
      </c>
      <c r="K351">
        <v>500</v>
      </c>
      <c r="N351">
        <v>1352</v>
      </c>
    </row>
    <row r="352" spans="1:14" hidden="1" x14ac:dyDescent="0.25">
      <c r="A352" t="s">
        <v>1125</v>
      </c>
      <c r="B352" t="s">
        <v>3571</v>
      </c>
      <c r="C352">
        <v>0</v>
      </c>
      <c r="N352">
        <v>0</v>
      </c>
    </row>
    <row r="353" spans="1:14" hidden="1" x14ac:dyDescent="0.25">
      <c r="A353" t="s">
        <v>1126</v>
      </c>
      <c r="B353" t="s">
        <v>3571</v>
      </c>
      <c r="C353">
        <v>0.12987012987012991</v>
      </c>
      <c r="I353">
        <v>15</v>
      </c>
      <c r="J353">
        <v>185</v>
      </c>
      <c r="N353">
        <v>200</v>
      </c>
    </row>
    <row r="354" spans="1:14" hidden="1" x14ac:dyDescent="0.25">
      <c r="A354" t="s">
        <v>1129</v>
      </c>
      <c r="B354" t="s">
        <v>3571</v>
      </c>
      <c r="C354">
        <v>0.19090909090909089</v>
      </c>
      <c r="J354">
        <v>210</v>
      </c>
      <c r="N354">
        <v>210</v>
      </c>
    </row>
    <row r="355" spans="1:14" hidden="1" x14ac:dyDescent="0.25">
      <c r="A355" t="s">
        <v>1133</v>
      </c>
      <c r="B355" t="s">
        <v>3571</v>
      </c>
      <c r="C355">
        <v>0.37454545454545463</v>
      </c>
      <c r="J355">
        <v>223</v>
      </c>
      <c r="K355">
        <v>189</v>
      </c>
      <c r="N355">
        <v>412</v>
      </c>
    </row>
    <row r="356" spans="1:14" hidden="1" x14ac:dyDescent="0.25">
      <c r="A356" t="s">
        <v>1136</v>
      </c>
      <c r="B356" t="s">
        <v>3571</v>
      </c>
      <c r="C356">
        <v>0.18</v>
      </c>
      <c r="K356">
        <v>504</v>
      </c>
      <c r="N356">
        <v>504</v>
      </c>
    </row>
    <row r="357" spans="1:14" hidden="1" x14ac:dyDescent="0.25">
      <c r="A357" t="s">
        <v>1140</v>
      </c>
      <c r="B357" t="s">
        <v>3571</v>
      </c>
      <c r="C357">
        <v>0.25454545454545452</v>
      </c>
      <c r="J357">
        <v>420</v>
      </c>
      <c r="N357">
        <v>420</v>
      </c>
    </row>
    <row r="358" spans="1:14" hidden="1" x14ac:dyDescent="0.25">
      <c r="A358" t="s">
        <v>1144</v>
      </c>
      <c r="B358" t="s">
        <v>3571</v>
      </c>
      <c r="C358">
        <v>1.7289256198347109</v>
      </c>
      <c r="I358">
        <v>1210</v>
      </c>
      <c r="J358">
        <v>882</v>
      </c>
      <c r="N358">
        <v>2092</v>
      </c>
    </row>
    <row r="359" spans="1:14" hidden="1" x14ac:dyDescent="0.25">
      <c r="A359" t="s">
        <v>1148</v>
      </c>
      <c r="B359" t="s">
        <v>3571</v>
      </c>
      <c r="C359">
        <v>0.59272727272727277</v>
      </c>
      <c r="I359">
        <v>421</v>
      </c>
      <c r="J359">
        <v>231</v>
      </c>
      <c r="N359">
        <v>652</v>
      </c>
    </row>
    <row r="360" spans="1:14" hidden="1" x14ac:dyDescent="0.25">
      <c r="A360" t="s">
        <v>1152</v>
      </c>
      <c r="B360" t="s">
        <v>3571</v>
      </c>
      <c r="C360">
        <v>0.79363636363636358</v>
      </c>
      <c r="I360">
        <v>160</v>
      </c>
      <c r="J360">
        <v>588</v>
      </c>
      <c r="K360">
        <v>125</v>
      </c>
      <c r="N360">
        <v>873</v>
      </c>
    </row>
    <row r="361" spans="1:14" hidden="1" x14ac:dyDescent="0.25">
      <c r="A361" t="s">
        <v>1156</v>
      </c>
      <c r="B361" t="s">
        <v>3571</v>
      </c>
      <c r="C361">
        <v>0.5011363636363636</v>
      </c>
      <c r="J361">
        <v>231</v>
      </c>
      <c r="K361">
        <v>210</v>
      </c>
      <c r="N361">
        <v>441</v>
      </c>
    </row>
    <row r="362" spans="1:14" hidden="1" x14ac:dyDescent="0.25">
      <c r="A362" t="s">
        <v>1160</v>
      </c>
      <c r="B362" t="s">
        <v>3571</v>
      </c>
      <c r="C362">
        <v>0.45818181818181819</v>
      </c>
      <c r="J362">
        <v>504</v>
      </c>
      <c r="N362">
        <v>504</v>
      </c>
    </row>
    <row r="363" spans="1:14" hidden="1" x14ac:dyDescent="0.25">
      <c r="A363" t="s">
        <v>1164</v>
      </c>
      <c r="B363" t="s">
        <v>3571</v>
      </c>
      <c r="C363">
        <v>0.1041322314049587</v>
      </c>
      <c r="J363">
        <v>105</v>
      </c>
      <c r="K363">
        <v>21</v>
      </c>
      <c r="N363">
        <v>126</v>
      </c>
    </row>
    <row r="364" spans="1:14" hidden="1" x14ac:dyDescent="0.25">
      <c r="A364" t="s">
        <v>1167</v>
      </c>
      <c r="B364" t="s">
        <v>3571</v>
      </c>
      <c r="C364">
        <v>1.2636363636363639</v>
      </c>
      <c r="H364">
        <v>291</v>
      </c>
      <c r="J364">
        <v>126</v>
      </c>
      <c r="N364">
        <v>417</v>
      </c>
    </row>
    <row r="365" spans="1:14" hidden="1" x14ac:dyDescent="0.25">
      <c r="A365" t="s">
        <v>1168</v>
      </c>
      <c r="B365" t="s">
        <v>3571</v>
      </c>
      <c r="C365">
        <v>0.37727272727272732</v>
      </c>
      <c r="J365">
        <v>315</v>
      </c>
      <c r="L365">
        <v>100</v>
      </c>
      <c r="N365">
        <v>415</v>
      </c>
    </row>
    <row r="366" spans="1:14" hidden="1" x14ac:dyDescent="0.25">
      <c r="A366" t="s">
        <v>1171</v>
      </c>
      <c r="B366" t="s">
        <v>3571</v>
      </c>
      <c r="C366">
        <v>0.34545454545454551</v>
      </c>
      <c r="J366">
        <v>190</v>
      </c>
      <c r="N366">
        <v>190</v>
      </c>
    </row>
    <row r="367" spans="1:14" hidden="1" x14ac:dyDescent="0.25">
      <c r="A367" t="s">
        <v>1174</v>
      </c>
      <c r="B367" t="s">
        <v>3571</v>
      </c>
      <c r="C367">
        <v>0.1136363636363636</v>
      </c>
      <c r="J367">
        <v>125</v>
      </c>
      <c r="N367">
        <v>125</v>
      </c>
    </row>
    <row r="368" spans="1:14" hidden="1" x14ac:dyDescent="0.25">
      <c r="A368" t="s">
        <v>1175</v>
      </c>
      <c r="B368" t="s">
        <v>3571</v>
      </c>
      <c r="C368">
        <v>0.60818181818181816</v>
      </c>
      <c r="I368">
        <v>480</v>
      </c>
      <c r="J368">
        <v>189</v>
      </c>
      <c r="N368">
        <v>669</v>
      </c>
    </row>
    <row r="369" spans="1:14" hidden="1" x14ac:dyDescent="0.25">
      <c r="A369" t="s">
        <v>1179</v>
      </c>
      <c r="B369" t="s">
        <v>3571</v>
      </c>
      <c r="C369">
        <v>0.35272727272727272</v>
      </c>
      <c r="J369">
        <v>388</v>
      </c>
      <c r="N369">
        <v>388</v>
      </c>
    </row>
    <row r="370" spans="1:14" hidden="1" x14ac:dyDescent="0.25">
      <c r="A370" t="s">
        <v>1182</v>
      </c>
      <c r="B370" t="s">
        <v>3571</v>
      </c>
      <c r="C370">
        <v>0.88272727272727269</v>
      </c>
      <c r="I370">
        <v>362</v>
      </c>
      <c r="J370">
        <v>609</v>
      </c>
      <c r="N370">
        <v>971</v>
      </c>
    </row>
    <row r="371" spans="1:14" hidden="1" x14ac:dyDescent="0.25">
      <c r="A371" t="s">
        <v>1186</v>
      </c>
      <c r="B371" t="s">
        <v>3571</v>
      </c>
      <c r="C371">
        <v>0.24545454545454551</v>
      </c>
      <c r="J371">
        <v>210</v>
      </c>
      <c r="K371">
        <v>60</v>
      </c>
      <c r="N371">
        <v>270</v>
      </c>
    </row>
    <row r="372" spans="1:14" hidden="1" x14ac:dyDescent="0.25">
      <c r="A372" t="s">
        <v>1190</v>
      </c>
      <c r="B372" t="s">
        <v>3571</v>
      </c>
      <c r="C372">
        <v>0.18272727272727271</v>
      </c>
      <c r="J372">
        <v>126</v>
      </c>
      <c r="K372">
        <v>75</v>
      </c>
      <c r="N372">
        <v>201</v>
      </c>
    </row>
    <row r="373" spans="1:14" hidden="1" x14ac:dyDescent="0.25">
      <c r="A373" t="s">
        <v>1194</v>
      </c>
      <c r="B373" t="s">
        <v>3571</v>
      </c>
      <c r="C373">
        <v>0.1729257641921397</v>
      </c>
      <c r="I373">
        <v>177</v>
      </c>
      <c r="K373">
        <v>21</v>
      </c>
      <c r="N373">
        <v>198</v>
      </c>
    </row>
    <row r="374" spans="1:14" hidden="1" x14ac:dyDescent="0.25">
      <c r="A374" t="s">
        <v>1198</v>
      </c>
      <c r="B374" t="s">
        <v>3571</v>
      </c>
      <c r="C374">
        <v>0.2481818181818182</v>
      </c>
      <c r="J374">
        <v>273</v>
      </c>
      <c r="N374">
        <v>273</v>
      </c>
    </row>
    <row r="375" spans="1:14" hidden="1" x14ac:dyDescent="0.25">
      <c r="A375" t="s">
        <v>1202</v>
      </c>
      <c r="B375" t="s">
        <v>3571</v>
      </c>
      <c r="C375">
        <v>0.55181818181818176</v>
      </c>
      <c r="H375">
        <v>220</v>
      </c>
      <c r="J375">
        <v>387</v>
      </c>
      <c r="N375">
        <v>607</v>
      </c>
    </row>
    <row r="376" spans="1:14" hidden="1" x14ac:dyDescent="0.25">
      <c r="A376" t="s">
        <v>1203</v>
      </c>
      <c r="B376" t="s">
        <v>3571</v>
      </c>
      <c r="C376">
        <v>0.88787878787878793</v>
      </c>
      <c r="J376">
        <v>62</v>
      </c>
      <c r="K376">
        <v>231</v>
      </c>
      <c r="N376">
        <v>293</v>
      </c>
    </row>
    <row r="377" spans="1:14" hidden="1" x14ac:dyDescent="0.25">
      <c r="A377" t="s">
        <v>1204</v>
      </c>
      <c r="B377" t="s">
        <v>3571</v>
      </c>
      <c r="C377">
        <v>0.28686868686868688</v>
      </c>
      <c r="I377">
        <v>400</v>
      </c>
      <c r="J377">
        <v>168</v>
      </c>
      <c r="N377">
        <v>568</v>
      </c>
    </row>
    <row r="378" spans="1:14" hidden="1" x14ac:dyDescent="0.25">
      <c r="A378" t="s">
        <v>1208</v>
      </c>
      <c r="B378" t="s">
        <v>3571</v>
      </c>
      <c r="C378">
        <v>0.35227272727272729</v>
      </c>
      <c r="H378">
        <v>310</v>
      </c>
      <c r="N378">
        <v>310</v>
      </c>
    </row>
    <row r="379" spans="1:14" hidden="1" x14ac:dyDescent="0.25">
      <c r="A379" t="s">
        <v>1209</v>
      </c>
      <c r="B379" t="s">
        <v>3571</v>
      </c>
      <c r="C379">
        <v>0.33409090909090911</v>
      </c>
      <c r="J379">
        <v>441</v>
      </c>
      <c r="N379">
        <v>441</v>
      </c>
    </row>
    <row r="380" spans="1:14" hidden="1" x14ac:dyDescent="0.25">
      <c r="A380" t="s">
        <v>1213</v>
      </c>
      <c r="B380" t="s">
        <v>3571</v>
      </c>
      <c r="C380">
        <v>0.18727272727272731</v>
      </c>
      <c r="J380">
        <v>206</v>
      </c>
      <c r="N380">
        <v>206</v>
      </c>
    </row>
    <row r="381" spans="1:14" hidden="1" x14ac:dyDescent="0.25">
      <c r="A381" t="s">
        <v>1216</v>
      </c>
      <c r="B381" t="s">
        <v>3571</v>
      </c>
      <c r="C381">
        <v>0</v>
      </c>
      <c r="N381">
        <v>0</v>
      </c>
    </row>
    <row r="382" spans="1:14" hidden="1" x14ac:dyDescent="0.25">
      <c r="A382" t="s">
        <v>1220</v>
      </c>
      <c r="B382" t="s">
        <v>3571</v>
      </c>
      <c r="C382">
        <v>0.2193370165745856</v>
      </c>
      <c r="J382">
        <v>748</v>
      </c>
      <c r="K382">
        <v>46</v>
      </c>
      <c r="N382">
        <v>794</v>
      </c>
    </row>
    <row r="383" spans="1:14" hidden="1" x14ac:dyDescent="0.25">
      <c r="A383" t="s">
        <v>1224</v>
      </c>
      <c r="B383" t="s">
        <v>3571</v>
      </c>
      <c r="C383">
        <v>0.5154545454545455</v>
      </c>
      <c r="J383">
        <v>378</v>
      </c>
      <c r="K383">
        <v>189</v>
      </c>
      <c r="N383">
        <v>567</v>
      </c>
    </row>
    <row r="384" spans="1:14" hidden="1" x14ac:dyDescent="0.25">
      <c r="A384" t="s">
        <v>1228</v>
      </c>
      <c r="B384" t="s">
        <v>3571</v>
      </c>
      <c r="C384">
        <v>0</v>
      </c>
      <c r="N384">
        <v>0</v>
      </c>
    </row>
    <row r="385" spans="1:14" hidden="1" x14ac:dyDescent="0.25">
      <c r="A385" t="s">
        <v>1232</v>
      </c>
      <c r="B385" t="s">
        <v>3571</v>
      </c>
      <c r="C385">
        <v>5.7272727272727267E-2</v>
      </c>
      <c r="J385">
        <v>63</v>
      </c>
      <c r="N385">
        <v>63</v>
      </c>
    </row>
    <row r="386" spans="1:14" hidden="1" x14ac:dyDescent="0.25">
      <c r="A386" t="s">
        <v>1235</v>
      </c>
      <c r="B386" t="s">
        <v>3571</v>
      </c>
      <c r="C386">
        <v>8.4848484848484854E-2</v>
      </c>
      <c r="I386">
        <v>40</v>
      </c>
      <c r="J386">
        <v>16</v>
      </c>
      <c r="N386">
        <v>56</v>
      </c>
    </row>
    <row r="387" spans="1:14" hidden="1" x14ac:dyDescent="0.25">
      <c r="A387" t="s">
        <v>1238</v>
      </c>
      <c r="B387" t="s">
        <v>3571</v>
      </c>
      <c r="C387">
        <v>0.34621212121212119</v>
      </c>
      <c r="K387">
        <v>357</v>
      </c>
      <c r="L387">
        <v>100</v>
      </c>
      <c r="N387">
        <v>457</v>
      </c>
    </row>
    <row r="388" spans="1:14" hidden="1" x14ac:dyDescent="0.25">
      <c r="A388" t="s">
        <v>1241</v>
      </c>
      <c r="B388" t="s">
        <v>3571</v>
      </c>
      <c r="C388">
        <v>0</v>
      </c>
      <c r="N388">
        <v>0</v>
      </c>
    </row>
    <row r="389" spans="1:14" hidden="1" x14ac:dyDescent="0.25">
      <c r="A389" t="s">
        <v>1242</v>
      </c>
      <c r="B389" t="s">
        <v>3571</v>
      </c>
      <c r="C389">
        <v>4.5454545454545463E-2</v>
      </c>
      <c r="L389">
        <v>50</v>
      </c>
      <c r="N389">
        <v>50</v>
      </c>
    </row>
    <row r="390" spans="1:14" hidden="1" x14ac:dyDescent="0.25">
      <c r="A390" t="s">
        <v>1243</v>
      </c>
      <c r="B390" t="s">
        <v>3571</v>
      </c>
      <c r="C390">
        <v>0.2193784277879342</v>
      </c>
      <c r="K390">
        <v>840</v>
      </c>
      <c r="N390">
        <v>840</v>
      </c>
    </row>
    <row r="391" spans="1:14" hidden="1" x14ac:dyDescent="0.25">
      <c r="A391" t="s">
        <v>1246</v>
      </c>
      <c r="B391" t="s">
        <v>3571</v>
      </c>
      <c r="C391">
        <v>4.5454545454545463E-2</v>
      </c>
      <c r="K391">
        <v>50</v>
      </c>
      <c r="N391">
        <v>50</v>
      </c>
    </row>
    <row r="392" spans="1:14" hidden="1" x14ac:dyDescent="0.25">
      <c r="A392" t="s">
        <v>1249</v>
      </c>
      <c r="B392" t="s">
        <v>3571</v>
      </c>
      <c r="C392">
        <v>0.29133284777858698</v>
      </c>
      <c r="K392">
        <v>400</v>
      </c>
      <c r="N392">
        <v>400</v>
      </c>
    </row>
    <row r="393" spans="1:14" hidden="1" x14ac:dyDescent="0.25">
      <c r="A393" t="s">
        <v>1252</v>
      </c>
      <c r="B393" t="s">
        <v>3571</v>
      </c>
      <c r="C393">
        <v>0</v>
      </c>
      <c r="N393">
        <v>0</v>
      </c>
    </row>
    <row r="394" spans="1:14" hidden="1" x14ac:dyDescent="0.25">
      <c r="A394" t="s">
        <v>1255</v>
      </c>
      <c r="B394" t="s">
        <v>3571</v>
      </c>
      <c r="C394">
        <v>0.21590909090909091</v>
      </c>
      <c r="K394">
        <v>950</v>
      </c>
      <c r="N394">
        <v>950</v>
      </c>
    </row>
    <row r="395" spans="1:14" hidden="1" x14ac:dyDescent="0.25">
      <c r="A395" t="s">
        <v>1256</v>
      </c>
      <c r="B395" t="s">
        <v>3571</v>
      </c>
      <c r="C395">
        <v>9.4424460431654672E-2</v>
      </c>
      <c r="K395">
        <v>105</v>
      </c>
      <c r="N395">
        <v>105</v>
      </c>
    </row>
    <row r="396" spans="1:14" hidden="1" x14ac:dyDescent="0.25">
      <c r="A396" t="s">
        <v>1259</v>
      </c>
      <c r="B396" t="s">
        <v>3571</v>
      </c>
      <c r="C396">
        <v>0</v>
      </c>
      <c r="N396">
        <v>0</v>
      </c>
    </row>
    <row r="397" spans="1:14" hidden="1" x14ac:dyDescent="0.25">
      <c r="A397" t="s">
        <v>1260</v>
      </c>
      <c r="B397" t="s">
        <v>3571</v>
      </c>
      <c r="C397">
        <v>5.7272727272727267E-2</v>
      </c>
      <c r="J397">
        <v>63</v>
      </c>
      <c r="N397">
        <v>63</v>
      </c>
    </row>
    <row r="398" spans="1:14" hidden="1" x14ac:dyDescent="0.25">
      <c r="A398" t="s">
        <v>1264</v>
      </c>
      <c r="B398" t="s">
        <v>3571</v>
      </c>
      <c r="C398">
        <v>0.17181818181818179</v>
      </c>
      <c r="J398">
        <v>126</v>
      </c>
      <c r="K398">
        <v>252</v>
      </c>
      <c r="N398">
        <v>378</v>
      </c>
    </row>
    <row r="399" spans="1:14" hidden="1" x14ac:dyDescent="0.25">
      <c r="A399" t="s">
        <v>1267</v>
      </c>
      <c r="B399" t="s">
        <v>3571</v>
      </c>
      <c r="C399">
        <v>0.71111111111111114</v>
      </c>
      <c r="K399">
        <v>783</v>
      </c>
      <c r="L399">
        <v>625</v>
      </c>
      <c r="N399">
        <v>1408</v>
      </c>
    </row>
    <row r="400" spans="1:14" hidden="1" x14ac:dyDescent="0.25">
      <c r="A400" t="s">
        <v>1270</v>
      </c>
      <c r="B400" t="s">
        <v>3571</v>
      </c>
      <c r="C400">
        <v>0</v>
      </c>
      <c r="N400">
        <v>0</v>
      </c>
    </row>
    <row r="401" spans="1:14" hidden="1" x14ac:dyDescent="0.25">
      <c r="A401" t="s">
        <v>1271</v>
      </c>
      <c r="B401" t="s">
        <v>3571</v>
      </c>
      <c r="C401">
        <v>0</v>
      </c>
      <c r="N401">
        <v>0</v>
      </c>
    </row>
    <row r="402" spans="1:14" hidden="1" x14ac:dyDescent="0.25">
      <c r="A402" t="s">
        <v>1272</v>
      </c>
      <c r="B402" t="s">
        <v>3571</v>
      </c>
      <c r="C402">
        <v>5.7272727272727267E-2</v>
      </c>
      <c r="J402">
        <v>63</v>
      </c>
      <c r="N402">
        <v>63</v>
      </c>
    </row>
    <row r="403" spans="1:14" hidden="1" x14ac:dyDescent="0.25">
      <c r="A403" t="s">
        <v>1275</v>
      </c>
      <c r="B403" t="s">
        <v>3571</v>
      </c>
      <c r="C403">
        <v>0.1563636363636364</v>
      </c>
      <c r="K403">
        <v>147</v>
      </c>
      <c r="L403">
        <v>25</v>
      </c>
      <c r="N403">
        <v>172</v>
      </c>
    </row>
    <row r="404" spans="1:14" hidden="1" x14ac:dyDescent="0.25">
      <c r="A404" t="s">
        <v>1278</v>
      </c>
      <c r="B404" t="s">
        <v>3571</v>
      </c>
      <c r="C404">
        <v>0.1212121212121212</v>
      </c>
      <c r="L404">
        <v>200</v>
      </c>
      <c r="N404">
        <v>200</v>
      </c>
    </row>
    <row r="405" spans="1:14" hidden="1" x14ac:dyDescent="0.25">
      <c r="A405" t="s">
        <v>1281</v>
      </c>
      <c r="B405" t="s">
        <v>3571</v>
      </c>
      <c r="C405">
        <v>0.27214285714285708</v>
      </c>
      <c r="K405">
        <v>287</v>
      </c>
      <c r="L405">
        <v>475</v>
      </c>
      <c r="N405">
        <v>762</v>
      </c>
    </row>
    <row r="406" spans="1:14" hidden="1" x14ac:dyDescent="0.25">
      <c r="A406" t="s">
        <v>1285</v>
      </c>
      <c r="B406" t="s">
        <v>3571</v>
      </c>
      <c r="C406">
        <v>0.1227272727272727</v>
      </c>
      <c r="K406">
        <v>87</v>
      </c>
      <c r="L406">
        <v>75</v>
      </c>
      <c r="N406">
        <v>162</v>
      </c>
    </row>
    <row r="407" spans="1:14" hidden="1" x14ac:dyDescent="0.25">
      <c r="A407" t="s">
        <v>1288</v>
      </c>
      <c r="B407" t="s">
        <v>3571</v>
      </c>
      <c r="C407">
        <v>3.090909090909091E-2</v>
      </c>
      <c r="K407">
        <v>34</v>
      </c>
      <c r="N407">
        <v>34</v>
      </c>
    </row>
    <row r="408" spans="1:14" hidden="1" x14ac:dyDescent="0.25">
      <c r="A408" t="s">
        <v>1289</v>
      </c>
      <c r="B408" t="s">
        <v>3571</v>
      </c>
      <c r="C408">
        <v>0</v>
      </c>
      <c r="N408">
        <v>0</v>
      </c>
    </row>
    <row r="409" spans="1:14" hidden="1" x14ac:dyDescent="0.25">
      <c r="A409" t="s">
        <v>1293</v>
      </c>
      <c r="B409" t="s">
        <v>3571</v>
      </c>
      <c r="C409">
        <v>9.0909090909090912E-2</v>
      </c>
      <c r="L409">
        <v>200</v>
      </c>
      <c r="N409">
        <v>200</v>
      </c>
    </row>
    <row r="410" spans="1:14" hidden="1" x14ac:dyDescent="0.25">
      <c r="A410" t="s">
        <v>1297</v>
      </c>
      <c r="B410" t="s">
        <v>3571</v>
      </c>
      <c r="C410">
        <v>8.1818181818181818E-2</v>
      </c>
      <c r="L410">
        <v>90</v>
      </c>
      <c r="N410">
        <v>90</v>
      </c>
    </row>
    <row r="411" spans="1:14" hidden="1" x14ac:dyDescent="0.25">
      <c r="A411" t="s">
        <v>1298</v>
      </c>
      <c r="B411" t="s">
        <v>3571</v>
      </c>
      <c r="C411">
        <v>0</v>
      </c>
      <c r="N411">
        <v>0</v>
      </c>
    </row>
    <row r="412" spans="1:14" hidden="1" x14ac:dyDescent="0.25">
      <c r="A412" t="s">
        <v>1299</v>
      </c>
      <c r="B412" t="s">
        <v>3571</v>
      </c>
      <c r="C412">
        <v>1.3286713286713291E-2</v>
      </c>
      <c r="K412">
        <v>19</v>
      </c>
      <c r="N412">
        <v>19</v>
      </c>
    </row>
    <row r="413" spans="1:14" hidden="1" x14ac:dyDescent="0.25">
      <c r="A413" t="s">
        <v>1300</v>
      </c>
      <c r="B413" t="s">
        <v>3571</v>
      </c>
      <c r="C413">
        <v>0.2</v>
      </c>
      <c r="L413">
        <v>550</v>
      </c>
      <c r="N413">
        <v>550</v>
      </c>
    </row>
    <row r="414" spans="1:14" hidden="1" x14ac:dyDescent="0.25">
      <c r="A414" t="s">
        <v>1303</v>
      </c>
      <c r="B414" t="s">
        <v>3571</v>
      </c>
      <c r="C414">
        <v>0</v>
      </c>
      <c r="N414">
        <v>0</v>
      </c>
    </row>
    <row r="415" spans="1:14" hidden="1" x14ac:dyDescent="0.25">
      <c r="A415" t="s">
        <v>1304</v>
      </c>
      <c r="B415" t="s">
        <v>3571</v>
      </c>
      <c r="C415">
        <v>0</v>
      </c>
      <c r="N415">
        <v>0</v>
      </c>
    </row>
    <row r="416" spans="1:14" hidden="1" x14ac:dyDescent="0.25">
      <c r="A416" t="s">
        <v>1308</v>
      </c>
      <c r="B416" t="s">
        <v>3571</v>
      </c>
      <c r="C416">
        <v>2.2727272727272731E-2</v>
      </c>
      <c r="L416">
        <v>25</v>
      </c>
      <c r="N416">
        <v>25</v>
      </c>
    </row>
    <row r="417" spans="1:21" hidden="1" x14ac:dyDescent="0.25">
      <c r="A417" t="s">
        <v>1311</v>
      </c>
      <c r="B417" t="s">
        <v>3571</v>
      </c>
      <c r="C417">
        <v>0</v>
      </c>
      <c r="N417">
        <v>0</v>
      </c>
    </row>
    <row r="418" spans="1:21" hidden="1" x14ac:dyDescent="0.25">
      <c r="A418" t="s">
        <v>1315</v>
      </c>
      <c r="B418" t="s">
        <v>3571</v>
      </c>
      <c r="C418">
        <v>0.30303030303030298</v>
      </c>
      <c r="L418">
        <v>200</v>
      </c>
      <c r="N418">
        <v>200</v>
      </c>
    </row>
    <row r="419" spans="1:21" hidden="1" x14ac:dyDescent="0.25">
      <c r="A419" t="s">
        <v>1316</v>
      </c>
      <c r="B419" t="s">
        <v>3571</v>
      </c>
      <c r="C419">
        <v>0</v>
      </c>
      <c r="N419">
        <v>0</v>
      </c>
    </row>
    <row r="420" spans="1:21" hidden="1" x14ac:dyDescent="0.25">
      <c r="A420" t="s">
        <v>1319</v>
      </c>
      <c r="B420" t="s">
        <v>3571</v>
      </c>
      <c r="C420">
        <v>0</v>
      </c>
      <c r="N420">
        <v>0</v>
      </c>
    </row>
    <row r="421" spans="1:21" hidden="1" x14ac:dyDescent="0.25">
      <c r="A421" t="s">
        <v>1322</v>
      </c>
      <c r="B421" t="s">
        <v>3571</v>
      </c>
      <c r="C421">
        <v>0</v>
      </c>
      <c r="N421">
        <v>0</v>
      </c>
    </row>
    <row r="422" spans="1:21" hidden="1" x14ac:dyDescent="0.25">
      <c r="A422" t="s">
        <v>1325</v>
      </c>
      <c r="B422" t="s">
        <v>3571</v>
      </c>
      <c r="C422">
        <v>0</v>
      </c>
      <c r="N422">
        <v>0</v>
      </c>
    </row>
    <row r="423" spans="1:21" hidden="1" x14ac:dyDescent="0.25">
      <c r="A423" t="s">
        <v>1326</v>
      </c>
      <c r="B423" t="s">
        <v>3571</v>
      </c>
      <c r="C423">
        <v>0.23809523809523811</v>
      </c>
      <c r="L423">
        <v>550</v>
      </c>
      <c r="N423">
        <v>550</v>
      </c>
    </row>
    <row r="424" spans="1:21" hidden="1" x14ac:dyDescent="0.25">
      <c r="A424" t="s">
        <v>1327</v>
      </c>
      <c r="B424" t="s">
        <v>3571</v>
      </c>
      <c r="C424">
        <v>4.5454545454545463E-2</v>
      </c>
      <c r="L424">
        <v>100</v>
      </c>
      <c r="N424">
        <v>100</v>
      </c>
    </row>
    <row r="427" spans="1:21" x14ac:dyDescent="0.25">
      <c r="Q427" s="17" t="s">
        <v>3987</v>
      </c>
      <c r="R427" t="s">
        <v>4005</v>
      </c>
      <c r="S427" t="s">
        <v>3988</v>
      </c>
      <c r="T427" t="s">
        <v>3989</v>
      </c>
      <c r="U427" t="s">
        <v>3990</v>
      </c>
    </row>
    <row r="428" spans="1:21" x14ac:dyDescent="0.25">
      <c r="Q428" s="18" t="s">
        <v>42</v>
      </c>
      <c r="R428">
        <v>2021</v>
      </c>
      <c r="S428">
        <v>1</v>
      </c>
      <c r="T428">
        <v>62</v>
      </c>
      <c r="U428" s="19">
        <v>0.155</v>
      </c>
    </row>
    <row r="429" spans="1:21" x14ac:dyDescent="0.25">
      <c r="Q429" s="18" t="s">
        <v>63</v>
      </c>
      <c r="R429" t="s">
        <v>3991</v>
      </c>
      <c r="S429">
        <v>2</v>
      </c>
      <c r="T429">
        <v>750</v>
      </c>
      <c r="U429" s="19">
        <v>0.75</v>
      </c>
    </row>
    <row r="430" spans="1:21" x14ac:dyDescent="0.25">
      <c r="Q430" s="18" t="s">
        <v>92</v>
      </c>
      <c r="R430">
        <v>2020</v>
      </c>
      <c r="S430">
        <v>1</v>
      </c>
      <c r="T430">
        <v>50</v>
      </c>
      <c r="U430" s="19">
        <v>6.6666666666666596E-2</v>
      </c>
    </row>
    <row r="431" spans="1:21" x14ac:dyDescent="0.25">
      <c r="Q431" s="18" t="s">
        <v>103</v>
      </c>
      <c r="R431">
        <v>2019</v>
      </c>
      <c r="S431">
        <v>1</v>
      </c>
      <c r="T431">
        <v>1700</v>
      </c>
      <c r="U431" s="19">
        <v>0.85</v>
      </c>
    </row>
    <row r="432" spans="1:21" x14ac:dyDescent="0.25">
      <c r="Q432" s="18" t="s">
        <v>107</v>
      </c>
      <c r="R432" t="s">
        <v>3992</v>
      </c>
      <c r="S432">
        <v>2</v>
      </c>
      <c r="T432">
        <v>400</v>
      </c>
      <c r="U432" s="19">
        <v>0.8</v>
      </c>
    </row>
    <row r="433" spans="17:21" x14ac:dyDescent="0.25">
      <c r="Q433" s="18" t="s">
        <v>110</v>
      </c>
      <c r="R433" t="s">
        <v>3992</v>
      </c>
      <c r="S433">
        <v>2</v>
      </c>
      <c r="T433">
        <v>940</v>
      </c>
      <c r="U433" s="19">
        <v>0.94</v>
      </c>
    </row>
    <row r="434" spans="17:21" x14ac:dyDescent="0.25">
      <c r="Q434" s="18" t="s">
        <v>114</v>
      </c>
      <c r="R434" t="s">
        <v>3992</v>
      </c>
      <c r="S434">
        <v>2</v>
      </c>
      <c r="T434">
        <v>500</v>
      </c>
      <c r="U434" s="19">
        <v>0.5</v>
      </c>
    </row>
    <row r="435" spans="17:21" x14ac:dyDescent="0.25">
      <c r="Q435" s="18" t="s">
        <v>118</v>
      </c>
      <c r="R435">
        <v>2019</v>
      </c>
      <c r="S435">
        <v>1</v>
      </c>
      <c r="T435">
        <v>300</v>
      </c>
      <c r="U435" s="19">
        <v>0.27272727272727199</v>
      </c>
    </row>
    <row r="436" spans="17:21" x14ac:dyDescent="0.25">
      <c r="Q436" s="18" t="s">
        <v>124</v>
      </c>
      <c r="R436">
        <v>2021</v>
      </c>
      <c r="S436">
        <v>1</v>
      </c>
      <c r="T436">
        <v>200</v>
      </c>
      <c r="U436" s="19">
        <v>0.16666666666666599</v>
      </c>
    </row>
    <row r="437" spans="17:21" x14ac:dyDescent="0.25">
      <c r="Q437" s="18" t="s">
        <v>131</v>
      </c>
      <c r="R437">
        <v>2020</v>
      </c>
      <c r="S437">
        <v>1</v>
      </c>
      <c r="T437">
        <v>400</v>
      </c>
      <c r="U437" s="19">
        <v>0.1</v>
      </c>
    </row>
    <row r="438" spans="17:21" x14ac:dyDescent="0.25">
      <c r="Q438" s="18" t="s">
        <v>138</v>
      </c>
      <c r="R438">
        <v>2021</v>
      </c>
      <c r="S438">
        <v>1</v>
      </c>
      <c r="T438">
        <v>100</v>
      </c>
      <c r="U438" s="19">
        <v>0.14285714285714199</v>
      </c>
    </row>
    <row r="439" spans="17:21" x14ac:dyDescent="0.25">
      <c r="Q439" s="18" t="s">
        <v>146</v>
      </c>
      <c r="R439">
        <v>2021</v>
      </c>
      <c r="S439">
        <v>1</v>
      </c>
      <c r="T439">
        <v>800</v>
      </c>
      <c r="U439" s="19">
        <v>0.4</v>
      </c>
    </row>
    <row r="440" spans="17:21" x14ac:dyDescent="0.25">
      <c r="Q440" s="18" t="s">
        <v>149</v>
      </c>
      <c r="R440" t="s">
        <v>3993</v>
      </c>
      <c r="S440">
        <v>2</v>
      </c>
      <c r="T440">
        <v>1030</v>
      </c>
      <c r="U440" s="19">
        <v>0.34563758389261601</v>
      </c>
    </row>
    <row r="441" spans="17:21" x14ac:dyDescent="0.25">
      <c r="Q441" s="18" t="s">
        <v>153</v>
      </c>
      <c r="R441">
        <v>2021</v>
      </c>
      <c r="S441">
        <v>1</v>
      </c>
      <c r="T441">
        <v>264</v>
      </c>
      <c r="U441" s="19">
        <v>0.22</v>
      </c>
    </row>
    <row r="442" spans="17:21" x14ac:dyDescent="0.25">
      <c r="Q442" s="18" t="s">
        <v>156</v>
      </c>
      <c r="R442" t="s">
        <v>3994</v>
      </c>
      <c r="S442">
        <v>2</v>
      </c>
      <c r="T442">
        <v>187</v>
      </c>
      <c r="U442" s="19">
        <v>0.187</v>
      </c>
    </row>
    <row r="443" spans="17:21" x14ac:dyDescent="0.25">
      <c r="Q443" s="18" t="s">
        <v>159</v>
      </c>
      <c r="R443">
        <v>2021</v>
      </c>
      <c r="S443">
        <v>1</v>
      </c>
      <c r="T443">
        <v>500</v>
      </c>
      <c r="U443" s="19">
        <v>0.11111111111111099</v>
      </c>
    </row>
    <row r="444" spans="17:21" x14ac:dyDescent="0.25">
      <c r="Q444" s="18" t="s">
        <v>162</v>
      </c>
      <c r="R444">
        <v>2020</v>
      </c>
      <c r="S444">
        <v>1</v>
      </c>
      <c r="T444">
        <v>70</v>
      </c>
      <c r="U444" s="19">
        <v>3.5000000000000003E-2</v>
      </c>
    </row>
    <row r="445" spans="17:21" x14ac:dyDescent="0.25">
      <c r="Q445" s="18" t="s">
        <v>166</v>
      </c>
      <c r="R445">
        <v>2021</v>
      </c>
      <c r="S445">
        <v>1</v>
      </c>
      <c r="T445">
        <v>160</v>
      </c>
      <c r="U445" s="19">
        <v>0.133333333333333</v>
      </c>
    </row>
    <row r="446" spans="17:21" x14ac:dyDescent="0.25">
      <c r="Q446" s="18" t="s">
        <v>170</v>
      </c>
      <c r="R446">
        <v>2022</v>
      </c>
      <c r="S446">
        <v>1</v>
      </c>
      <c r="T446">
        <v>971</v>
      </c>
      <c r="U446" s="19">
        <v>0.26972222222222197</v>
      </c>
    </row>
    <row r="447" spans="17:21" x14ac:dyDescent="0.25">
      <c r="Q447" s="18" t="s">
        <v>174</v>
      </c>
      <c r="R447">
        <v>2021</v>
      </c>
      <c r="S447">
        <v>1</v>
      </c>
      <c r="T447">
        <v>135</v>
      </c>
      <c r="U447" s="19">
        <v>0.1125</v>
      </c>
    </row>
    <row r="448" spans="17:21" x14ac:dyDescent="0.25">
      <c r="Q448" s="18" t="s">
        <v>177</v>
      </c>
      <c r="R448">
        <v>2021</v>
      </c>
      <c r="S448">
        <v>1</v>
      </c>
      <c r="T448">
        <v>40</v>
      </c>
      <c r="U448" s="19">
        <v>1.1627906976744099E-2</v>
      </c>
    </row>
    <row r="449" spans="17:21" x14ac:dyDescent="0.25">
      <c r="Q449" s="18" t="s">
        <v>180</v>
      </c>
      <c r="R449">
        <v>2021</v>
      </c>
      <c r="S449">
        <v>1</v>
      </c>
      <c r="T449">
        <v>80</v>
      </c>
      <c r="U449" s="19">
        <v>6.15384615384615E-2</v>
      </c>
    </row>
    <row r="450" spans="17:21" x14ac:dyDescent="0.25">
      <c r="Q450" s="18" t="s">
        <v>183</v>
      </c>
      <c r="R450" t="s">
        <v>3995</v>
      </c>
      <c r="S450">
        <v>3</v>
      </c>
      <c r="T450">
        <v>1120</v>
      </c>
      <c r="U450" s="19">
        <v>0.46666666666666601</v>
      </c>
    </row>
    <row r="451" spans="17:21" x14ac:dyDescent="0.25">
      <c r="Q451" s="18" t="s">
        <v>187</v>
      </c>
      <c r="R451">
        <v>2022</v>
      </c>
      <c r="S451">
        <v>1</v>
      </c>
      <c r="T451">
        <v>50</v>
      </c>
      <c r="U451" s="19">
        <v>0.05</v>
      </c>
    </row>
    <row r="452" spans="17:21" x14ac:dyDescent="0.25">
      <c r="Q452" s="18" t="s">
        <v>196</v>
      </c>
      <c r="R452">
        <v>2021</v>
      </c>
      <c r="S452">
        <v>1</v>
      </c>
      <c r="T452">
        <v>852</v>
      </c>
      <c r="U452" s="19">
        <v>0.21299999999999999</v>
      </c>
    </row>
    <row r="453" spans="17:21" x14ac:dyDescent="0.25">
      <c r="Q453" s="18" t="s">
        <v>200</v>
      </c>
      <c r="R453">
        <v>2021</v>
      </c>
      <c r="S453">
        <v>1</v>
      </c>
      <c r="T453">
        <v>800</v>
      </c>
      <c r="U453" s="19">
        <v>0.4</v>
      </c>
    </row>
    <row r="454" spans="17:21" x14ac:dyDescent="0.25">
      <c r="Q454" s="18" t="s">
        <v>203</v>
      </c>
      <c r="R454">
        <v>2021</v>
      </c>
      <c r="S454">
        <v>1</v>
      </c>
      <c r="T454">
        <v>120</v>
      </c>
      <c r="U454" s="19">
        <v>0.06</v>
      </c>
    </row>
    <row r="455" spans="17:21" x14ac:dyDescent="0.25">
      <c r="Q455" s="18" t="s">
        <v>210</v>
      </c>
      <c r="R455">
        <v>2022</v>
      </c>
      <c r="S455">
        <v>1</v>
      </c>
      <c r="T455">
        <v>430</v>
      </c>
      <c r="U455" s="19">
        <v>0.215</v>
      </c>
    </row>
    <row r="456" spans="17:21" x14ac:dyDescent="0.25">
      <c r="Q456" s="18" t="s">
        <v>213</v>
      </c>
      <c r="R456">
        <v>2021</v>
      </c>
      <c r="S456">
        <v>1</v>
      </c>
      <c r="T456">
        <v>200</v>
      </c>
      <c r="U456" s="19">
        <v>0.4</v>
      </c>
    </row>
    <row r="457" spans="17:21" x14ac:dyDescent="0.25">
      <c r="Q457" s="18" t="s">
        <v>214</v>
      </c>
      <c r="R457">
        <v>2021</v>
      </c>
      <c r="S457">
        <v>1</v>
      </c>
      <c r="T457">
        <v>236</v>
      </c>
      <c r="U457" s="19">
        <v>0.19666666666666599</v>
      </c>
    </row>
    <row r="458" spans="17:21" x14ac:dyDescent="0.25">
      <c r="Q458" s="18" t="s">
        <v>218</v>
      </c>
      <c r="R458">
        <v>2021</v>
      </c>
      <c r="S458">
        <v>1</v>
      </c>
      <c r="T458">
        <v>120</v>
      </c>
      <c r="U458" s="19">
        <v>0.2</v>
      </c>
    </row>
    <row r="459" spans="17:21" x14ac:dyDescent="0.25">
      <c r="Q459" s="18" t="s">
        <v>225</v>
      </c>
      <c r="R459">
        <v>2022</v>
      </c>
      <c r="S459">
        <v>1</v>
      </c>
      <c r="T459">
        <v>100</v>
      </c>
      <c r="U459" s="19">
        <v>5.8823529411764698E-2</v>
      </c>
    </row>
    <row r="460" spans="17:21" x14ac:dyDescent="0.25">
      <c r="Q460" s="18" t="s">
        <v>228</v>
      </c>
      <c r="R460">
        <v>2021</v>
      </c>
      <c r="S460">
        <v>1</v>
      </c>
      <c r="T460">
        <v>120</v>
      </c>
      <c r="U460" s="19">
        <v>0.12</v>
      </c>
    </row>
    <row r="461" spans="17:21" x14ac:dyDescent="0.25">
      <c r="Q461" s="18" t="s">
        <v>235</v>
      </c>
      <c r="R461">
        <v>2021</v>
      </c>
      <c r="S461">
        <v>1</v>
      </c>
      <c r="T461">
        <v>40</v>
      </c>
      <c r="U461" s="19">
        <v>0.02</v>
      </c>
    </row>
    <row r="462" spans="17:21" x14ac:dyDescent="0.25">
      <c r="Q462" s="18" t="s">
        <v>238</v>
      </c>
      <c r="R462" t="s">
        <v>3994</v>
      </c>
      <c r="S462">
        <v>2</v>
      </c>
      <c r="T462">
        <v>292</v>
      </c>
      <c r="U462" s="19">
        <v>0.29200000000000004</v>
      </c>
    </row>
    <row r="463" spans="17:21" x14ac:dyDescent="0.25">
      <c r="Q463" s="18" t="s">
        <v>241</v>
      </c>
      <c r="R463">
        <v>2022</v>
      </c>
      <c r="S463">
        <v>1</v>
      </c>
      <c r="T463">
        <v>240</v>
      </c>
      <c r="U463" s="19">
        <v>0.24</v>
      </c>
    </row>
    <row r="464" spans="17:21" x14ac:dyDescent="0.25">
      <c r="Q464" s="18" t="s">
        <v>245</v>
      </c>
      <c r="R464">
        <v>2022</v>
      </c>
      <c r="S464">
        <v>1</v>
      </c>
      <c r="T464">
        <v>650</v>
      </c>
      <c r="U464" s="19">
        <v>1</v>
      </c>
    </row>
    <row r="465" spans="17:21" x14ac:dyDescent="0.25">
      <c r="Q465" s="18" t="s">
        <v>252</v>
      </c>
      <c r="R465">
        <v>2022</v>
      </c>
      <c r="S465">
        <v>1</v>
      </c>
      <c r="T465">
        <v>150</v>
      </c>
      <c r="U465" s="19">
        <v>8.6705202312138699E-2</v>
      </c>
    </row>
    <row r="466" spans="17:21" x14ac:dyDescent="0.25">
      <c r="Q466" s="18" t="s">
        <v>256</v>
      </c>
      <c r="R466">
        <v>2022</v>
      </c>
      <c r="S466">
        <v>1</v>
      </c>
      <c r="T466">
        <v>212</v>
      </c>
      <c r="U466" s="19">
        <v>0.21199999999999999</v>
      </c>
    </row>
    <row r="467" spans="17:21" x14ac:dyDescent="0.25">
      <c r="Q467" s="18" t="s">
        <v>259</v>
      </c>
      <c r="R467">
        <v>2022</v>
      </c>
      <c r="S467">
        <v>1</v>
      </c>
      <c r="T467">
        <v>62</v>
      </c>
      <c r="U467" s="19">
        <v>6.2E-2</v>
      </c>
    </row>
    <row r="468" spans="17:21" x14ac:dyDescent="0.25">
      <c r="Q468" s="18" t="s">
        <v>262</v>
      </c>
      <c r="R468" t="s">
        <v>3994</v>
      </c>
      <c r="S468">
        <v>2</v>
      </c>
      <c r="T468">
        <v>110</v>
      </c>
      <c r="U468" s="19">
        <v>3.8260869565217299E-2</v>
      </c>
    </row>
    <row r="469" spans="17:21" x14ac:dyDescent="0.25">
      <c r="Q469" s="18" t="s">
        <v>265</v>
      </c>
      <c r="R469">
        <v>2022</v>
      </c>
      <c r="S469">
        <v>1</v>
      </c>
      <c r="T469">
        <v>50</v>
      </c>
      <c r="U469" s="19">
        <v>0.05</v>
      </c>
    </row>
    <row r="470" spans="17:21" x14ac:dyDescent="0.25">
      <c r="Q470" s="18" t="s">
        <v>274</v>
      </c>
      <c r="R470">
        <v>2020</v>
      </c>
      <c r="S470">
        <v>1</v>
      </c>
      <c r="T470">
        <v>1125</v>
      </c>
      <c r="U470" s="19">
        <v>0.28125</v>
      </c>
    </row>
    <row r="471" spans="17:21" x14ac:dyDescent="0.25">
      <c r="Q471" s="18" t="s">
        <v>278</v>
      </c>
      <c r="R471" t="s">
        <v>3996</v>
      </c>
      <c r="S471">
        <v>2</v>
      </c>
      <c r="T471">
        <v>655</v>
      </c>
      <c r="U471" s="19">
        <v>0.65500000000000003</v>
      </c>
    </row>
    <row r="472" spans="17:21" x14ac:dyDescent="0.25">
      <c r="Q472" s="18" t="s">
        <v>283</v>
      </c>
      <c r="R472" t="s">
        <v>3993</v>
      </c>
      <c r="S472">
        <v>2</v>
      </c>
      <c r="T472">
        <v>1150</v>
      </c>
      <c r="U472" s="19">
        <v>1.1499999999999999</v>
      </c>
    </row>
    <row r="473" spans="17:21" x14ac:dyDescent="0.25">
      <c r="Q473" s="18" t="s">
        <v>287</v>
      </c>
      <c r="R473" t="s">
        <v>3993</v>
      </c>
      <c r="S473">
        <v>2</v>
      </c>
      <c r="T473">
        <v>1225</v>
      </c>
      <c r="U473" s="19">
        <v>0.72058823529411697</v>
      </c>
    </row>
    <row r="474" spans="17:21" x14ac:dyDescent="0.25">
      <c r="Q474" s="18" t="s">
        <v>291</v>
      </c>
      <c r="R474">
        <v>2020</v>
      </c>
      <c r="S474">
        <v>1</v>
      </c>
      <c r="T474">
        <v>1500</v>
      </c>
      <c r="U474" s="19">
        <v>0.33333333333333298</v>
      </c>
    </row>
    <row r="475" spans="17:21" x14ac:dyDescent="0.25">
      <c r="Q475" s="18" t="s">
        <v>295</v>
      </c>
      <c r="R475" t="s">
        <v>3993</v>
      </c>
      <c r="S475">
        <v>2</v>
      </c>
      <c r="T475">
        <v>400</v>
      </c>
      <c r="U475" s="19">
        <v>0.4</v>
      </c>
    </row>
    <row r="476" spans="17:21" x14ac:dyDescent="0.25">
      <c r="Q476" s="18" t="s">
        <v>299</v>
      </c>
      <c r="R476" t="s">
        <v>3996</v>
      </c>
      <c r="S476">
        <v>2</v>
      </c>
      <c r="T476">
        <v>570</v>
      </c>
      <c r="U476" s="19">
        <v>0.28500000000000003</v>
      </c>
    </row>
    <row r="477" spans="17:21" x14ac:dyDescent="0.25">
      <c r="Q477" s="18" t="s">
        <v>308</v>
      </c>
      <c r="R477">
        <v>2022</v>
      </c>
      <c r="S477">
        <v>1</v>
      </c>
      <c r="T477">
        <v>100</v>
      </c>
      <c r="U477" s="19">
        <v>0.1</v>
      </c>
    </row>
    <row r="478" spans="17:21" x14ac:dyDescent="0.25">
      <c r="Q478" s="18" t="s">
        <v>326</v>
      </c>
      <c r="R478">
        <v>2020</v>
      </c>
      <c r="S478">
        <v>1</v>
      </c>
      <c r="T478">
        <v>200</v>
      </c>
      <c r="U478" s="19">
        <v>0.16666666666666599</v>
      </c>
    </row>
    <row r="479" spans="17:21" x14ac:dyDescent="0.25">
      <c r="Q479" s="18" t="s">
        <v>336</v>
      </c>
      <c r="R479" t="s">
        <v>3996</v>
      </c>
      <c r="S479">
        <v>2</v>
      </c>
      <c r="T479">
        <v>312</v>
      </c>
      <c r="U479" s="19">
        <v>0.312</v>
      </c>
    </row>
    <row r="480" spans="17:21" x14ac:dyDescent="0.25">
      <c r="Q480" s="18" t="s">
        <v>340</v>
      </c>
      <c r="R480">
        <v>2021</v>
      </c>
      <c r="S480">
        <v>1</v>
      </c>
      <c r="T480">
        <v>355</v>
      </c>
      <c r="U480" s="19">
        <v>0.20882352941176399</v>
      </c>
    </row>
    <row r="481" spans="17:21" x14ac:dyDescent="0.25">
      <c r="Q481" s="18" t="s">
        <v>344</v>
      </c>
      <c r="R481">
        <v>2020</v>
      </c>
      <c r="S481">
        <v>1</v>
      </c>
      <c r="T481">
        <v>100</v>
      </c>
      <c r="U481" s="19">
        <v>8.3333333333333301E-2</v>
      </c>
    </row>
    <row r="482" spans="17:21" x14ac:dyDescent="0.25">
      <c r="Q482" s="18" t="s">
        <v>348</v>
      </c>
      <c r="R482">
        <v>2021</v>
      </c>
      <c r="S482">
        <v>1</v>
      </c>
      <c r="T482">
        <v>180</v>
      </c>
      <c r="U482" s="19">
        <v>0.09</v>
      </c>
    </row>
    <row r="483" spans="17:21" x14ac:dyDescent="0.25">
      <c r="Q483" s="18" t="s">
        <v>352</v>
      </c>
      <c r="R483">
        <v>2021</v>
      </c>
      <c r="S483">
        <v>1</v>
      </c>
      <c r="T483">
        <v>140</v>
      </c>
      <c r="U483" s="19">
        <v>7.0000000000000007E-2</v>
      </c>
    </row>
    <row r="484" spans="17:21" x14ac:dyDescent="0.25">
      <c r="Q484" s="18" t="s">
        <v>380</v>
      </c>
      <c r="R484">
        <v>2020</v>
      </c>
      <c r="S484">
        <v>1</v>
      </c>
      <c r="T484">
        <v>500</v>
      </c>
      <c r="U484" s="19">
        <v>0.5</v>
      </c>
    </row>
    <row r="485" spans="17:21" x14ac:dyDescent="0.25">
      <c r="Q485" s="18" t="s">
        <v>398</v>
      </c>
      <c r="R485">
        <v>2020</v>
      </c>
      <c r="S485">
        <v>1</v>
      </c>
      <c r="T485">
        <v>300</v>
      </c>
      <c r="U485" s="19">
        <v>1</v>
      </c>
    </row>
    <row r="486" spans="17:21" x14ac:dyDescent="0.25">
      <c r="Q486" s="18" t="s">
        <v>404</v>
      </c>
      <c r="R486">
        <v>2021</v>
      </c>
      <c r="S486">
        <v>1</v>
      </c>
      <c r="T486">
        <v>550</v>
      </c>
      <c r="U486" s="19">
        <v>1</v>
      </c>
    </row>
    <row r="487" spans="17:21" x14ac:dyDescent="0.25">
      <c r="Q487" s="18" t="s">
        <v>414</v>
      </c>
      <c r="R487" t="s">
        <v>3996</v>
      </c>
      <c r="S487">
        <v>2</v>
      </c>
      <c r="T487">
        <v>603</v>
      </c>
      <c r="U487" s="19">
        <v>0.30149999999999999</v>
      </c>
    </row>
    <row r="488" spans="17:21" x14ac:dyDescent="0.25">
      <c r="Q488" s="18" t="s">
        <v>417</v>
      </c>
      <c r="R488">
        <v>2020</v>
      </c>
      <c r="S488">
        <v>1</v>
      </c>
      <c r="T488">
        <v>105</v>
      </c>
      <c r="U488" s="19">
        <v>5.2499999999999998E-2</v>
      </c>
    </row>
    <row r="489" spans="17:21" x14ac:dyDescent="0.25">
      <c r="Q489" s="18" t="s">
        <v>421</v>
      </c>
      <c r="R489">
        <v>2022</v>
      </c>
      <c r="S489">
        <v>1</v>
      </c>
      <c r="T489">
        <v>2800</v>
      </c>
      <c r="U489" s="19">
        <v>0.35</v>
      </c>
    </row>
    <row r="490" spans="17:21" x14ac:dyDescent="0.25">
      <c r="Q490" s="18" t="s">
        <v>428</v>
      </c>
      <c r="R490">
        <v>2021</v>
      </c>
      <c r="S490">
        <v>1</v>
      </c>
      <c r="T490">
        <v>1438</v>
      </c>
      <c r="U490" s="19">
        <v>0.97889720898570398</v>
      </c>
    </row>
    <row r="491" spans="17:21" x14ac:dyDescent="0.25">
      <c r="Q491" s="18" t="s">
        <v>432</v>
      </c>
      <c r="R491">
        <v>2021</v>
      </c>
      <c r="S491">
        <v>1</v>
      </c>
      <c r="T491">
        <v>700</v>
      </c>
      <c r="U491" s="19">
        <v>0.7</v>
      </c>
    </row>
    <row r="492" spans="17:21" x14ac:dyDescent="0.25">
      <c r="Q492" s="18" t="s">
        <v>435</v>
      </c>
      <c r="R492" t="s">
        <v>3996</v>
      </c>
      <c r="S492">
        <v>2</v>
      </c>
      <c r="T492">
        <v>2307</v>
      </c>
      <c r="U492" s="19">
        <v>0.87056603773584906</v>
      </c>
    </row>
    <row r="493" spans="17:21" x14ac:dyDescent="0.25">
      <c r="Q493" s="18" t="s">
        <v>446</v>
      </c>
      <c r="R493">
        <v>2021</v>
      </c>
      <c r="S493">
        <v>1</v>
      </c>
      <c r="T493">
        <v>1000</v>
      </c>
      <c r="U493" s="19">
        <v>0.5</v>
      </c>
    </row>
    <row r="494" spans="17:21" x14ac:dyDescent="0.25">
      <c r="Q494" s="18" t="s">
        <v>450</v>
      </c>
      <c r="R494">
        <v>2021</v>
      </c>
      <c r="S494">
        <v>1</v>
      </c>
      <c r="T494">
        <v>918</v>
      </c>
      <c r="U494" s="19">
        <v>0.32041884816753902</v>
      </c>
    </row>
    <row r="495" spans="17:21" x14ac:dyDescent="0.25">
      <c r="Q495" s="18" t="s">
        <v>453</v>
      </c>
      <c r="R495">
        <v>2021</v>
      </c>
      <c r="S495">
        <v>1</v>
      </c>
      <c r="T495">
        <v>4511</v>
      </c>
      <c r="U495" s="19">
        <v>0.864176245210727</v>
      </c>
    </row>
    <row r="496" spans="17:21" x14ac:dyDescent="0.25">
      <c r="Q496" s="18" t="s">
        <v>457</v>
      </c>
      <c r="R496">
        <v>2021</v>
      </c>
      <c r="S496">
        <v>1</v>
      </c>
      <c r="T496">
        <v>1094</v>
      </c>
      <c r="U496" s="19">
        <v>0.164116411641164</v>
      </c>
    </row>
    <row r="497" spans="17:21" x14ac:dyDescent="0.25">
      <c r="Q497" s="18" t="s">
        <v>464</v>
      </c>
      <c r="R497">
        <v>2020</v>
      </c>
      <c r="S497">
        <v>1</v>
      </c>
      <c r="T497">
        <v>50</v>
      </c>
      <c r="U497" s="19">
        <v>7.3659398939304602E-3</v>
      </c>
    </row>
    <row r="498" spans="17:21" x14ac:dyDescent="0.25">
      <c r="Q498" s="18" t="s">
        <v>468</v>
      </c>
      <c r="R498" t="s">
        <v>3996</v>
      </c>
      <c r="S498">
        <v>2</v>
      </c>
      <c r="T498">
        <v>246</v>
      </c>
      <c r="U498" s="19">
        <v>0.246</v>
      </c>
    </row>
    <row r="499" spans="17:21" x14ac:dyDescent="0.25">
      <c r="Q499" s="18" t="s">
        <v>471</v>
      </c>
      <c r="R499">
        <v>2020</v>
      </c>
      <c r="S499">
        <v>1</v>
      </c>
      <c r="T499">
        <v>53</v>
      </c>
      <c r="U499" s="19">
        <v>1.3086419753086401E-2</v>
      </c>
    </row>
    <row r="500" spans="17:21" x14ac:dyDescent="0.25">
      <c r="Q500" s="18" t="s">
        <v>472</v>
      </c>
      <c r="R500" t="s">
        <v>3993</v>
      </c>
      <c r="S500">
        <v>2</v>
      </c>
      <c r="T500">
        <v>900</v>
      </c>
      <c r="U500" s="19">
        <v>0.45</v>
      </c>
    </row>
    <row r="501" spans="17:21" x14ac:dyDescent="0.25">
      <c r="Q501" s="18" t="s">
        <v>473</v>
      </c>
      <c r="R501">
        <v>2022</v>
      </c>
      <c r="S501">
        <v>1</v>
      </c>
      <c r="T501">
        <v>11473</v>
      </c>
      <c r="U501" s="19">
        <v>0.63738888888888801</v>
      </c>
    </row>
    <row r="502" spans="17:21" x14ac:dyDescent="0.25">
      <c r="Q502" s="18" t="s">
        <v>479</v>
      </c>
      <c r="R502">
        <v>2021</v>
      </c>
      <c r="S502">
        <v>1</v>
      </c>
      <c r="T502">
        <v>1300</v>
      </c>
      <c r="U502" s="19">
        <v>0.65</v>
      </c>
    </row>
    <row r="503" spans="17:21" x14ac:dyDescent="0.25">
      <c r="Q503" s="18" t="s">
        <v>480</v>
      </c>
      <c r="R503">
        <v>2022</v>
      </c>
      <c r="S503">
        <v>1</v>
      </c>
      <c r="T503">
        <v>700</v>
      </c>
      <c r="U503" s="19">
        <v>0.26415094339622602</v>
      </c>
    </row>
    <row r="504" spans="17:21" x14ac:dyDescent="0.25">
      <c r="Q504" s="18" t="s">
        <v>481</v>
      </c>
      <c r="R504" t="s">
        <v>3993</v>
      </c>
      <c r="S504">
        <v>2</v>
      </c>
      <c r="T504">
        <v>1356</v>
      </c>
      <c r="U504" s="19">
        <v>1.3560000000000001</v>
      </c>
    </row>
    <row r="505" spans="17:21" x14ac:dyDescent="0.25">
      <c r="Q505" s="18" t="s">
        <v>484</v>
      </c>
      <c r="R505">
        <v>2022</v>
      </c>
      <c r="S505">
        <v>1</v>
      </c>
      <c r="T505">
        <v>250</v>
      </c>
      <c r="U505" s="19">
        <v>0.25</v>
      </c>
    </row>
    <row r="506" spans="17:21" x14ac:dyDescent="0.25">
      <c r="Q506" s="18" t="s">
        <v>488</v>
      </c>
      <c r="R506" t="s">
        <v>3993</v>
      </c>
      <c r="S506">
        <v>2</v>
      </c>
      <c r="T506">
        <v>125</v>
      </c>
      <c r="U506" s="19">
        <v>4.2999656002751893E-2</v>
      </c>
    </row>
    <row r="507" spans="17:21" x14ac:dyDescent="0.25">
      <c r="Q507" s="18" t="s">
        <v>492</v>
      </c>
      <c r="R507" t="s">
        <v>3993</v>
      </c>
      <c r="S507">
        <v>2</v>
      </c>
      <c r="T507">
        <v>675</v>
      </c>
      <c r="U507" s="19">
        <v>0.45</v>
      </c>
    </row>
    <row r="508" spans="17:21" x14ac:dyDescent="0.25">
      <c r="Q508" s="18" t="s">
        <v>495</v>
      </c>
      <c r="R508">
        <v>2022</v>
      </c>
      <c r="S508">
        <v>1</v>
      </c>
      <c r="T508">
        <v>200</v>
      </c>
      <c r="U508" s="19">
        <v>5.2700922266139601E-2</v>
      </c>
    </row>
    <row r="509" spans="17:21" x14ac:dyDescent="0.25">
      <c r="Q509" s="18" t="s">
        <v>498</v>
      </c>
      <c r="R509">
        <v>2020</v>
      </c>
      <c r="S509">
        <v>1</v>
      </c>
      <c r="T509">
        <v>360</v>
      </c>
      <c r="U509" s="19">
        <v>0.36</v>
      </c>
    </row>
    <row r="510" spans="17:21" x14ac:dyDescent="0.25">
      <c r="Q510" s="18" t="s">
        <v>503</v>
      </c>
      <c r="R510">
        <v>2020</v>
      </c>
      <c r="S510">
        <v>1</v>
      </c>
      <c r="T510">
        <v>250</v>
      </c>
      <c r="U510" s="19">
        <v>0.125</v>
      </c>
    </row>
    <row r="511" spans="17:21" x14ac:dyDescent="0.25">
      <c r="Q511" s="18" t="s">
        <v>515</v>
      </c>
      <c r="R511">
        <v>2021</v>
      </c>
      <c r="S511">
        <v>1</v>
      </c>
      <c r="T511">
        <v>4000</v>
      </c>
      <c r="U511" s="19">
        <v>0.72727272727272696</v>
      </c>
    </row>
    <row r="512" spans="17:21" x14ac:dyDescent="0.25">
      <c r="Q512" s="18" t="s">
        <v>530</v>
      </c>
      <c r="R512">
        <v>2022</v>
      </c>
      <c r="S512">
        <v>1</v>
      </c>
      <c r="T512">
        <v>1000</v>
      </c>
      <c r="U512" s="19">
        <v>0.36363636363636298</v>
      </c>
    </row>
    <row r="513" spans="17:21" x14ac:dyDescent="0.25">
      <c r="Q513" s="18" t="s">
        <v>541</v>
      </c>
      <c r="R513">
        <v>2021</v>
      </c>
      <c r="S513">
        <v>1</v>
      </c>
      <c r="T513">
        <v>2714</v>
      </c>
      <c r="U513" s="19">
        <v>0.22616666666666599</v>
      </c>
    </row>
    <row r="514" spans="17:21" x14ac:dyDescent="0.25">
      <c r="Q514" s="18" t="s">
        <v>547</v>
      </c>
      <c r="R514">
        <v>2021</v>
      </c>
      <c r="S514">
        <v>1</v>
      </c>
      <c r="T514">
        <v>1320</v>
      </c>
      <c r="U514" s="19">
        <v>0.4</v>
      </c>
    </row>
    <row r="515" spans="17:21" x14ac:dyDescent="0.25">
      <c r="Q515" s="18" t="s">
        <v>563</v>
      </c>
      <c r="R515">
        <v>2021</v>
      </c>
      <c r="S515">
        <v>1</v>
      </c>
      <c r="T515">
        <v>1300</v>
      </c>
      <c r="U515" s="19">
        <v>0.141304347826086</v>
      </c>
    </row>
    <row r="516" spans="17:21" x14ac:dyDescent="0.25">
      <c r="Q516" s="18" t="s">
        <v>569</v>
      </c>
      <c r="R516">
        <v>2022</v>
      </c>
      <c r="S516">
        <v>1</v>
      </c>
      <c r="T516">
        <v>1802</v>
      </c>
      <c r="U516" s="19">
        <v>0.65527272727272701</v>
      </c>
    </row>
    <row r="517" spans="17:21" x14ac:dyDescent="0.25">
      <c r="Q517" s="18" t="s">
        <v>572</v>
      </c>
      <c r="R517" t="s">
        <v>3993</v>
      </c>
      <c r="S517">
        <v>2</v>
      </c>
      <c r="T517">
        <v>2600</v>
      </c>
      <c r="U517" s="19">
        <v>0.94545454545454499</v>
      </c>
    </row>
    <row r="518" spans="17:21" x14ac:dyDescent="0.25">
      <c r="Q518" s="18" t="s">
        <v>575</v>
      </c>
      <c r="R518" t="s">
        <v>3993</v>
      </c>
      <c r="S518">
        <v>2</v>
      </c>
      <c r="T518">
        <v>1750</v>
      </c>
      <c r="U518" s="19">
        <v>0.79545454545454497</v>
      </c>
    </row>
    <row r="519" spans="17:21" x14ac:dyDescent="0.25">
      <c r="Q519" s="18" t="s">
        <v>586</v>
      </c>
      <c r="R519" t="s">
        <v>3996</v>
      </c>
      <c r="S519">
        <v>2</v>
      </c>
      <c r="T519">
        <v>3250</v>
      </c>
      <c r="U519" s="19">
        <v>1.181818181818181</v>
      </c>
    </row>
    <row r="520" spans="17:21" x14ac:dyDescent="0.25">
      <c r="Q520" s="18" t="s">
        <v>589</v>
      </c>
      <c r="R520" t="s">
        <v>3995</v>
      </c>
      <c r="S520">
        <v>3</v>
      </c>
      <c r="T520">
        <v>3950</v>
      </c>
      <c r="U520" s="19">
        <v>1.4363636363636352</v>
      </c>
    </row>
    <row r="521" spans="17:21" x14ac:dyDescent="0.25">
      <c r="Q521" s="18" t="s">
        <v>592</v>
      </c>
      <c r="R521" t="s">
        <v>3995</v>
      </c>
      <c r="S521">
        <v>3</v>
      </c>
      <c r="T521">
        <v>3520</v>
      </c>
      <c r="U521" s="19">
        <v>1.2799999999999991</v>
      </c>
    </row>
    <row r="522" spans="17:21" x14ac:dyDescent="0.25">
      <c r="Q522" s="18" t="s">
        <v>598</v>
      </c>
      <c r="R522">
        <v>2020</v>
      </c>
      <c r="S522">
        <v>1</v>
      </c>
      <c r="T522">
        <v>400</v>
      </c>
      <c r="U522" s="19">
        <v>0.18181818181818099</v>
      </c>
    </row>
    <row r="523" spans="17:21" x14ac:dyDescent="0.25">
      <c r="Q523" s="18" t="s">
        <v>602</v>
      </c>
      <c r="R523" t="s">
        <v>3995</v>
      </c>
      <c r="S523">
        <v>3</v>
      </c>
      <c r="T523">
        <v>2850</v>
      </c>
      <c r="U523" s="19">
        <v>1.0363636363636344</v>
      </c>
    </row>
    <row r="524" spans="17:21" x14ac:dyDescent="0.25">
      <c r="Q524" s="18" t="s">
        <v>605</v>
      </c>
      <c r="R524" t="s">
        <v>3993</v>
      </c>
      <c r="S524">
        <v>2</v>
      </c>
      <c r="T524">
        <v>3050</v>
      </c>
      <c r="U524" s="19">
        <v>1.109090909090908</v>
      </c>
    </row>
    <row r="525" spans="17:21" x14ac:dyDescent="0.25">
      <c r="Q525" s="18" t="s">
        <v>608</v>
      </c>
      <c r="R525" t="s">
        <v>3993</v>
      </c>
      <c r="S525">
        <v>2</v>
      </c>
      <c r="T525">
        <v>3741</v>
      </c>
      <c r="U525" s="19">
        <v>0.79325699745547051</v>
      </c>
    </row>
    <row r="526" spans="17:21" x14ac:dyDescent="0.25">
      <c r="Q526" s="18" t="s">
        <v>611</v>
      </c>
      <c r="R526">
        <v>2020</v>
      </c>
      <c r="S526">
        <v>1</v>
      </c>
      <c r="T526">
        <v>150</v>
      </c>
      <c r="U526" s="19">
        <v>3.4090909090908998E-2</v>
      </c>
    </row>
    <row r="527" spans="17:21" x14ac:dyDescent="0.25">
      <c r="Q527" s="18" t="s">
        <v>614</v>
      </c>
      <c r="R527" t="s">
        <v>3995</v>
      </c>
      <c r="S527">
        <v>3</v>
      </c>
      <c r="T527">
        <v>3691</v>
      </c>
      <c r="U527" s="19">
        <v>1.677727272727271</v>
      </c>
    </row>
    <row r="528" spans="17:21" x14ac:dyDescent="0.25">
      <c r="Q528" s="18" t="s">
        <v>617</v>
      </c>
      <c r="R528">
        <v>2022</v>
      </c>
      <c r="S528">
        <v>1</v>
      </c>
      <c r="T528">
        <v>370</v>
      </c>
      <c r="U528" s="19">
        <v>0.134545454545454</v>
      </c>
    </row>
    <row r="529" spans="17:21" x14ac:dyDescent="0.25">
      <c r="Q529" s="18" t="s">
        <v>623</v>
      </c>
      <c r="R529" t="s">
        <v>3996</v>
      </c>
      <c r="S529">
        <v>2</v>
      </c>
      <c r="T529">
        <v>850</v>
      </c>
      <c r="U529" s="19">
        <v>0.30909090909090808</v>
      </c>
    </row>
    <row r="530" spans="17:21" x14ac:dyDescent="0.25">
      <c r="Q530" s="18" t="s">
        <v>629</v>
      </c>
      <c r="R530" t="s">
        <v>3996</v>
      </c>
      <c r="S530">
        <v>2</v>
      </c>
      <c r="T530">
        <v>1399</v>
      </c>
      <c r="U530" s="19">
        <v>0.50872727272727203</v>
      </c>
    </row>
    <row r="531" spans="17:21" x14ac:dyDescent="0.25">
      <c r="Q531" s="18" t="s">
        <v>638</v>
      </c>
      <c r="R531">
        <v>2020</v>
      </c>
      <c r="S531">
        <v>1</v>
      </c>
      <c r="T531">
        <v>465</v>
      </c>
      <c r="U531" s="19">
        <v>0.16909090909090899</v>
      </c>
    </row>
    <row r="532" spans="17:21" x14ac:dyDescent="0.25">
      <c r="Q532" s="18" t="s">
        <v>644</v>
      </c>
      <c r="R532">
        <v>2020</v>
      </c>
      <c r="S532">
        <v>1</v>
      </c>
      <c r="T532">
        <v>550</v>
      </c>
      <c r="U532" s="19">
        <v>0.5</v>
      </c>
    </row>
    <row r="533" spans="17:21" x14ac:dyDescent="0.25">
      <c r="Q533" s="18" t="s">
        <v>657</v>
      </c>
      <c r="R533">
        <v>2021</v>
      </c>
      <c r="S533">
        <v>1</v>
      </c>
      <c r="T533">
        <v>1000</v>
      </c>
      <c r="U533" s="19">
        <v>9.0909090909090898E-2</v>
      </c>
    </row>
    <row r="534" spans="17:21" x14ac:dyDescent="0.25">
      <c r="Q534" s="18" t="s">
        <v>658</v>
      </c>
      <c r="R534">
        <v>2020</v>
      </c>
      <c r="S534">
        <v>1</v>
      </c>
      <c r="T534">
        <v>100</v>
      </c>
      <c r="U534" s="19">
        <v>3.6363636363636299E-2</v>
      </c>
    </row>
    <row r="535" spans="17:21" x14ac:dyDescent="0.25">
      <c r="Q535" s="18" t="s">
        <v>661</v>
      </c>
      <c r="R535">
        <v>2021</v>
      </c>
      <c r="S535">
        <v>1</v>
      </c>
      <c r="T535">
        <v>150</v>
      </c>
      <c r="U535" s="19">
        <v>0.27272727272727199</v>
      </c>
    </row>
    <row r="536" spans="17:21" x14ac:dyDescent="0.25">
      <c r="Q536" s="18" t="s">
        <v>664</v>
      </c>
      <c r="R536">
        <v>2021</v>
      </c>
      <c r="S536">
        <v>1</v>
      </c>
      <c r="T536">
        <v>280</v>
      </c>
      <c r="U536" s="19">
        <v>0.50909090909090904</v>
      </c>
    </row>
    <row r="537" spans="17:21" x14ac:dyDescent="0.25">
      <c r="Q537" s="18" t="s">
        <v>667</v>
      </c>
      <c r="R537">
        <v>2021</v>
      </c>
      <c r="S537">
        <v>1</v>
      </c>
      <c r="T537">
        <v>60</v>
      </c>
      <c r="U537" s="19">
        <v>5.4545454545454501E-2</v>
      </c>
    </row>
    <row r="538" spans="17:21" x14ac:dyDescent="0.25">
      <c r="Q538" s="18" t="s">
        <v>671</v>
      </c>
      <c r="R538">
        <v>2021</v>
      </c>
      <c r="S538">
        <v>1</v>
      </c>
      <c r="T538">
        <v>50</v>
      </c>
      <c r="U538" s="19">
        <v>9.0909090909090898E-2</v>
      </c>
    </row>
    <row r="539" spans="17:21" x14ac:dyDescent="0.25">
      <c r="Q539" s="18" t="s">
        <v>674</v>
      </c>
      <c r="R539">
        <v>2021</v>
      </c>
      <c r="S539">
        <v>1</v>
      </c>
      <c r="T539">
        <v>140</v>
      </c>
      <c r="U539" s="19">
        <v>0.25454545454545402</v>
      </c>
    </row>
    <row r="540" spans="17:21" x14ac:dyDescent="0.25">
      <c r="Q540" s="18" t="s">
        <v>677</v>
      </c>
      <c r="R540">
        <v>2021</v>
      </c>
      <c r="S540">
        <v>1</v>
      </c>
      <c r="T540">
        <v>35</v>
      </c>
      <c r="U540" s="19">
        <v>6.3636363636363602E-2</v>
      </c>
    </row>
    <row r="541" spans="17:21" x14ac:dyDescent="0.25">
      <c r="Q541" s="18" t="s">
        <v>680</v>
      </c>
      <c r="R541">
        <v>2021</v>
      </c>
      <c r="S541">
        <v>1</v>
      </c>
      <c r="T541">
        <v>120</v>
      </c>
      <c r="U541" s="19">
        <v>0.218181818181818</v>
      </c>
    </row>
    <row r="542" spans="17:21" x14ac:dyDescent="0.25">
      <c r="Q542" s="18" t="s">
        <v>684</v>
      </c>
      <c r="R542">
        <v>2021</v>
      </c>
      <c r="S542">
        <v>1</v>
      </c>
      <c r="T542">
        <v>150</v>
      </c>
      <c r="U542" s="19">
        <v>0.13636363636363599</v>
      </c>
    </row>
    <row r="543" spans="17:21" x14ac:dyDescent="0.25">
      <c r="Q543" s="18" t="s">
        <v>690</v>
      </c>
      <c r="R543">
        <v>2021</v>
      </c>
      <c r="S543">
        <v>1</v>
      </c>
      <c r="T543">
        <v>140</v>
      </c>
      <c r="U543" s="19">
        <v>0.25454545454545402</v>
      </c>
    </row>
    <row r="544" spans="17:21" x14ac:dyDescent="0.25">
      <c r="Q544" s="18" t="s">
        <v>700</v>
      </c>
      <c r="R544">
        <v>2021</v>
      </c>
      <c r="S544">
        <v>1</v>
      </c>
      <c r="T544">
        <v>650</v>
      </c>
      <c r="U544" s="19">
        <v>0.59090909090909005</v>
      </c>
    </row>
    <row r="545" spans="17:21" x14ac:dyDescent="0.25">
      <c r="Q545" s="18" t="s">
        <v>703</v>
      </c>
      <c r="R545">
        <v>2021</v>
      </c>
      <c r="S545">
        <v>1</v>
      </c>
      <c r="T545">
        <v>100</v>
      </c>
      <c r="U545" s="19">
        <v>0.18181818181818099</v>
      </c>
    </row>
    <row r="546" spans="17:21" x14ac:dyDescent="0.25">
      <c r="Q546" s="18" t="s">
        <v>707</v>
      </c>
      <c r="R546">
        <v>2021</v>
      </c>
      <c r="S546">
        <v>1</v>
      </c>
      <c r="T546">
        <v>300</v>
      </c>
      <c r="U546" s="19">
        <v>0.27272727272727199</v>
      </c>
    </row>
    <row r="547" spans="17:21" x14ac:dyDescent="0.25">
      <c r="Q547" s="18" t="s">
        <v>713</v>
      </c>
      <c r="R547">
        <v>2021</v>
      </c>
      <c r="S547">
        <v>1</v>
      </c>
      <c r="T547">
        <v>100</v>
      </c>
      <c r="U547" s="19">
        <v>9.0909090909090898E-2</v>
      </c>
    </row>
    <row r="548" spans="17:21" x14ac:dyDescent="0.25">
      <c r="Q548" s="18" t="s">
        <v>716</v>
      </c>
      <c r="R548">
        <v>2021</v>
      </c>
      <c r="S548">
        <v>1</v>
      </c>
      <c r="T548">
        <v>115</v>
      </c>
      <c r="U548" s="19">
        <v>0.20909090909090899</v>
      </c>
    </row>
    <row r="549" spans="17:21" x14ac:dyDescent="0.25">
      <c r="Q549" s="18" t="s">
        <v>717</v>
      </c>
      <c r="R549">
        <v>2021</v>
      </c>
      <c r="S549">
        <v>1</v>
      </c>
      <c r="T549">
        <v>130</v>
      </c>
      <c r="U549" s="19">
        <v>0.118181818181818</v>
      </c>
    </row>
    <row r="550" spans="17:21" x14ac:dyDescent="0.25">
      <c r="Q550" s="18" t="s">
        <v>723</v>
      </c>
      <c r="R550">
        <v>2021</v>
      </c>
      <c r="S550">
        <v>1</v>
      </c>
      <c r="T550">
        <v>150</v>
      </c>
      <c r="U550" s="19">
        <v>0.27272727272727199</v>
      </c>
    </row>
    <row r="551" spans="17:21" x14ac:dyDescent="0.25">
      <c r="Q551" s="18" t="s">
        <v>730</v>
      </c>
      <c r="R551">
        <v>2021</v>
      </c>
      <c r="S551">
        <v>1</v>
      </c>
      <c r="T551">
        <v>100</v>
      </c>
      <c r="U551" s="19">
        <v>1.8181818181818101E-2</v>
      </c>
    </row>
    <row r="552" spans="17:21" x14ac:dyDescent="0.25">
      <c r="Q552" s="18" t="s">
        <v>755</v>
      </c>
      <c r="R552">
        <v>2021</v>
      </c>
      <c r="S552">
        <v>1</v>
      </c>
      <c r="T552">
        <v>150</v>
      </c>
      <c r="U552" s="19">
        <v>0.13636363636363599</v>
      </c>
    </row>
    <row r="553" spans="17:21" x14ac:dyDescent="0.25">
      <c r="Q553" s="18" t="s">
        <v>770</v>
      </c>
      <c r="R553">
        <v>2021</v>
      </c>
      <c r="S553">
        <v>1</v>
      </c>
      <c r="T553">
        <v>10</v>
      </c>
      <c r="U553" s="19">
        <v>6.0606060606060597E-3</v>
      </c>
    </row>
    <row r="554" spans="17:21" x14ac:dyDescent="0.25">
      <c r="Q554" s="18" t="s">
        <v>782</v>
      </c>
      <c r="R554">
        <v>2021</v>
      </c>
      <c r="S554">
        <v>1</v>
      </c>
      <c r="T554">
        <v>550</v>
      </c>
      <c r="U554" s="19">
        <v>1</v>
      </c>
    </row>
    <row r="555" spans="17:21" x14ac:dyDescent="0.25">
      <c r="Q555" s="18" t="s">
        <v>855</v>
      </c>
      <c r="R555">
        <v>2016</v>
      </c>
      <c r="S555">
        <v>1</v>
      </c>
      <c r="T555">
        <v>1000</v>
      </c>
      <c r="U555" s="19">
        <v>0.45454545454545398</v>
      </c>
    </row>
    <row r="556" spans="17:21" x14ac:dyDescent="0.25">
      <c r="Q556" s="18" t="s">
        <v>861</v>
      </c>
      <c r="R556" t="s">
        <v>3997</v>
      </c>
      <c r="S556">
        <v>2</v>
      </c>
      <c r="T556">
        <v>205</v>
      </c>
      <c r="U556" s="19">
        <v>0.18636363636363601</v>
      </c>
    </row>
    <row r="557" spans="17:21" x14ac:dyDescent="0.25">
      <c r="Q557" s="18" t="s">
        <v>864</v>
      </c>
      <c r="R557">
        <v>2017</v>
      </c>
      <c r="S557">
        <v>1</v>
      </c>
      <c r="T557">
        <v>1800</v>
      </c>
      <c r="U557" s="19">
        <v>0.81818181818181801</v>
      </c>
    </row>
    <row r="558" spans="17:21" x14ac:dyDescent="0.25">
      <c r="Q558" s="18" t="s">
        <v>865</v>
      </c>
      <c r="R558">
        <v>2018</v>
      </c>
      <c r="S558">
        <v>1</v>
      </c>
      <c r="T558">
        <v>2200</v>
      </c>
      <c r="U558" s="19">
        <v>1</v>
      </c>
    </row>
    <row r="559" spans="17:21" x14ac:dyDescent="0.25">
      <c r="Q559" s="18" t="s">
        <v>866</v>
      </c>
      <c r="R559" t="s">
        <v>3998</v>
      </c>
      <c r="S559">
        <v>2</v>
      </c>
      <c r="T559">
        <v>1350</v>
      </c>
      <c r="U559" s="19">
        <v>0.61363636363636309</v>
      </c>
    </row>
    <row r="560" spans="17:21" x14ac:dyDescent="0.25">
      <c r="Q560" s="18" t="s">
        <v>869</v>
      </c>
      <c r="R560">
        <v>2016</v>
      </c>
      <c r="S560">
        <v>1</v>
      </c>
      <c r="T560">
        <v>240</v>
      </c>
      <c r="U560" s="19">
        <v>0.218181818181818</v>
      </c>
    </row>
    <row r="561" spans="17:21" x14ac:dyDescent="0.25">
      <c r="Q561" s="18" t="s">
        <v>872</v>
      </c>
      <c r="R561" t="s">
        <v>3998</v>
      </c>
      <c r="S561">
        <v>2</v>
      </c>
      <c r="T561">
        <v>340</v>
      </c>
      <c r="U561" s="19">
        <v>0.42499999999999999</v>
      </c>
    </row>
    <row r="562" spans="17:21" x14ac:dyDescent="0.25">
      <c r="Q562" s="18" t="s">
        <v>875</v>
      </c>
      <c r="R562" t="s">
        <v>3999</v>
      </c>
      <c r="S562">
        <v>2</v>
      </c>
      <c r="T562">
        <v>2050</v>
      </c>
      <c r="U562" s="19">
        <v>1.242424242424242</v>
      </c>
    </row>
    <row r="563" spans="17:21" x14ac:dyDescent="0.25">
      <c r="Q563" s="18" t="s">
        <v>878</v>
      </c>
      <c r="R563" t="s">
        <v>3998</v>
      </c>
      <c r="S563">
        <v>2</v>
      </c>
      <c r="T563">
        <v>865</v>
      </c>
      <c r="U563" s="19">
        <v>1.5727272727272719</v>
      </c>
    </row>
    <row r="564" spans="17:21" x14ac:dyDescent="0.25">
      <c r="Q564" s="18" t="s">
        <v>881</v>
      </c>
      <c r="R564">
        <v>2017</v>
      </c>
      <c r="S564">
        <v>1</v>
      </c>
      <c r="T564">
        <v>150</v>
      </c>
      <c r="U564" s="19">
        <v>0.115830115830115</v>
      </c>
    </row>
    <row r="565" spans="17:21" x14ac:dyDescent="0.25">
      <c r="Q565" s="18" t="s">
        <v>890</v>
      </c>
      <c r="R565" t="s">
        <v>3998</v>
      </c>
      <c r="S565">
        <v>2</v>
      </c>
      <c r="T565">
        <v>950</v>
      </c>
      <c r="U565" s="19">
        <v>1.439393939393939</v>
      </c>
    </row>
    <row r="566" spans="17:21" x14ac:dyDescent="0.25">
      <c r="Q566" s="18" t="s">
        <v>898</v>
      </c>
      <c r="R566">
        <v>2019</v>
      </c>
      <c r="S566">
        <v>1</v>
      </c>
      <c r="T566">
        <v>30</v>
      </c>
      <c r="U566" s="19">
        <v>1.3636363636363599E-2</v>
      </c>
    </row>
    <row r="567" spans="17:21" x14ac:dyDescent="0.25">
      <c r="Q567" s="18" t="s">
        <v>901</v>
      </c>
      <c r="R567">
        <v>2019</v>
      </c>
      <c r="S567">
        <v>1</v>
      </c>
      <c r="T567">
        <v>30</v>
      </c>
      <c r="U567" s="19">
        <v>5.4545454545454501E-2</v>
      </c>
    </row>
    <row r="568" spans="17:21" x14ac:dyDescent="0.25">
      <c r="Q568" s="18" t="s">
        <v>904</v>
      </c>
      <c r="R568">
        <v>2017</v>
      </c>
      <c r="S568">
        <v>1</v>
      </c>
      <c r="T568">
        <v>40</v>
      </c>
      <c r="U568" s="19">
        <v>4.20609884332281E-2</v>
      </c>
    </row>
    <row r="569" spans="17:21" x14ac:dyDescent="0.25">
      <c r="Q569" s="18" t="s">
        <v>917</v>
      </c>
      <c r="R569" t="s">
        <v>4000</v>
      </c>
      <c r="S569">
        <v>2</v>
      </c>
      <c r="T569">
        <v>265</v>
      </c>
      <c r="U569" s="19">
        <v>0.10474308300395241</v>
      </c>
    </row>
    <row r="570" spans="17:21" x14ac:dyDescent="0.25">
      <c r="Q570" s="18" t="s">
        <v>921</v>
      </c>
      <c r="R570" t="s">
        <v>4001</v>
      </c>
      <c r="S570">
        <v>3</v>
      </c>
      <c r="T570">
        <v>226</v>
      </c>
      <c r="U570" s="19">
        <v>0.34242424242424163</v>
      </c>
    </row>
    <row r="571" spans="17:21" x14ac:dyDescent="0.25">
      <c r="Q571" s="18" t="s">
        <v>926</v>
      </c>
      <c r="R571">
        <v>2019</v>
      </c>
      <c r="S571">
        <v>1</v>
      </c>
      <c r="T571">
        <v>286</v>
      </c>
      <c r="U571" s="19">
        <v>0.26</v>
      </c>
    </row>
    <row r="572" spans="17:21" x14ac:dyDescent="0.25">
      <c r="Q572" s="18" t="s">
        <v>932</v>
      </c>
      <c r="R572">
        <v>2019</v>
      </c>
      <c r="S572">
        <v>1</v>
      </c>
      <c r="T572">
        <v>200</v>
      </c>
      <c r="U572" s="19">
        <v>0.47058823529411697</v>
      </c>
    </row>
    <row r="573" spans="17:21" x14ac:dyDescent="0.25">
      <c r="Q573" s="18" t="s">
        <v>936</v>
      </c>
      <c r="R573" t="s">
        <v>4002</v>
      </c>
      <c r="S573">
        <v>2</v>
      </c>
      <c r="T573">
        <v>710</v>
      </c>
      <c r="U573" s="19">
        <v>0.64545454545454495</v>
      </c>
    </row>
    <row r="574" spans="17:21" x14ac:dyDescent="0.25">
      <c r="Q574" s="18" t="s">
        <v>939</v>
      </c>
      <c r="R574" t="s">
        <v>4001</v>
      </c>
      <c r="S574">
        <v>3</v>
      </c>
      <c r="T574">
        <v>1392</v>
      </c>
      <c r="U574" s="19">
        <v>0.55019762845849784</v>
      </c>
    </row>
    <row r="575" spans="17:21" x14ac:dyDescent="0.25">
      <c r="Q575" s="18" t="s">
        <v>942</v>
      </c>
      <c r="R575">
        <v>2019</v>
      </c>
      <c r="S575">
        <v>1</v>
      </c>
      <c r="T575">
        <v>200</v>
      </c>
      <c r="U575" s="19">
        <v>0.36363636363636298</v>
      </c>
    </row>
    <row r="576" spans="17:21" x14ac:dyDescent="0.25">
      <c r="Q576" s="18" t="s">
        <v>949</v>
      </c>
      <c r="R576">
        <v>2020</v>
      </c>
      <c r="S576">
        <v>1</v>
      </c>
      <c r="T576">
        <v>2200</v>
      </c>
      <c r="U576" s="19">
        <v>0.5</v>
      </c>
    </row>
    <row r="577" spans="17:21" x14ac:dyDescent="0.25">
      <c r="Q577" s="18" t="s">
        <v>952</v>
      </c>
      <c r="R577" t="s">
        <v>3996</v>
      </c>
      <c r="S577">
        <v>2</v>
      </c>
      <c r="T577">
        <v>1735</v>
      </c>
      <c r="U577" s="19">
        <v>1.5772727272727201</v>
      </c>
    </row>
    <row r="578" spans="17:21" x14ac:dyDescent="0.25">
      <c r="Q578" s="18" t="s">
        <v>956</v>
      </c>
      <c r="R578" t="s">
        <v>3996</v>
      </c>
      <c r="S578">
        <v>2</v>
      </c>
      <c r="T578">
        <v>369</v>
      </c>
      <c r="U578" s="19">
        <v>0.80217391304347796</v>
      </c>
    </row>
    <row r="579" spans="17:21" x14ac:dyDescent="0.25">
      <c r="Q579" s="18" t="s">
        <v>958</v>
      </c>
      <c r="R579" t="s">
        <v>3995</v>
      </c>
      <c r="S579">
        <v>3</v>
      </c>
      <c r="T579">
        <v>615</v>
      </c>
      <c r="U579" s="19">
        <v>1.1181818181818159</v>
      </c>
    </row>
    <row r="580" spans="17:21" x14ac:dyDescent="0.25">
      <c r="Q580" s="18" t="s">
        <v>961</v>
      </c>
      <c r="R580" t="s">
        <v>4003</v>
      </c>
      <c r="S580">
        <v>3</v>
      </c>
      <c r="T580">
        <v>3572</v>
      </c>
      <c r="U580" s="19">
        <v>1.0505882352941169</v>
      </c>
    </row>
    <row r="581" spans="17:21" x14ac:dyDescent="0.25">
      <c r="Q581" s="18" t="s">
        <v>965</v>
      </c>
      <c r="R581" t="s">
        <v>3992</v>
      </c>
      <c r="S581">
        <v>2</v>
      </c>
      <c r="T581">
        <v>160</v>
      </c>
      <c r="U581" s="19">
        <v>0.14545454545454539</v>
      </c>
    </row>
    <row r="582" spans="17:21" x14ac:dyDescent="0.25">
      <c r="Q582" s="18" t="s">
        <v>971</v>
      </c>
      <c r="R582" t="s">
        <v>3996</v>
      </c>
      <c r="S582">
        <v>2</v>
      </c>
      <c r="T582">
        <v>537</v>
      </c>
      <c r="U582" s="19">
        <v>0.488181818181817</v>
      </c>
    </row>
    <row r="583" spans="17:21" x14ac:dyDescent="0.25">
      <c r="Q583" s="18" t="s">
        <v>975</v>
      </c>
      <c r="R583">
        <v>2020</v>
      </c>
      <c r="S583">
        <v>1</v>
      </c>
      <c r="T583">
        <v>250</v>
      </c>
      <c r="U583" s="19">
        <v>7.8864353312302807E-2</v>
      </c>
    </row>
    <row r="584" spans="17:21" x14ac:dyDescent="0.25">
      <c r="Q584" s="18" t="s">
        <v>978</v>
      </c>
      <c r="R584">
        <v>2020</v>
      </c>
      <c r="S584">
        <v>1</v>
      </c>
      <c r="T584">
        <v>1100</v>
      </c>
      <c r="U584" s="19">
        <v>1</v>
      </c>
    </row>
    <row r="585" spans="17:21" x14ac:dyDescent="0.25">
      <c r="Q585" s="18" t="s">
        <v>981</v>
      </c>
      <c r="R585" t="s">
        <v>3996</v>
      </c>
      <c r="S585">
        <v>2</v>
      </c>
      <c r="T585">
        <v>887</v>
      </c>
      <c r="U585" s="19">
        <v>0.80636363636363595</v>
      </c>
    </row>
    <row r="586" spans="17:21" x14ac:dyDescent="0.25">
      <c r="Q586" s="18" t="s">
        <v>984</v>
      </c>
      <c r="R586" t="s">
        <v>4003</v>
      </c>
      <c r="S586">
        <v>3</v>
      </c>
      <c r="T586">
        <v>1224</v>
      </c>
      <c r="U586" s="19">
        <v>1.1127272727272719</v>
      </c>
    </row>
    <row r="587" spans="17:21" x14ac:dyDescent="0.25">
      <c r="Q587" s="18" t="s">
        <v>988</v>
      </c>
      <c r="R587" t="s">
        <v>3996</v>
      </c>
      <c r="S587">
        <v>2</v>
      </c>
      <c r="T587">
        <v>144</v>
      </c>
      <c r="U587" s="19">
        <v>0.13090909090909</v>
      </c>
    </row>
    <row r="588" spans="17:21" x14ac:dyDescent="0.25">
      <c r="Q588" s="18" t="s">
        <v>991</v>
      </c>
      <c r="R588">
        <v>2019</v>
      </c>
      <c r="S588">
        <v>1</v>
      </c>
      <c r="T588">
        <v>64</v>
      </c>
      <c r="U588" s="19">
        <v>5.8181818181818099E-2</v>
      </c>
    </row>
    <row r="589" spans="17:21" x14ac:dyDescent="0.25">
      <c r="Q589" s="18" t="s">
        <v>994</v>
      </c>
      <c r="R589" t="s">
        <v>3996</v>
      </c>
      <c r="S589">
        <v>2</v>
      </c>
      <c r="T589">
        <v>321</v>
      </c>
      <c r="U589" s="19">
        <v>0.3647727272727268</v>
      </c>
    </row>
    <row r="590" spans="17:21" x14ac:dyDescent="0.25">
      <c r="Q590" s="18" t="s">
        <v>997</v>
      </c>
      <c r="R590" t="s">
        <v>3992</v>
      </c>
      <c r="S590">
        <v>2</v>
      </c>
      <c r="T590">
        <v>882</v>
      </c>
      <c r="U590" s="19">
        <v>0.80181818181818143</v>
      </c>
    </row>
    <row r="591" spans="17:21" x14ac:dyDescent="0.25">
      <c r="Q591" s="18" t="s">
        <v>1000</v>
      </c>
      <c r="R591" t="s">
        <v>4000</v>
      </c>
      <c r="S591">
        <v>2</v>
      </c>
      <c r="T591">
        <v>720</v>
      </c>
      <c r="U591" s="19">
        <v>0.65454545454545299</v>
      </c>
    </row>
    <row r="592" spans="17:21" x14ac:dyDescent="0.25">
      <c r="Q592" s="18" t="s">
        <v>1003</v>
      </c>
      <c r="R592">
        <v>2021</v>
      </c>
      <c r="S592">
        <v>1</v>
      </c>
      <c r="T592">
        <v>400</v>
      </c>
      <c r="U592" s="19">
        <v>0.36363636363636298</v>
      </c>
    </row>
    <row r="593" spans="17:21" x14ac:dyDescent="0.25">
      <c r="Q593" s="18" t="s">
        <v>1006</v>
      </c>
      <c r="R593">
        <v>2021</v>
      </c>
      <c r="S593">
        <v>1</v>
      </c>
      <c r="T593">
        <v>1661</v>
      </c>
      <c r="U593" s="19">
        <v>0.50333333333333297</v>
      </c>
    </row>
    <row r="594" spans="17:21" x14ac:dyDescent="0.25">
      <c r="Q594" s="18" t="s">
        <v>1010</v>
      </c>
      <c r="R594" t="s">
        <v>3995</v>
      </c>
      <c r="S594">
        <v>3</v>
      </c>
      <c r="T594">
        <v>750</v>
      </c>
      <c r="U594" s="19">
        <v>0.68181818181818132</v>
      </c>
    </row>
    <row r="595" spans="17:21" x14ac:dyDescent="0.25">
      <c r="Q595" s="18" t="s">
        <v>1013</v>
      </c>
      <c r="R595" t="s">
        <v>3994</v>
      </c>
      <c r="S595">
        <v>2</v>
      </c>
      <c r="T595">
        <v>380</v>
      </c>
      <c r="U595" s="19">
        <v>0.76</v>
      </c>
    </row>
    <row r="596" spans="17:21" x14ac:dyDescent="0.25">
      <c r="Q596" s="18" t="s">
        <v>1016</v>
      </c>
      <c r="R596" t="s">
        <v>3994</v>
      </c>
      <c r="S596">
        <v>2</v>
      </c>
      <c r="T596">
        <v>928</v>
      </c>
      <c r="U596" s="19">
        <v>0.70303030303030201</v>
      </c>
    </row>
    <row r="597" spans="17:21" x14ac:dyDescent="0.25">
      <c r="Q597" s="18" t="s">
        <v>1017</v>
      </c>
      <c r="R597" t="s">
        <v>3995</v>
      </c>
      <c r="S597">
        <v>3</v>
      </c>
      <c r="T597">
        <v>693</v>
      </c>
      <c r="U597" s="19">
        <v>0.41999999999999926</v>
      </c>
    </row>
    <row r="598" spans="17:21" x14ac:dyDescent="0.25">
      <c r="Q598" s="18" t="s">
        <v>1020</v>
      </c>
      <c r="R598" t="s">
        <v>3995</v>
      </c>
      <c r="S598">
        <v>3</v>
      </c>
      <c r="T598">
        <v>441</v>
      </c>
      <c r="U598" s="19">
        <v>0.4009090909090901</v>
      </c>
    </row>
    <row r="599" spans="17:21" x14ac:dyDescent="0.25">
      <c r="Q599" s="18" t="s">
        <v>1024</v>
      </c>
      <c r="R599" t="s">
        <v>3995</v>
      </c>
      <c r="S599">
        <v>3</v>
      </c>
      <c r="T599">
        <v>541</v>
      </c>
      <c r="U599" s="19">
        <v>0.39779411764705769</v>
      </c>
    </row>
    <row r="600" spans="17:21" x14ac:dyDescent="0.25">
      <c r="Q600" s="18" t="s">
        <v>1028</v>
      </c>
      <c r="R600">
        <v>2021</v>
      </c>
      <c r="S600">
        <v>1</v>
      </c>
      <c r="T600">
        <v>250</v>
      </c>
      <c r="U600" s="19">
        <v>0.22727272727272699</v>
      </c>
    </row>
    <row r="601" spans="17:21" x14ac:dyDescent="0.25">
      <c r="Q601" s="18" t="s">
        <v>1031</v>
      </c>
      <c r="R601" t="s">
        <v>3994</v>
      </c>
      <c r="S601">
        <v>2</v>
      </c>
      <c r="T601">
        <v>1460</v>
      </c>
      <c r="U601" s="19">
        <v>0.66363636363636302</v>
      </c>
    </row>
    <row r="602" spans="17:21" x14ac:dyDescent="0.25">
      <c r="Q602" s="18" t="s">
        <v>1034</v>
      </c>
      <c r="R602">
        <v>2020</v>
      </c>
      <c r="S602">
        <v>1</v>
      </c>
      <c r="T602">
        <v>128</v>
      </c>
      <c r="U602" s="19">
        <v>0.23272727272727201</v>
      </c>
    </row>
    <row r="603" spans="17:21" x14ac:dyDescent="0.25">
      <c r="Q603" s="18" t="s">
        <v>1035</v>
      </c>
      <c r="R603" t="s">
        <v>3994</v>
      </c>
      <c r="S603">
        <v>2</v>
      </c>
      <c r="T603">
        <v>88</v>
      </c>
      <c r="U603" s="19">
        <v>0.19999999999999979</v>
      </c>
    </row>
    <row r="604" spans="17:21" x14ac:dyDescent="0.25">
      <c r="Q604" s="18" t="s">
        <v>1036</v>
      </c>
      <c r="R604" t="s">
        <v>3995</v>
      </c>
      <c r="S604">
        <v>3</v>
      </c>
      <c r="T604">
        <v>422</v>
      </c>
      <c r="U604" s="19">
        <v>0.38363636363636222</v>
      </c>
    </row>
    <row r="605" spans="17:21" x14ac:dyDescent="0.25">
      <c r="Q605" s="18" t="s">
        <v>1039</v>
      </c>
      <c r="R605" t="s">
        <v>3995</v>
      </c>
      <c r="S605">
        <v>3</v>
      </c>
      <c r="T605">
        <v>656</v>
      </c>
      <c r="U605" s="19">
        <v>0.5963636363636351</v>
      </c>
    </row>
    <row r="606" spans="17:21" x14ac:dyDescent="0.25">
      <c r="Q606" s="18" t="s">
        <v>1043</v>
      </c>
      <c r="R606">
        <v>2020</v>
      </c>
      <c r="S606">
        <v>1</v>
      </c>
      <c r="T606">
        <v>204</v>
      </c>
      <c r="U606" s="19">
        <v>3.7090909090909001E-2</v>
      </c>
    </row>
    <row r="607" spans="17:21" x14ac:dyDescent="0.25">
      <c r="Q607" s="18" t="s">
        <v>1046</v>
      </c>
      <c r="R607" t="s">
        <v>3995</v>
      </c>
      <c r="S607">
        <v>3</v>
      </c>
      <c r="T607">
        <v>1210</v>
      </c>
      <c r="U607" s="19">
        <v>0.54999999999999927</v>
      </c>
    </row>
    <row r="608" spans="17:21" x14ac:dyDescent="0.25">
      <c r="Q608" s="18" t="s">
        <v>1049</v>
      </c>
      <c r="R608" t="s">
        <v>3994</v>
      </c>
      <c r="S608">
        <v>2</v>
      </c>
      <c r="T608">
        <v>714</v>
      </c>
      <c r="U608" s="19">
        <v>0.64909090909090816</v>
      </c>
    </row>
    <row r="609" spans="17:21" x14ac:dyDescent="0.25">
      <c r="Q609" s="18" t="s">
        <v>1053</v>
      </c>
      <c r="R609" t="s">
        <v>3993</v>
      </c>
      <c r="S609">
        <v>2</v>
      </c>
      <c r="T609">
        <v>184</v>
      </c>
      <c r="U609" s="19">
        <v>0.16727272727272718</v>
      </c>
    </row>
    <row r="610" spans="17:21" x14ac:dyDescent="0.25">
      <c r="Q610" s="18" t="s">
        <v>1056</v>
      </c>
      <c r="R610" t="s">
        <v>3993</v>
      </c>
      <c r="S610">
        <v>2</v>
      </c>
      <c r="T610">
        <v>113</v>
      </c>
      <c r="U610" s="19">
        <v>0.1027272727272726</v>
      </c>
    </row>
    <row r="611" spans="17:21" x14ac:dyDescent="0.25">
      <c r="Q611" s="18" t="s">
        <v>1060</v>
      </c>
      <c r="R611" t="s">
        <v>3994</v>
      </c>
      <c r="S611">
        <v>2</v>
      </c>
      <c r="T611">
        <v>935</v>
      </c>
      <c r="U611" s="19">
        <v>0.85000000000000009</v>
      </c>
    </row>
    <row r="612" spans="17:21" x14ac:dyDescent="0.25">
      <c r="Q612" s="18" t="s">
        <v>1063</v>
      </c>
      <c r="R612">
        <v>2021</v>
      </c>
      <c r="S612">
        <v>1</v>
      </c>
      <c r="T612">
        <v>320</v>
      </c>
      <c r="U612" s="19">
        <v>0.29090909090909001</v>
      </c>
    </row>
    <row r="613" spans="17:21" x14ac:dyDescent="0.25">
      <c r="Q613" s="18" t="s">
        <v>1067</v>
      </c>
      <c r="R613" t="s">
        <v>3995</v>
      </c>
      <c r="S613">
        <v>3</v>
      </c>
      <c r="T613">
        <v>151</v>
      </c>
      <c r="U613" s="19">
        <v>0.1372727272727271</v>
      </c>
    </row>
    <row r="614" spans="17:21" x14ac:dyDescent="0.25">
      <c r="Q614" s="18" t="s">
        <v>1070</v>
      </c>
      <c r="R614" t="s">
        <v>3996</v>
      </c>
      <c r="S614">
        <v>2</v>
      </c>
      <c r="T614">
        <v>1054</v>
      </c>
      <c r="U614" s="19">
        <v>0.95818181818181802</v>
      </c>
    </row>
    <row r="615" spans="17:21" x14ac:dyDescent="0.25">
      <c r="Q615" s="18" t="s">
        <v>1073</v>
      </c>
      <c r="R615" t="s">
        <v>3995</v>
      </c>
      <c r="S615">
        <v>3</v>
      </c>
      <c r="T615">
        <v>466</v>
      </c>
      <c r="U615" s="19">
        <v>0.42752293577981504</v>
      </c>
    </row>
    <row r="616" spans="17:21" x14ac:dyDescent="0.25">
      <c r="Q616" s="18" t="s">
        <v>1076</v>
      </c>
      <c r="R616" t="s">
        <v>3995</v>
      </c>
      <c r="S616">
        <v>3</v>
      </c>
      <c r="T616">
        <v>505</v>
      </c>
      <c r="U616" s="19">
        <v>0.67333333333333301</v>
      </c>
    </row>
    <row r="617" spans="17:21" x14ac:dyDescent="0.25">
      <c r="Q617" s="18" t="s">
        <v>1079</v>
      </c>
      <c r="R617" t="s">
        <v>3994</v>
      </c>
      <c r="S617">
        <v>2</v>
      </c>
      <c r="T617">
        <v>851</v>
      </c>
      <c r="U617" s="19">
        <v>0.38681818181818101</v>
      </c>
    </row>
    <row r="618" spans="17:21" x14ac:dyDescent="0.25">
      <c r="Q618" s="18" t="s">
        <v>1083</v>
      </c>
      <c r="R618" t="s">
        <v>3996</v>
      </c>
      <c r="S618">
        <v>2</v>
      </c>
      <c r="T618">
        <v>550</v>
      </c>
      <c r="U618" s="19">
        <v>0.49999999999999911</v>
      </c>
    </row>
    <row r="619" spans="17:21" x14ac:dyDescent="0.25">
      <c r="Q619" s="18" t="s">
        <v>1086</v>
      </c>
      <c r="R619" t="s">
        <v>3995</v>
      </c>
      <c r="S619">
        <v>3</v>
      </c>
      <c r="T619">
        <v>1645</v>
      </c>
      <c r="U619" s="19">
        <v>0.77230046948356723</v>
      </c>
    </row>
    <row r="620" spans="17:21" x14ac:dyDescent="0.25">
      <c r="Q620" s="18" t="s">
        <v>1089</v>
      </c>
      <c r="R620" t="s">
        <v>3994</v>
      </c>
      <c r="S620">
        <v>2</v>
      </c>
      <c r="T620">
        <v>5786</v>
      </c>
      <c r="U620" s="19">
        <v>1.0916981132075461</v>
      </c>
    </row>
    <row r="621" spans="17:21" x14ac:dyDescent="0.25">
      <c r="Q621" s="18" t="s">
        <v>1092</v>
      </c>
      <c r="R621" t="s">
        <v>3994</v>
      </c>
      <c r="S621">
        <v>2</v>
      </c>
      <c r="T621">
        <v>908</v>
      </c>
      <c r="U621" s="19">
        <v>0.82545454545454389</v>
      </c>
    </row>
    <row r="622" spans="17:21" x14ac:dyDescent="0.25">
      <c r="Q622" s="18" t="s">
        <v>1095</v>
      </c>
      <c r="R622" t="s">
        <v>3994</v>
      </c>
      <c r="S622">
        <v>2</v>
      </c>
      <c r="T622">
        <v>770</v>
      </c>
      <c r="U622" s="19">
        <v>0.1999999999999991</v>
      </c>
    </row>
    <row r="623" spans="17:21" x14ac:dyDescent="0.25">
      <c r="Q623" s="18" t="s">
        <v>1098</v>
      </c>
      <c r="R623" t="s">
        <v>3996</v>
      </c>
      <c r="S623">
        <v>2</v>
      </c>
      <c r="T623">
        <v>394</v>
      </c>
      <c r="U623" s="19">
        <v>0.24336009882643531</v>
      </c>
    </row>
    <row r="624" spans="17:21" x14ac:dyDescent="0.25">
      <c r="Q624" s="18" t="s">
        <v>1101</v>
      </c>
      <c r="R624">
        <v>2021</v>
      </c>
      <c r="S624">
        <v>1</v>
      </c>
      <c r="T624">
        <v>145</v>
      </c>
      <c r="U624" s="19">
        <v>0.131818181818181</v>
      </c>
    </row>
    <row r="625" spans="17:21" x14ac:dyDescent="0.25">
      <c r="Q625" s="18" t="s">
        <v>1104</v>
      </c>
      <c r="R625">
        <v>2021</v>
      </c>
      <c r="S625">
        <v>1</v>
      </c>
      <c r="T625">
        <v>106</v>
      </c>
      <c r="U625" s="19">
        <v>8.0303030303030307E-2</v>
      </c>
    </row>
    <row r="626" spans="17:21" x14ac:dyDescent="0.25">
      <c r="Q626" s="18" t="s">
        <v>1108</v>
      </c>
      <c r="R626" t="s">
        <v>3994</v>
      </c>
      <c r="S626">
        <v>2</v>
      </c>
      <c r="T626">
        <v>106</v>
      </c>
      <c r="U626" s="19">
        <v>0.27894736842105239</v>
      </c>
    </row>
    <row r="627" spans="17:21" x14ac:dyDescent="0.25">
      <c r="Q627" s="18" t="s">
        <v>1109</v>
      </c>
      <c r="R627" t="s">
        <v>3995</v>
      </c>
      <c r="S627">
        <v>3</v>
      </c>
      <c r="T627">
        <v>1230</v>
      </c>
      <c r="U627" s="19">
        <v>1.1181818181818159</v>
      </c>
    </row>
    <row r="628" spans="17:21" x14ac:dyDescent="0.25">
      <c r="Q628" s="18" t="s">
        <v>1110</v>
      </c>
      <c r="R628">
        <v>2021</v>
      </c>
      <c r="S628">
        <v>1</v>
      </c>
      <c r="T628">
        <v>427</v>
      </c>
      <c r="U628" s="19">
        <v>0.38818181818181802</v>
      </c>
    </row>
    <row r="629" spans="17:21" x14ac:dyDescent="0.25">
      <c r="Q629" s="18" t="s">
        <v>1113</v>
      </c>
      <c r="R629">
        <v>2021</v>
      </c>
      <c r="S629">
        <v>1</v>
      </c>
      <c r="T629">
        <v>370</v>
      </c>
      <c r="U629" s="19">
        <v>0.33636363636363598</v>
      </c>
    </row>
    <row r="630" spans="17:21" x14ac:dyDescent="0.25">
      <c r="Q630" s="18" t="s">
        <v>1117</v>
      </c>
      <c r="R630">
        <v>2022</v>
      </c>
      <c r="S630">
        <v>1</v>
      </c>
      <c r="T630">
        <v>861</v>
      </c>
      <c r="U630" s="19">
        <v>0.47700831024930701</v>
      </c>
    </row>
    <row r="631" spans="17:21" x14ac:dyDescent="0.25">
      <c r="Q631" s="18" t="s">
        <v>1121</v>
      </c>
      <c r="R631">
        <v>2022</v>
      </c>
      <c r="S631">
        <v>1</v>
      </c>
      <c r="T631">
        <v>84</v>
      </c>
      <c r="U631" s="19">
        <v>7.63636363636363E-2</v>
      </c>
    </row>
    <row r="632" spans="17:21" x14ac:dyDescent="0.25">
      <c r="Q632" s="18" t="s">
        <v>1124</v>
      </c>
      <c r="R632" t="s">
        <v>3995</v>
      </c>
      <c r="S632">
        <v>3</v>
      </c>
      <c r="T632">
        <v>1352</v>
      </c>
      <c r="U632" s="19">
        <v>1.502222222222221</v>
      </c>
    </row>
    <row r="633" spans="17:21" x14ac:dyDescent="0.25">
      <c r="Q633" s="18" t="s">
        <v>1126</v>
      </c>
      <c r="R633" t="s">
        <v>3994</v>
      </c>
      <c r="S633">
        <v>2</v>
      </c>
      <c r="T633">
        <v>200</v>
      </c>
      <c r="U633" s="19">
        <v>0.12987012987012975</v>
      </c>
    </row>
    <row r="634" spans="17:21" x14ac:dyDescent="0.25">
      <c r="Q634" s="18" t="s">
        <v>1129</v>
      </c>
      <c r="R634">
        <v>2022</v>
      </c>
      <c r="S634">
        <v>1</v>
      </c>
      <c r="T634">
        <v>210</v>
      </c>
      <c r="U634" s="19">
        <v>0.19090909090909</v>
      </c>
    </row>
    <row r="635" spans="17:21" x14ac:dyDescent="0.25">
      <c r="Q635" s="18" t="s">
        <v>1133</v>
      </c>
      <c r="R635" t="s">
        <v>3993</v>
      </c>
      <c r="S635">
        <v>2</v>
      </c>
      <c r="T635">
        <v>412</v>
      </c>
      <c r="U635" s="19">
        <v>0.37454545454545302</v>
      </c>
    </row>
    <row r="636" spans="17:21" x14ac:dyDescent="0.25">
      <c r="Q636" s="18" t="s">
        <v>1136</v>
      </c>
      <c r="R636">
        <v>2020</v>
      </c>
      <c r="S636">
        <v>1</v>
      </c>
      <c r="T636">
        <v>504</v>
      </c>
      <c r="U636" s="19">
        <v>0.18</v>
      </c>
    </row>
    <row r="637" spans="17:21" x14ac:dyDescent="0.25">
      <c r="Q637" s="18" t="s">
        <v>1140</v>
      </c>
      <c r="R637">
        <v>2022</v>
      </c>
      <c r="S637">
        <v>1</v>
      </c>
      <c r="T637">
        <v>420</v>
      </c>
      <c r="U637" s="19">
        <v>0.25454545454545402</v>
      </c>
    </row>
    <row r="638" spans="17:21" x14ac:dyDescent="0.25">
      <c r="Q638" s="18" t="s">
        <v>1144</v>
      </c>
      <c r="R638" t="s">
        <v>3994</v>
      </c>
      <c r="S638">
        <v>2</v>
      </c>
      <c r="T638">
        <v>2092</v>
      </c>
      <c r="U638" s="19">
        <v>1.72892561983471</v>
      </c>
    </row>
    <row r="639" spans="17:21" x14ac:dyDescent="0.25">
      <c r="Q639" s="18" t="s">
        <v>1148</v>
      </c>
      <c r="R639" t="s">
        <v>3994</v>
      </c>
      <c r="S639">
        <v>2</v>
      </c>
      <c r="T639">
        <v>652</v>
      </c>
      <c r="U639" s="19">
        <v>0.59272727272727199</v>
      </c>
    </row>
    <row r="640" spans="17:21" x14ac:dyDescent="0.25">
      <c r="Q640" s="18" t="s">
        <v>1152</v>
      </c>
      <c r="R640" t="s">
        <v>3995</v>
      </c>
      <c r="S640">
        <v>3</v>
      </c>
      <c r="T640">
        <v>873</v>
      </c>
      <c r="U640" s="19">
        <v>0.79363636363636203</v>
      </c>
    </row>
    <row r="641" spans="17:21" x14ac:dyDescent="0.25">
      <c r="Q641" s="18" t="s">
        <v>1156</v>
      </c>
      <c r="R641" t="s">
        <v>3993</v>
      </c>
      <c r="S641">
        <v>2</v>
      </c>
      <c r="T641">
        <v>441</v>
      </c>
      <c r="U641" s="19">
        <v>0.50113636363636305</v>
      </c>
    </row>
    <row r="642" spans="17:21" x14ac:dyDescent="0.25">
      <c r="Q642" s="18" t="s">
        <v>1160</v>
      </c>
      <c r="R642">
        <v>2022</v>
      </c>
      <c r="S642">
        <v>1</v>
      </c>
      <c r="T642">
        <v>504</v>
      </c>
      <c r="U642" s="19">
        <v>0.45818181818181802</v>
      </c>
    </row>
    <row r="643" spans="17:21" x14ac:dyDescent="0.25">
      <c r="Q643" s="18" t="s">
        <v>1164</v>
      </c>
      <c r="R643" t="s">
        <v>3993</v>
      </c>
      <c r="S643">
        <v>2</v>
      </c>
      <c r="T643">
        <v>126</v>
      </c>
      <c r="U643" s="19">
        <v>0.10413223140495861</v>
      </c>
    </row>
    <row r="644" spans="17:21" x14ac:dyDescent="0.25">
      <c r="Q644" s="18" t="s">
        <v>1167</v>
      </c>
      <c r="R644" t="s">
        <v>3993</v>
      </c>
      <c r="S644">
        <v>2</v>
      </c>
      <c r="T644">
        <v>417</v>
      </c>
      <c r="U644" s="19">
        <v>1.2636363636363619</v>
      </c>
    </row>
    <row r="645" spans="17:21" x14ac:dyDescent="0.25">
      <c r="Q645" s="18" t="s">
        <v>1168</v>
      </c>
      <c r="R645" t="s">
        <v>3994</v>
      </c>
      <c r="S645">
        <v>2</v>
      </c>
      <c r="T645">
        <v>415</v>
      </c>
      <c r="U645" s="19">
        <v>0.37727272727272687</v>
      </c>
    </row>
    <row r="646" spans="17:21" x14ac:dyDescent="0.25">
      <c r="Q646" s="18" t="s">
        <v>1171</v>
      </c>
      <c r="R646">
        <v>2022</v>
      </c>
      <c r="S646">
        <v>1</v>
      </c>
      <c r="T646">
        <v>190</v>
      </c>
      <c r="U646" s="19">
        <v>0.34545454545454501</v>
      </c>
    </row>
    <row r="647" spans="17:21" x14ac:dyDescent="0.25">
      <c r="Q647" s="18" t="s">
        <v>1174</v>
      </c>
      <c r="R647">
        <v>2022</v>
      </c>
      <c r="S647">
        <v>1</v>
      </c>
      <c r="T647">
        <v>125</v>
      </c>
      <c r="U647" s="19">
        <v>0.11363636363636299</v>
      </c>
    </row>
    <row r="648" spans="17:21" x14ac:dyDescent="0.25">
      <c r="Q648" s="18" t="s">
        <v>1175</v>
      </c>
      <c r="R648" t="s">
        <v>3994</v>
      </c>
      <c r="S648">
        <v>2</v>
      </c>
      <c r="T648">
        <v>669</v>
      </c>
      <c r="U648" s="19">
        <v>0.60818181818181705</v>
      </c>
    </row>
    <row r="649" spans="17:21" x14ac:dyDescent="0.25">
      <c r="Q649" s="18" t="s">
        <v>1179</v>
      </c>
      <c r="R649">
        <v>2022</v>
      </c>
      <c r="S649">
        <v>1</v>
      </c>
      <c r="T649">
        <v>388</v>
      </c>
      <c r="U649" s="19">
        <v>0.352727272727272</v>
      </c>
    </row>
    <row r="650" spans="17:21" x14ac:dyDescent="0.25">
      <c r="Q650" s="18" t="s">
        <v>1182</v>
      </c>
      <c r="R650" t="s">
        <v>3994</v>
      </c>
      <c r="S650">
        <v>2</v>
      </c>
      <c r="T650">
        <v>971</v>
      </c>
      <c r="U650" s="19">
        <v>0.88272727272727203</v>
      </c>
    </row>
    <row r="651" spans="17:21" x14ac:dyDescent="0.25">
      <c r="Q651" s="18" t="s">
        <v>1186</v>
      </c>
      <c r="R651" t="s">
        <v>3993</v>
      </c>
      <c r="S651">
        <v>2</v>
      </c>
      <c r="T651">
        <v>270</v>
      </c>
      <c r="U651" s="19">
        <v>0.24545454545454451</v>
      </c>
    </row>
    <row r="652" spans="17:21" x14ac:dyDescent="0.25">
      <c r="Q652" s="18" t="s">
        <v>1190</v>
      </c>
      <c r="R652" t="s">
        <v>3993</v>
      </c>
      <c r="S652">
        <v>2</v>
      </c>
      <c r="T652">
        <v>201</v>
      </c>
      <c r="U652" s="19">
        <v>0.1827272727272721</v>
      </c>
    </row>
    <row r="653" spans="17:21" x14ac:dyDescent="0.25">
      <c r="Q653" s="18" t="s">
        <v>1194</v>
      </c>
      <c r="R653" t="s">
        <v>3996</v>
      </c>
      <c r="S653">
        <v>2</v>
      </c>
      <c r="T653">
        <v>198</v>
      </c>
      <c r="U653" s="19">
        <v>0.1729257641921387</v>
      </c>
    </row>
    <row r="654" spans="17:21" x14ac:dyDescent="0.25">
      <c r="Q654" s="18" t="s">
        <v>1198</v>
      </c>
      <c r="R654">
        <v>2022</v>
      </c>
      <c r="S654">
        <v>1</v>
      </c>
      <c r="T654">
        <v>273</v>
      </c>
      <c r="U654" s="19">
        <v>0.248181818181818</v>
      </c>
    </row>
    <row r="655" spans="17:21" x14ac:dyDescent="0.25">
      <c r="Q655" s="18" t="s">
        <v>1202</v>
      </c>
      <c r="R655" t="s">
        <v>3993</v>
      </c>
      <c r="S655">
        <v>2</v>
      </c>
      <c r="T655">
        <v>607</v>
      </c>
      <c r="U655" s="19">
        <v>0.55181818181818099</v>
      </c>
    </row>
    <row r="656" spans="17:21" x14ac:dyDescent="0.25">
      <c r="Q656" s="18" t="s">
        <v>1203</v>
      </c>
      <c r="R656" t="s">
        <v>3993</v>
      </c>
      <c r="S656">
        <v>2</v>
      </c>
      <c r="T656">
        <v>293</v>
      </c>
      <c r="U656" s="19">
        <v>0.88787878787878693</v>
      </c>
    </row>
    <row r="657" spans="17:21" x14ac:dyDescent="0.25">
      <c r="Q657" s="18" t="s">
        <v>1204</v>
      </c>
      <c r="R657" t="s">
        <v>3994</v>
      </c>
      <c r="S657">
        <v>2</v>
      </c>
      <c r="T657">
        <v>568</v>
      </c>
      <c r="U657" s="19">
        <v>0.28686868686868677</v>
      </c>
    </row>
    <row r="658" spans="17:21" x14ac:dyDescent="0.25">
      <c r="Q658" s="18" t="s">
        <v>1208</v>
      </c>
      <c r="R658">
        <v>2020</v>
      </c>
      <c r="S658">
        <v>1</v>
      </c>
      <c r="T658">
        <v>310</v>
      </c>
      <c r="U658" s="19">
        <v>0.35227272727272702</v>
      </c>
    </row>
    <row r="659" spans="17:21" x14ac:dyDescent="0.25">
      <c r="Q659" s="18" t="s">
        <v>1209</v>
      </c>
      <c r="R659">
        <v>2022</v>
      </c>
      <c r="S659">
        <v>1</v>
      </c>
      <c r="T659">
        <v>441</v>
      </c>
      <c r="U659" s="19">
        <v>0.33409090909090899</v>
      </c>
    </row>
    <row r="660" spans="17:21" x14ac:dyDescent="0.25">
      <c r="Q660" s="18" t="s">
        <v>1213</v>
      </c>
      <c r="R660">
        <v>2022</v>
      </c>
      <c r="S660">
        <v>1</v>
      </c>
      <c r="T660">
        <v>206</v>
      </c>
      <c r="U660" s="19">
        <v>0.18727272727272701</v>
      </c>
    </row>
    <row r="661" spans="17:21" x14ac:dyDescent="0.25">
      <c r="Q661" s="18" t="s">
        <v>1220</v>
      </c>
      <c r="R661" t="s">
        <v>3993</v>
      </c>
      <c r="S661">
        <v>2</v>
      </c>
      <c r="T661">
        <v>794</v>
      </c>
      <c r="U661" s="19">
        <v>0.2193370165745849</v>
      </c>
    </row>
    <row r="662" spans="17:21" x14ac:dyDescent="0.25">
      <c r="Q662" s="18" t="s">
        <v>1224</v>
      </c>
      <c r="R662" t="s">
        <v>3993</v>
      </c>
      <c r="S662">
        <v>2</v>
      </c>
      <c r="T662">
        <v>567</v>
      </c>
      <c r="U662" s="19">
        <v>0.51545454545454406</v>
      </c>
    </row>
    <row r="663" spans="17:21" x14ac:dyDescent="0.25">
      <c r="Q663" s="18" t="s">
        <v>1232</v>
      </c>
      <c r="R663">
        <v>2022</v>
      </c>
      <c r="S663">
        <v>1</v>
      </c>
      <c r="T663">
        <v>63</v>
      </c>
      <c r="U663" s="19">
        <v>5.7272727272727197E-2</v>
      </c>
    </row>
    <row r="664" spans="17:21" x14ac:dyDescent="0.25">
      <c r="Q664" s="18" t="s">
        <v>1235</v>
      </c>
      <c r="R664" t="s">
        <v>3994</v>
      </c>
      <c r="S664">
        <v>2</v>
      </c>
      <c r="T664">
        <v>56</v>
      </c>
      <c r="U664" s="19">
        <v>8.4848484848484798E-2</v>
      </c>
    </row>
    <row r="665" spans="17:21" x14ac:dyDescent="0.25">
      <c r="Q665" s="18" t="s">
        <v>1238</v>
      </c>
      <c r="R665" t="s">
        <v>3996</v>
      </c>
      <c r="S665">
        <v>2</v>
      </c>
      <c r="T665">
        <v>457</v>
      </c>
      <c r="U665" s="19">
        <v>0.34621212121212069</v>
      </c>
    </row>
    <row r="666" spans="17:21" x14ac:dyDescent="0.25">
      <c r="Q666" s="18" t="s">
        <v>1242</v>
      </c>
      <c r="R666">
        <v>2021</v>
      </c>
      <c r="S666">
        <v>1</v>
      </c>
      <c r="T666">
        <v>50</v>
      </c>
      <c r="U666" s="19">
        <v>4.54545454545454E-2</v>
      </c>
    </row>
    <row r="667" spans="17:21" x14ac:dyDescent="0.25">
      <c r="Q667" s="18" t="s">
        <v>1243</v>
      </c>
      <c r="R667">
        <v>2020</v>
      </c>
      <c r="S667">
        <v>1</v>
      </c>
      <c r="T667">
        <v>840</v>
      </c>
      <c r="U667" s="19">
        <v>0.21937842778793401</v>
      </c>
    </row>
    <row r="668" spans="17:21" x14ac:dyDescent="0.25">
      <c r="Q668" s="18" t="s">
        <v>1246</v>
      </c>
      <c r="R668">
        <v>2020</v>
      </c>
      <c r="S668">
        <v>1</v>
      </c>
      <c r="T668">
        <v>50</v>
      </c>
      <c r="U668" s="19">
        <v>4.54545454545454E-2</v>
      </c>
    </row>
    <row r="669" spans="17:21" x14ac:dyDescent="0.25">
      <c r="Q669" s="18" t="s">
        <v>1249</v>
      </c>
      <c r="R669">
        <v>2020</v>
      </c>
      <c r="S669">
        <v>1</v>
      </c>
      <c r="T669">
        <v>400</v>
      </c>
      <c r="U669" s="19">
        <v>0.29133284777858698</v>
      </c>
    </row>
    <row r="670" spans="17:21" x14ac:dyDescent="0.25">
      <c r="Q670" s="18" t="s">
        <v>1255</v>
      </c>
      <c r="R670">
        <v>2020</v>
      </c>
      <c r="S670">
        <v>1</v>
      </c>
      <c r="T670">
        <v>950</v>
      </c>
      <c r="U670" s="19">
        <v>0.21590909090909</v>
      </c>
    </row>
    <row r="671" spans="17:21" x14ac:dyDescent="0.25">
      <c r="Q671" s="18" t="s">
        <v>1256</v>
      </c>
      <c r="R671">
        <v>2020</v>
      </c>
      <c r="S671">
        <v>1</v>
      </c>
      <c r="T671">
        <v>105</v>
      </c>
      <c r="U671" s="19">
        <v>9.4424460431654603E-2</v>
      </c>
    </row>
    <row r="672" spans="17:21" x14ac:dyDescent="0.25">
      <c r="Q672" s="18" t="s">
        <v>1260</v>
      </c>
      <c r="R672">
        <v>2022</v>
      </c>
      <c r="S672">
        <v>1</v>
      </c>
      <c r="T672">
        <v>63</v>
      </c>
      <c r="U672" s="19">
        <v>5.7272727272727197E-2</v>
      </c>
    </row>
    <row r="673" spans="17:21" x14ac:dyDescent="0.25">
      <c r="Q673" s="18" t="s">
        <v>1264</v>
      </c>
      <c r="R673" t="s">
        <v>3993</v>
      </c>
      <c r="S673">
        <v>2</v>
      </c>
      <c r="T673">
        <v>378</v>
      </c>
      <c r="U673" s="19">
        <v>0.1718181818181812</v>
      </c>
    </row>
    <row r="674" spans="17:21" x14ac:dyDescent="0.25">
      <c r="Q674" s="18" t="s">
        <v>1267</v>
      </c>
      <c r="R674" t="s">
        <v>3996</v>
      </c>
      <c r="S674">
        <v>2</v>
      </c>
      <c r="T674">
        <v>1408</v>
      </c>
      <c r="U674" s="19">
        <v>0.71111111111111003</v>
      </c>
    </row>
    <row r="675" spans="17:21" x14ac:dyDescent="0.25">
      <c r="Q675" s="18" t="s">
        <v>1272</v>
      </c>
      <c r="R675">
        <v>2022</v>
      </c>
      <c r="S675">
        <v>1</v>
      </c>
      <c r="T675">
        <v>63</v>
      </c>
      <c r="U675" s="19">
        <v>5.7272727272727197E-2</v>
      </c>
    </row>
    <row r="676" spans="17:21" x14ac:dyDescent="0.25">
      <c r="Q676" s="18" t="s">
        <v>1275</v>
      </c>
      <c r="R676" t="s">
        <v>3996</v>
      </c>
      <c r="S676">
        <v>2</v>
      </c>
      <c r="T676">
        <v>172</v>
      </c>
      <c r="U676" s="19">
        <v>0.15636363636363571</v>
      </c>
    </row>
    <row r="677" spans="17:21" x14ac:dyDescent="0.25">
      <c r="Q677" s="18" t="s">
        <v>1278</v>
      </c>
      <c r="R677">
        <v>2021</v>
      </c>
      <c r="S677">
        <v>1</v>
      </c>
      <c r="T677">
        <v>200</v>
      </c>
      <c r="U677" s="19">
        <v>0.12121212121212099</v>
      </c>
    </row>
    <row r="678" spans="17:21" x14ac:dyDescent="0.25">
      <c r="Q678" s="18" t="s">
        <v>1281</v>
      </c>
      <c r="R678" t="s">
        <v>3996</v>
      </c>
      <c r="S678">
        <v>2</v>
      </c>
      <c r="T678">
        <v>762</v>
      </c>
      <c r="U678" s="19">
        <v>0.27214285714285702</v>
      </c>
    </row>
    <row r="679" spans="17:21" x14ac:dyDescent="0.25">
      <c r="Q679" s="18" t="s">
        <v>1285</v>
      </c>
      <c r="R679" t="s">
        <v>3996</v>
      </c>
      <c r="S679">
        <v>2</v>
      </c>
      <c r="T679">
        <v>162</v>
      </c>
      <c r="U679" s="19">
        <v>0.12272727272727271</v>
      </c>
    </row>
    <row r="680" spans="17:21" x14ac:dyDescent="0.25">
      <c r="Q680" s="18" t="s">
        <v>1288</v>
      </c>
      <c r="R680">
        <v>2020</v>
      </c>
      <c r="S680">
        <v>1</v>
      </c>
      <c r="T680">
        <v>34</v>
      </c>
      <c r="U680" s="19">
        <v>3.09090909090909E-2</v>
      </c>
    </row>
    <row r="681" spans="17:21" x14ac:dyDescent="0.25">
      <c r="Q681" s="18" t="s">
        <v>1293</v>
      </c>
      <c r="R681">
        <v>2021</v>
      </c>
      <c r="S681">
        <v>1</v>
      </c>
      <c r="T681">
        <v>200</v>
      </c>
      <c r="U681" s="19">
        <v>9.0909090909090898E-2</v>
      </c>
    </row>
    <row r="682" spans="17:21" x14ac:dyDescent="0.25">
      <c r="Q682" s="18" t="s">
        <v>1297</v>
      </c>
      <c r="R682">
        <v>2021</v>
      </c>
      <c r="S682">
        <v>1</v>
      </c>
      <c r="T682">
        <v>90</v>
      </c>
      <c r="U682" s="19">
        <v>8.1818181818181804E-2</v>
      </c>
    </row>
    <row r="683" spans="17:21" x14ac:dyDescent="0.25">
      <c r="Q683" s="18" t="s">
        <v>1299</v>
      </c>
      <c r="R683">
        <v>2020</v>
      </c>
      <c r="S683">
        <v>1</v>
      </c>
      <c r="T683">
        <v>19</v>
      </c>
      <c r="U683" s="19">
        <v>1.32867132867132E-2</v>
      </c>
    </row>
    <row r="684" spans="17:21" x14ac:dyDescent="0.25">
      <c r="Q684" s="18" t="s">
        <v>1300</v>
      </c>
      <c r="R684">
        <v>2021</v>
      </c>
      <c r="S684">
        <v>1</v>
      </c>
      <c r="T684">
        <v>550</v>
      </c>
      <c r="U684" s="19">
        <v>0.2</v>
      </c>
    </row>
    <row r="685" spans="17:21" x14ac:dyDescent="0.25">
      <c r="Q685" s="18" t="s">
        <v>1308</v>
      </c>
      <c r="R685">
        <v>2021</v>
      </c>
      <c r="S685">
        <v>1</v>
      </c>
      <c r="T685">
        <v>25</v>
      </c>
      <c r="U685" s="19">
        <v>2.27272727272727E-2</v>
      </c>
    </row>
    <row r="686" spans="17:21" x14ac:dyDescent="0.25">
      <c r="Q686" s="18" t="s">
        <v>1315</v>
      </c>
      <c r="R686">
        <v>2021</v>
      </c>
      <c r="S686">
        <v>1</v>
      </c>
      <c r="T686">
        <v>200</v>
      </c>
      <c r="U686" s="19">
        <v>0.30303030303030298</v>
      </c>
    </row>
    <row r="687" spans="17:21" x14ac:dyDescent="0.25">
      <c r="Q687" s="18" t="s">
        <v>1326</v>
      </c>
      <c r="R687">
        <v>2021</v>
      </c>
      <c r="S687">
        <v>1</v>
      </c>
      <c r="T687">
        <v>550</v>
      </c>
      <c r="U687" s="19">
        <v>0.25</v>
      </c>
    </row>
    <row r="688" spans="17:21" x14ac:dyDescent="0.25">
      <c r="Q688" s="18" t="s">
        <v>1327</v>
      </c>
      <c r="R688">
        <v>2021</v>
      </c>
      <c r="S688">
        <v>1</v>
      </c>
      <c r="T688">
        <v>100</v>
      </c>
      <c r="U688" s="19">
        <v>4.54545454545454E-2</v>
      </c>
    </row>
    <row r="689" spans="17:21" x14ac:dyDescent="0.25">
      <c r="Q689" s="18" t="s">
        <v>3986</v>
      </c>
      <c r="R689" t="s">
        <v>4004</v>
      </c>
      <c r="S689">
        <v>395</v>
      </c>
      <c r="T689">
        <v>189503</v>
      </c>
      <c r="U689" s="19">
        <v>106.81576829236519</v>
      </c>
    </row>
  </sheetData>
  <autoFilter ref="A1:N424" xr:uid="{00000000-0001-0000-0600-000000000000}">
    <filterColumn colId="0">
      <filters>
        <filter val="US0001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32BA-05B8-4576-B554-4A7436F49DDC}">
  <dimension ref="A1:E407"/>
  <sheetViews>
    <sheetView workbookViewId="0">
      <selection activeCell="B12" sqref="B12"/>
    </sheetView>
  </sheetViews>
  <sheetFormatPr baseColWidth="10" defaultRowHeight="15" x14ac:dyDescent="0.25"/>
  <cols>
    <col min="1" max="1" width="15.7109375" bestFit="1" customWidth="1"/>
    <col min="2" max="2" width="7.140625" bestFit="1" customWidth="1"/>
    <col min="3" max="3" width="17" bestFit="1" customWidth="1"/>
    <col min="4" max="4" width="14.7109375" bestFit="1" customWidth="1"/>
    <col min="5" max="5" width="15.7109375" customWidth="1"/>
  </cols>
  <sheetData>
    <row r="1" spans="1:5" x14ac:dyDescent="0.25">
      <c r="D1" s="4"/>
      <c r="E1" t="s">
        <v>3947</v>
      </c>
    </row>
    <row r="2" spans="1:5" x14ac:dyDescent="0.25">
      <c r="D2" s="5"/>
      <c r="E2" t="s">
        <v>3948</v>
      </c>
    </row>
    <row r="3" spans="1:5" x14ac:dyDescent="0.25">
      <c r="D3" s="8"/>
      <c r="E3" t="s">
        <v>3949</v>
      </c>
    </row>
    <row r="4" spans="1:5" x14ac:dyDescent="0.25">
      <c r="D4" s="20"/>
      <c r="E4" t="s">
        <v>3978</v>
      </c>
    </row>
    <row r="5" spans="1:5" x14ac:dyDescent="0.25">
      <c r="D5" s="7"/>
      <c r="E5" t="s">
        <v>3922</v>
      </c>
    </row>
    <row r="6" spans="1:5" x14ac:dyDescent="0.25">
      <c r="D6" s="6"/>
      <c r="E6" t="s">
        <v>3950</v>
      </c>
    </row>
    <row r="7" spans="1:5" x14ac:dyDescent="0.25">
      <c r="D7" s="11"/>
      <c r="E7" t="s">
        <v>3951</v>
      </c>
    </row>
    <row r="8" spans="1:5" x14ac:dyDescent="0.25">
      <c r="D8" s="14"/>
      <c r="E8" t="s">
        <v>3977</v>
      </c>
    </row>
    <row r="9" spans="1:5" x14ac:dyDescent="0.25">
      <c r="D9" s="21"/>
      <c r="E9" t="s">
        <v>4006</v>
      </c>
    </row>
    <row r="12" spans="1:5" x14ac:dyDescent="0.25">
      <c r="A12" s="5" t="s">
        <v>0</v>
      </c>
      <c r="B12" s="4" t="s">
        <v>3985</v>
      </c>
      <c r="C12" s="4" t="s">
        <v>3984</v>
      </c>
      <c r="D12" s="4" t="s">
        <v>3901</v>
      </c>
      <c r="E12" s="4" t="s">
        <v>3983</v>
      </c>
    </row>
    <row r="13" spans="1:5" x14ac:dyDescent="0.25">
      <c r="A13" t="s">
        <v>855</v>
      </c>
      <c r="B13">
        <v>2016</v>
      </c>
      <c r="C13">
        <v>1000</v>
      </c>
      <c r="D13" s="16">
        <v>0.45454545454545398</v>
      </c>
    </row>
    <row r="14" spans="1:5" x14ac:dyDescent="0.25">
      <c r="A14" t="s">
        <v>1031</v>
      </c>
      <c r="B14">
        <v>2022</v>
      </c>
      <c r="C14">
        <v>399</v>
      </c>
      <c r="D14" s="16">
        <v>0.181363636363636</v>
      </c>
    </row>
    <row r="15" spans="1:5" x14ac:dyDescent="0.25">
      <c r="A15" t="s">
        <v>1036</v>
      </c>
      <c r="B15">
        <v>2020</v>
      </c>
      <c r="C15">
        <v>221</v>
      </c>
      <c r="D15" s="16">
        <v>0.20090909090909001</v>
      </c>
    </row>
    <row r="16" spans="1:5" x14ac:dyDescent="0.25">
      <c r="A16" t="s">
        <v>1036</v>
      </c>
      <c r="B16">
        <v>2021</v>
      </c>
      <c r="C16">
        <v>138</v>
      </c>
      <c r="D16" s="16">
        <v>0.12545454545454501</v>
      </c>
    </row>
    <row r="17" spans="1:4" x14ac:dyDescent="0.25">
      <c r="A17" t="s">
        <v>295</v>
      </c>
      <c r="B17">
        <v>2020</v>
      </c>
      <c r="C17">
        <v>250</v>
      </c>
      <c r="D17" s="16">
        <v>0.25</v>
      </c>
    </row>
    <row r="18" spans="1:4" x14ac:dyDescent="0.25">
      <c r="A18" t="s">
        <v>864</v>
      </c>
      <c r="B18">
        <v>2017</v>
      </c>
      <c r="C18">
        <v>1800</v>
      </c>
      <c r="D18" s="16">
        <v>0.81818181818181801</v>
      </c>
    </row>
    <row r="19" spans="1:4" x14ac:dyDescent="0.25">
      <c r="A19" t="s">
        <v>865</v>
      </c>
      <c r="B19">
        <v>2018</v>
      </c>
      <c r="C19">
        <v>2200</v>
      </c>
      <c r="D19" s="16">
        <v>1</v>
      </c>
    </row>
    <row r="20" spans="1:4" x14ac:dyDescent="0.25">
      <c r="A20" t="s">
        <v>861</v>
      </c>
      <c r="B20">
        <v>2016</v>
      </c>
      <c r="C20">
        <v>150</v>
      </c>
      <c r="D20" s="16">
        <v>0.13636363636363599</v>
      </c>
    </row>
    <row r="21" spans="1:4" x14ac:dyDescent="0.25">
      <c r="A21" t="s">
        <v>861</v>
      </c>
      <c r="B21">
        <v>2017</v>
      </c>
      <c r="C21">
        <v>55</v>
      </c>
      <c r="D21" s="16">
        <v>0.05</v>
      </c>
    </row>
    <row r="22" spans="1:4" x14ac:dyDescent="0.25">
      <c r="A22" t="s">
        <v>866</v>
      </c>
      <c r="B22">
        <v>2017</v>
      </c>
      <c r="C22">
        <v>700</v>
      </c>
      <c r="D22" s="16">
        <v>0.31818181818181801</v>
      </c>
    </row>
    <row r="23" spans="1:4" x14ac:dyDescent="0.25">
      <c r="A23" t="s">
        <v>866</v>
      </c>
      <c r="B23">
        <v>2018</v>
      </c>
      <c r="C23">
        <v>650</v>
      </c>
      <c r="D23" s="16">
        <v>0.29545454545454503</v>
      </c>
    </row>
    <row r="24" spans="1:4" x14ac:dyDescent="0.25">
      <c r="A24" t="s">
        <v>869</v>
      </c>
      <c r="B24">
        <v>2016</v>
      </c>
      <c r="C24">
        <v>240</v>
      </c>
      <c r="D24" s="16">
        <v>0.218181818181818</v>
      </c>
    </row>
    <row r="25" spans="1:4" x14ac:dyDescent="0.25">
      <c r="A25" t="s">
        <v>872</v>
      </c>
      <c r="B25">
        <v>2017</v>
      </c>
      <c r="C25">
        <v>300</v>
      </c>
      <c r="D25" s="16">
        <v>0.375</v>
      </c>
    </row>
    <row r="26" spans="1:4" x14ac:dyDescent="0.25">
      <c r="A26" t="s">
        <v>872</v>
      </c>
      <c r="B26">
        <v>2018</v>
      </c>
      <c r="C26">
        <v>40</v>
      </c>
      <c r="D26" s="16">
        <v>0.05</v>
      </c>
    </row>
    <row r="27" spans="1:4" x14ac:dyDescent="0.25">
      <c r="A27" t="s">
        <v>875</v>
      </c>
      <c r="B27">
        <v>2017</v>
      </c>
      <c r="C27">
        <v>1650</v>
      </c>
      <c r="D27" s="16">
        <v>1</v>
      </c>
    </row>
    <row r="28" spans="1:4" x14ac:dyDescent="0.25">
      <c r="A28" t="s">
        <v>875</v>
      </c>
      <c r="B28">
        <v>2021</v>
      </c>
      <c r="C28">
        <v>400</v>
      </c>
      <c r="D28" s="16">
        <v>0.24242424242424199</v>
      </c>
    </row>
    <row r="29" spans="1:4" x14ac:dyDescent="0.25">
      <c r="A29" t="s">
        <v>878</v>
      </c>
      <c r="B29">
        <v>2017</v>
      </c>
      <c r="C29">
        <v>500</v>
      </c>
      <c r="D29" s="16">
        <v>0.90909090909090895</v>
      </c>
    </row>
    <row r="30" spans="1:4" x14ac:dyDescent="0.25">
      <c r="A30" t="s">
        <v>878</v>
      </c>
      <c r="B30">
        <v>2018</v>
      </c>
      <c r="C30">
        <v>365</v>
      </c>
      <c r="D30" s="16">
        <v>0.66363636363636302</v>
      </c>
    </row>
    <row r="31" spans="1:4" x14ac:dyDescent="0.25">
      <c r="A31" t="s">
        <v>881</v>
      </c>
      <c r="B31">
        <v>2017</v>
      </c>
      <c r="C31">
        <v>150</v>
      </c>
      <c r="D31" s="16">
        <v>0.115830115830115</v>
      </c>
    </row>
    <row r="32" spans="1:4" x14ac:dyDescent="0.25">
      <c r="A32" t="s">
        <v>890</v>
      </c>
      <c r="B32">
        <v>2017</v>
      </c>
      <c r="C32">
        <v>550</v>
      </c>
      <c r="D32" s="16">
        <v>0.83333333333333304</v>
      </c>
    </row>
    <row r="33" spans="1:4" x14ac:dyDescent="0.25">
      <c r="A33" t="s">
        <v>890</v>
      </c>
      <c r="B33">
        <v>2018</v>
      </c>
      <c r="C33">
        <v>400</v>
      </c>
      <c r="D33" s="16">
        <v>0.60606060606060597</v>
      </c>
    </row>
    <row r="34" spans="1:4" x14ac:dyDescent="0.25">
      <c r="A34" t="s">
        <v>42</v>
      </c>
      <c r="B34">
        <v>2021</v>
      </c>
      <c r="C34">
        <v>62</v>
      </c>
      <c r="D34" s="16">
        <v>0.155</v>
      </c>
    </row>
    <row r="35" spans="1:4" x14ac:dyDescent="0.25">
      <c r="A35" t="s">
        <v>898</v>
      </c>
      <c r="B35">
        <v>2019</v>
      </c>
      <c r="C35">
        <v>30</v>
      </c>
      <c r="D35" s="16">
        <v>1.3636363636363599E-2</v>
      </c>
    </row>
    <row r="36" spans="1:4" x14ac:dyDescent="0.25">
      <c r="A36" t="s">
        <v>901</v>
      </c>
      <c r="B36">
        <v>2019</v>
      </c>
      <c r="C36">
        <v>30</v>
      </c>
      <c r="D36" s="16">
        <v>5.4545454545454501E-2</v>
      </c>
    </row>
    <row r="37" spans="1:4" x14ac:dyDescent="0.25">
      <c r="A37" t="s">
        <v>904</v>
      </c>
      <c r="B37">
        <v>2017</v>
      </c>
      <c r="C37">
        <v>40</v>
      </c>
      <c r="D37" s="16">
        <v>4.20609884332281E-2</v>
      </c>
    </row>
    <row r="38" spans="1:4" x14ac:dyDescent="0.25">
      <c r="A38" t="s">
        <v>63</v>
      </c>
      <c r="B38">
        <v>2018</v>
      </c>
      <c r="C38">
        <v>550</v>
      </c>
      <c r="D38" s="16">
        <v>0.55000000000000004</v>
      </c>
    </row>
    <row r="39" spans="1:4" x14ac:dyDescent="0.25">
      <c r="A39" t="s">
        <v>63</v>
      </c>
      <c r="B39">
        <v>2019</v>
      </c>
      <c r="C39">
        <v>200</v>
      </c>
      <c r="D39" s="16">
        <v>0.2</v>
      </c>
    </row>
    <row r="40" spans="1:4" x14ac:dyDescent="0.25">
      <c r="A40" t="s">
        <v>92</v>
      </c>
      <c r="B40">
        <v>2020</v>
      </c>
      <c r="C40">
        <v>50</v>
      </c>
      <c r="D40" s="16">
        <v>6.6666666666666596E-2</v>
      </c>
    </row>
    <row r="41" spans="1:4" x14ac:dyDescent="0.25">
      <c r="A41" t="s">
        <v>921</v>
      </c>
      <c r="B41">
        <v>2018</v>
      </c>
      <c r="C41">
        <v>40</v>
      </c>
      <c r="D41" s="16">
        <v>6.0606060606060601E-2</v>
      </c>
    </row>
    <row r="42" spans="1:4" x14ac:dyDescent="0.25">
      <c r="A42" t="s">
        <v>921</v>
      </c>
      <c r="B42">
        <v>2019</v>
      </c>
      <c r="C42">
        <v>86</v>
      </c>
      <c r="D42" s="16">
        <v>0.13030303030303</v>
      </c>
    </row>
    <row r="43" spans="1:4" x14ac:dyDescent="0.25">
      <c r="A43" t="s">
        <v>921</v>
      </c>
      <c r="B43">
        <v>2021</v>
      </c>
      <c r="C43">
        <v>100</v>
      </c>
      <c r="D43" s="16">
        <v>0.15151515151515099</v>
      </c>
    </row>
    <row r="44" spans="1:4" x14ac:dyDescent="0.25">
      <c r="A44" t="s">
        <v>932</v>
      </c>
      <c r="B44">
        <v>2019</v>
      </c>
      <c r="C44">
        <v>200</v>
      </c>
      <c r="D44" s="16">
        <v>0.47058823529411697</v>
      </c>
    </row>
    <row r="45" spans="1:4" x14ac:dyDescent="0.25">
      <c r="A45" t="s">
        <v>917</v>
      </c>
      <c r="B45">
        <v>2019</v>
      </c>
      <c r="C45">
        <v>40</v>
      </c>
      <c r="D45" s="16">
        <v>1.5810276679841799E-2</v>
      </c>
    </row>
    <row r="46" spans="1:4" x14ac:dyDescent="0.25">
      <c r="A46" t="s">
        <v>917</v>
      </c>
      <c r="B46">
        <v>2021</v>
      </c>
      <c r="C46">
        <v>225</v>
      </c>
      <c r="D46" s="16">
        <v>8.8932806324110603E-2</v>
      </c>
    </row>
    <row r="47" spans="1:4" x14ac:dyDescent="0.25">
      <c r="A47" t="s">
        <v>926</v>
      </c>
      <c r="B47">
        <v>2019</v>
      </c>
      <c r="C47">
        <v>286</v>
      </c>
      <c r="D47" s="16">
        <v>0.26</v>
      </c>
    </row>
    <row r="48" spans="1:4" x14ac:dyDescent="0.25">
      <c r="A48" t="s">
        <v>936</v>
      </c>
      <c r="B48">
        <v>2019</v>
      </c>
      <c r="C48">
        <v>600</v>
      </c>
      <c r="D48" s="16">
        <v>0.54545454545454497</v>
      </c>
    </row>
    <row r="49" spans="1:4" x14ac:dyDescent="0.25">
      <c r="A49" t="s">
        <v>936</v>
      </c>
      <c r="B49">
        <v>2022</v>
      </c>
      <c r="C49">
        <v>110</v>
      </c>
      <c r="D49" s="16">
        <v>0.1</v>
      </c>
    </row>
    <row r="50" spans="1:4" x14ac:dyDescent="0.25">
      <c r="A50" t="s">
        <v>939</v>
      </c>
      <c r="B50">
        <v>2018</v>
      </c>
      <c r="C50">
        <v>1142</v>
      </c>
      <c r="D50" s="16">
        <v>0.451383399209486</v>
      </c>
    </row>
    <row r="51" spans="1:4" x14ac:dyDescent="0.25">
      <c r="A51" t="s">
        <v>939</v>
      </c>
      <c r="B51">
        <v>2019</v>
      </c>
      <c r="C51">
        <v>150</v>
      </c>
      <c r="D51" s="16">
        <v>5.9288537549407098E-2</v>
      </c>
    </row>
    <row r="52" spans="1:4" x14ac:dyDescent="0.25">
      <c r="A52" t="s">
        <v>939</v>
      </c>
      <c r="B52">
        <v>2021</v>
      </c>
      <c r="C52">
        <v>100</v>
      </c>
      <c r="D52" s="16">
        <v>3.9525691699604702E-2</v>
      </c>
    </row>
    <row r="53" spans="1:4" x14ac:dyDescent="0.25">
      <c r="A53" t="s">
        <v>942</v>
      </c>
      <c r="B53">
        <v>2019</v>
      </c>
      <c r="C53">
        <v>200</v>
      </c>
      <c r="D53" s="16">
        <v>0.36363636363636298</v>
      </c>
    </row>
    <row r="54" spans="1:4" x14ac:dyDescent="0.25">
      <c r="A54" t="s">
        <v>103</v>
      </c>
      <c r="B54">
        <v>2019</v>
      </c>
      <c r="C54">
        <v>1700</v>
      </c>
      <c r="D54" s="16">
        <v>0.85</v>
      </c>
    </row>
    <row r="55" spans="1:4" x14ac:dyDescent="0.25">
      <c r="A55" t="s">
        <v>107</v>
      </c>
      <c r="B55">
        <v>2019</v>
      </c>
      <c r="C55">
        <v>300</v>
      </c>
      <c r="D55" s="16">
        <v>0.6</v>
      </c>
    </row>
    <row r="56" spans="1:4" x14ac:dyDescent="0.25">
      <c r="A56" t="s">
        <v>107</v>
      </c>
      <c r="B56">
        <v>2020</v>
      </c>
      <c r="C56">
        <v>100</v>
      </c>
      <c r="D56" s="16">
        <v>0.2</v>
      </c>
    </row>
    <row r="57" spans="1:4" x14ac:dyDescent="0.25">
      <c r="A57" t="s">
        <v>110</v>
      </c>
      <c r="B57">
        <v>2019</v>
      </c>
      <c r="C57">
        <v>640</v>
      </c>
      <c r="D57" s="16">
        <v>0.64</v>
      </c>
    </row>
    <row r="58" spans="1:4" x14ac:dyDescent="0.25">
      <c r="A58" t="s">
        <v>110</v>
      </c>
      <c r="B58">
        <v>2020</v>
      </c>
      <c r="C58">
        <v>300</v>
      </c>
      <c r="D58" s="16">
        <v>0.3</v>
      </c>
    </row>
    <row r="59" spans="1:4" x14ac:dyDescent="0.25">
      <c r="A59" t="s">
        <v>114</v>
      </c>
      <c r="B59">
        <v>2019</v>
      </c>
      <c r="C59">
        <v>250</v>
      </c>
      <c r="D59" s="16">
        <v>0.25</v>
      </c>
    </row>
    <row r="60" spans="1:4" x14ac:dyDescent="0.25">
      <c r="A60" t="s">
        <v>114</v>
      </c>
      <c r="B60">
        <v>2020</v>
      </c>
      <c r="C60">
        <v>250</v>
      </c>
      <c r="D60" s="16">
        <v>0.25</v>
      </c>
    </row>
    <row r="61" spans="1:4" x14ac:dyDescent="0.25">
      <c r="A61" t="s">
        <v>118</v>
      </c>
      <c r="B61">
        <v>2019</v>
      </c>
      <c r="C61">
        <v>300</v>
      </c>
      <c r="D61" s="16">
        <v>0.27272727272727199</v>
      </c>
    </row>
    <row r="62" spans="1:4" x14ac:dyDescent="0.25">
      <c r="A62" t="s">
        <v>124</v>
      </c>
      <c r="B62">
        <v>2021</v>
      </c>
      <c r="C62">
        <v>200</v>
      </c>
      <c r="D62" s="16">
        <v>0.16666666666666599</v>
      </c>
    </row>
    <row r="63" spans="1:4" x14ac:dyDescent="0.25">
      <c r="A63" t="s">
        <v>131</v>
      </c>
      <c r="B63">
        <v>2020</v>
      </c>
      <c r="C63">
        <v>400</v>
      </c>
      <c r="D63" s="16">
        <v>0.1</v>
      </c>
    </row>
    <row r="64" spans="1:4" x14ac:dyDescent="0.25">
      <c r="A64" t="s">
        <v>138</v>
      </c>
      <c r="B64">
        <v>2021</v>
      </c>
      <c r="C64">
        <v>100</v>
      </c>
      <c r="D64" s="16">
        <v>0.14285714285714199</v>
      </c>
    </row>
    <row r="65" spans="1:4" x14ac:dyDescent="0.25">
      <c r="A65" t="s">
        <v>949</v>
      </c>
      <c r="B65">
        <v>2020</v>
      </c>
      <c r="C65">
        <v>2200</v>
      </c>
      <c r="D65" s="16">
        <v>0.5</v>
      </c>
    </row>
    <row r="66" spans="1:4" x14ac:dyDescent="0.25">
      <c r="A66" t="s">
        <v>952</v>
      </c>
      <c r="B66">
        <v>2020</v>
      </c>
      <c r="C66">
        <v>1372</v>
      </c>
      <c r="D66" s="16">
        <v>1.24727272727272</v>
      </c>
    </row>
    <row r="67" spans="1:4" x14ac:dyDescent="0.25">
      <c r="A67" t="s">
        <v>952</v>
      </c>
      <c r="B67">
        <v>2021</v>
      </c>
      <c r="C67">
        <v>363</v>
      </c>
      <c r="D67" s="16">
        <v>0.33</v>
      </c>
    </row>
    <row r="68" spans="1:4" x14ac:dyDescent="0.25">
      <c r="A68" t="s">
        <v>956</v>
      </c>
      <c r="B68">
        <v>2020</v>
      </c>
      <c r="C68">
        <v>307</v>
      </c>
      <c r="D68" s="16">
        <v>0.66739130434782601</v>
      </c>
    </row>
    <row r="69" spans="1:4" x14ac:dyDescent="0.25">
      <c r="A69" t="s">
        <v>956</v>
      </c>
      <c r="B69">
        <v>2021</v>
      </c>
      <c r="C69">
        <v>62</v>
      </c>
      <c r="D69" s="16">
        <v>0.13478260869565201</v>
      </c>
    </row>
    <row r="70" spans="1:4" x14ac:dyDescent="0.25">
      <c r="A70" t="s">
        <v>958</v>
      </c>
      <c r="B70">
        <v>2020</v>
      </c>
      <c r="C70">
        <v>310</v>
      </c>
      <c r="D70" s="16">
        <v>0.56363636363636305</v>
      </c>
    </row>
    <row r="71" spans="1:4" x14ac:dyDescent="0.25">
      <c r="A71" t="s">
        <v>958</v>
      </c>
      <c r="B71">
        <v>2021</v>
      </c>
      <c r="C71">
        <v>200</v>
      </c>
      <c r="D71" s="16">
        <v>0.36363636363636298</v>
      </c>
    </row>
    <row r="72" spans="1:4" x14ac:dyDescent="0.25">
      <c r="A72" t="s">
        <v>958</v>
      </c>
      <c r="B72">
        <v>2022</v>
      </c>
      <c r="C72">
        <v>105</v>
      </c>
      <c r="D72" s="16">
        <v>0.19090909090909</v>
      </c>
    </row>
    <row r="73" spans="1:4" x14ac:dyDescent="0.25">
      <c r="A73" t="s">
        <v>961</v>
      </c>
      <c r="B73">
        <v>2019</v>
      </c>
      <c r="C73">
        <v>1150</v>
      </c>
      <c r="D73" s="16">
        <v>0.33823529411764702</v>
      </c>
    </row>
    <row r="74" spans="1:4" x14ac:dyDescent="0.25">
      <c r="A74" t="s">
        <v>961</v>
      </c>
      <c r="B74">
        <v>2020</v>
      </c>
      <c r="C74">
        <v>532</v>
      </c>
      <c r="D74" s="16">
        <v>0.156470588235294</v>
      </c>
    </row>
    <row r="75" spans="1:4" x14ac:dyDescent="0.25">
      <c r="A75" t="s">
        <v>961</v>
      </c>
      <c r="B75">
        <v>2021</v>
      </c>
      <c r="C75">
        <v>1890</v>
      </c>
      <c r="D75" s="16">
        <v>0.55588235294117605</v>
      </c>
    </row>
    <row r="76" spans="1:4" x14ac:dyDescent="0.25">
      <c r="A76" t="s">
        <v>965</v>
      </c>
      <c r="B76">
        <v>2019</v>
      </c>
      <c r="C76">
        <v>50</v>
      </c>
      <c r="D76" s="16">
        <v>4.54545454545454E-2</v>
      </c>
    </row>
    <row r="77" spans="1:4" x14ac:dyDescent="0.25">
      <c r="A77" t="s">
        <v>965</v>
      </c>
      <c r="B77">
        <v>2020</v>
      </c>
      <c r="C77">
        <v>110</v>
      </c>
      <c r="D77" s="16">
        <v>0.1</v>
      </c>
    </row>
    <row r="78" spans="1:4" x14ac:dyDescent="0.25">
      <c r="A78" t="s">
        <v>971</v>
      </c>
      <c r="B78">
        <v>2020</v>
      </c>
      <c r="C78">
        <v>181</v>
      </c>
      <c r="D78" s="16">
        <v>0.164545454545454</v>
      </c>
    </row>
    <row r="79" spans="1:4" x14ac:dyDescent="0.25">
      <c r="A79" t="s">
        <v>971</v>
      </c>
      <c r="B79">
        <v>2021</v>
      </c>
      <c r="C79">
        <v>356</v>
      </c>
      <c r="D79" s="16">
        <v>0.323636363636363</v>
      </c>
    </row>
    <row r="80" spans="1:4" x14ac:dyDescent="0.25">
      <c r="A80" t="s">
        <v>975</v>
      </c>
      <c r="B80">
        <v>2020</v>
      </c>
      <c r="C80">
        <v>250</v>
      </c>
      <c r="D80" s="16">
        <v>7.8864353312302807E-2</v>
      </c>
    </row>
    <row r="81" spans="1:4" x14ac:dyDescent="0.25">
      <c r="A81" t="s">
        <v>978</v>
      </c>
      <c r="B81">
        <v>2020</v>
      </c>
      <c r="C81">
        <v>1100</v>
      </c>
      <c r="D81" s="16">
        <v>1</v>
      </c>
    </row>
    <row r="82" spans="1:4" x14ac:dyDescent="0.25">
      <c r="A82" t="s">
        <v>981</v>
      </c>
      <c r="B82">
        <v>2020</v>
      </c>
      <c r="C82">
        <v>550</v>
      </c>
      <c r="D82" s="16">
        <v>0.5</v>
      </c>
    </row>
    <row r="83" spans="1:4" x14ac:dyDescent="0.25">
      <c r="A83" t="s">
        <v>981</v>
      </c>
      <c r="B83">
        <v>2021</v>
      </c>
      <c r="C83">
        <v>337</v>
      </c>
      <c r="D83" s="16">
        <v>0.306363636363636</v>
      </c>
    </row>
    <row r="84" spans="1:4" x14ac:dyDescent="0.25">
      <c r="A84" t="s">
        <v>984</v>
      </c>
      <c r="B84">
        <v>2019</v>
      </c>
      <c r="C84">
        <v>195</v>
      </c>
      <c r="D84" s="16">
        <v>0.177272727272727</v>
      </c>
    </row>
    <row r="85" spans="1:4" x14ac:dyDescent="0.25">
      <c r="A85" t="s">
        <v>984</v>
      </c>
      <c r="B85">
        <v>2020</v>
      </c>
      <c r="C85">
        <v>425</v>
      </c>
      <c r="D85" s="16">
        <v>0.38636363636363602</v>
      </c>
    </row>
    <row r="86" spans="1:4" x14ac:dyDescent="0.25">
      <c r="A86" t="s">
        <v>984</v>
      </c>
      <c r="B86">
        <v>2021</v>
      </c>
      <c r="C86">
        <v>604</v>
      </c>
      <c r="D86" s="16">
        <v>0.54909090909090896</v>
      </c>
    </row>
    <row r="87" spans="1:4" x14ac:dyDescent="0.25">
      <c r="A87" t="s">
        <v>988</v>
      </c>
      <c r="B87">
        <v>2020</v>
      </c>
      <c r="C87">
        <v>112</v>
      </c>
      <c r="D87" s="16">
        <v>0.101818181818181</v>
      </c>
    </row>
    <row r="88" spans="1:4" x14ac:dyDescent="0.25">
      <c r="A88" t="s">
        <v>988</v>
      </c>
      <c r="B88">
        <v>2021</v>
      </c>
      <c r="C88">
        <v>32</v>
      </c>
      <c r="D88" s="16">
        <v>2.9090909090909001E-2</v>
      </c>
    </row>
    <row r="89" spans="1:4" x14ac:dyDescent="0.25">
      <c r="A89" t="s">
        <v>991</v>
      </c>
      <c r="B89">
        <v>2019</v>
      </c>
      <c r="C89">
        <v>64</v>
      </c>
      <c r="D89" s="16">
        <v>5.8181818181818099E-2</v>
      </c>
    </row>
    <row r="90" spans="1:4" x14ac:dyDescent="0.25">
      <c r="A90" t="s">
        <v>994</v>
      </c>
      <c r="B90">
        <v>2020</v>
      </c>
      <c r="C90">
        <v>271</v>
      </c>
      <c r="D90" s="16">
        <v>0.30795454545454498</v>
      </c>
    </row>
    <row r="91" spans="1:4" x14ac:dyDescent="0.25">
      <c r="A91" t="s">
        <v>994</v>
      </c>
      <c r="B91">
        <v>2021</v>
      </c>
      <c r="C91">
        <v>50</v>
      </c>
      <c r="D91" s="16">
        <v>5.6818181818181802E-2</v>
      </c>
    </row>
    <row r="92" spans="1:4" x14ac:dyDescent="0.25">
      <c r="A92" t="s">
        <v>997</v>
      </c>
      <c r="B92">
        <v>2019</v>
      </c>
      <c r="C92">
        <v>82</v>
      </c>
      <c r="D92" s="16">
        <v>7.4545454545454498E-2</v>
      </c>
    </row>
    <row r="93" spans="1:4" x14ac:dyDescent="0.25">
      <c r="A93" t="s">
        <v>997</v>
      </c>
      <c r="B93">
        <v>2020</v>
      </c>
      <c r="C93">
        <v>800</v>
      </c>
      <c r="D93" s="16">
        <v>0.72727272727272696</v>
      </c>
    </row>
    <row r="94" spans="1:4" x14ac:dyDescent="0.25">
      <c r="A94" t="s">
        <v>1000</v>
      </c>
      <c r="B94">
        <v>2019</v>
      </c>
      <c r="C94">
        <v>320</v>
      </c>
      <c r="D94" s="16">
        <v>0.29090909090909001</v>
      </c>
    </row>
    <row r="95" spans="1:4" x14ac:dyDescent="0.25">
      <c r="A95" t="s">
        <v>1000</v>
      </c>
      <c r="B95">
        <v>2021</v>
      </c>
      <c r="C95">
        <v>400</v>
      </c>
      <c r="D95" s="16">
        <v>0.36363636363636298</v>
      </c>
    </row>
    <row r="96" spans="1:4" x14ac:dyDescent="0.25">
      <c r="A96" t="s">
        <v>146</v>
      </c>
      <c r="B96">
        <v>2021</v>
      </c>
      <c r="C96">
        <v>800</v>
      </c>
      <c r="D96" s="16">
        <v>0.4</v>
      </c>
    </row>
    <row r="97" spans="1:4" x14ac:dyDescent="0.25">
      <c r="A97" t="s">
        <v>149</v>
      </c>
      <c r="B97">
        <v>2020</v>
      </c>
      <c r="C97">
        <v>655</v>
      </c>
      <c r="D97" s="16">
        <v>0.21979865771811999</v>
      </c>
    </row>
    <row r="98" spans="1:4" x14ac:dyDescent="0.25">
      <c r="A98" t="s">
        <v>149</v>
      </c>
      <c r="B98">
        <v>2022</v>
      </c>
      <c r="C98">
        <v>375</v>
      </c>
      <c r="D98" s="16">
        <v>0.12583892617449599</v>
      </c>
    </row>
    <row r="99" spans="1:4" x14ac:dyDescent="0.25">
      <c r="A99" t="s">
        <v>153</v>
      </c>
      <c r="B99">
        <v>2021</v>
      </c>
      <c r="C99">
        <v>264</v>
      </c>
      <c r="D99" s="16">
        <v>0.22</v>
      </c>
    </row>
    <row r="100" spans="1:4" x14ac:dyDescent="0.25">
      <c r="A100" t="s">
        <v>156</v>
      </c>
      <c r="B100">
        <v>2021</v>
      </c>
      <c r="C100">
        <v>90</v>
      </c>
      <c r="D100" s="16">
        <v>0.09</v>
      </c>
    </row>
    <row r="101" spans="1:4" x14ac:dyDescent="0.25">
      <c r="A101" t="s">
        <v>156</v>
      </c>
      <c r="B101">
        <v>2022</v>
      </c>
      <c r="C101">
        <v>97</v>
      </c>
      <c r="D101" s="16">
        <v>9.7000000000000003E-2</v>
      </c>
    </row>
    <row r="102" spans="1:4" x14ac:dyDescent="0.25">
      <c r="A102" t="s">
        <v>159</v>
      </c>
      <c r="B102">
        <v>2021</v>
      </c>
      <c r="C102">
        <v>500</v>
      </c>
      <c r="D102" s="16">
        <v>0.11111111111111099</v>
      </c>
    </row>
    <row r="103" spans="1:4" x14ac:dyDescent="0.25">
      <c r="A103" t="s">
        <v>162</v>
      </c>
      <c r="B103">
        <v>2020</v>
      </c>
      <c r="C103">
        <v>70</v>
      </c>
      <c r="D103" s="16">
        <v>3.5000000000000003E-2</v>
      </c>
    </row>
    <row r="104" spans="1:4" x14ac:dyDescent="0.25">
      <c r="A104" t="s">
        <v>166</v>
      </c>
      <c r="B104">
        <v>2021</v>
      </c>
      <c r="C104">
        <v>160</v>
      </c>
      <c r="D104" s="16">
        <v>0.133333333333333</v>
      </c>
    </row>
    <row r="105" spans="1:4" x14ac:dyDescent="0.25">
      <c r="A105" t="s">
        <v>170</v>
      </c>
      <c r="B105">
        <v>2022</v>
      </c>
      <c r="C105">
        <v>971</v>
      </c>
      <c r="D105" s="16">
        <v>0.26972222222222197</v>
      </c>
    </row>
    <row r="106" spans="1:4" x14ac:dyDescent="0.25">
      <c r="A106" t="s">
        <v>174</v>
      </c>
      <c r="B106">
        <v>2021</v>
      </c>
      <c r="C106">
        <v>135</v>
      </c>
      <c r="D106" s="16">
        <v>0.1125</v>
      </c>
    </row>
    <row r="107" spans="1:4" x14ac:dyDescent="0.25">
      <c r="A107" t="s">
        <v>177</v>
      </c>
      <c r="B107">
        <v>2021</v>
      </c>
      <c r="C107">
        <v>40</v>
      </c>
      <c r="D107" s="16">
        <v>1.1627906976744099E-2</v>
      </c>
    </row>
    <row r="108" spans="1:4" x14ac:dyDescent="0.25">
      <c r="A108" t="s">
        <v>180</v>
      </c>
      <c r="B108">
        <v>2021</v>
      </c>
      <c r="C108">
        <v>80</v>
      </c>
      <c r="D108" s="16">
        <v>6.15384615384615E-2</v>
      </c>
    </row>
    <row r="109" spans="1:4" x14ac:dyDescent="0.25">
      <c r="A109" t="s">
        <v>380</v>
      </c>
      <c r="B109">
        <v>2020</v>
      </c>
      <c r="C109">
        <v>500</v>
      </c>
      <c r="D109" s="16">
        <v>0.5</v>
      </c>
    </row>
    <row r="110" spans="1:4" x14ac:dyDescent="0.25">
      <c r="A110" t="s">
        <v>398</v>
      </c>
      <c r="B110">
        <v>2020</v>
      </c>
      <c r="C110">
        <v>300</v>
      </c>
      <c r="D110" s="16">
        <v>1</v>
      </c>
    </row>
    <row r="111" spans="1:4" x14ac:dyDescent="0.25">
      <c r="A111" t="s">
        <v>404</v>
      </c>
      <c r="B111">
        <v>2021</v>
      </c>
      <c r="C111">
        <v>550</v>
      </c>
      <c r="D111" s="16">
        <v>1</v>
      </c>
    </row>
    <row r="112" spans="1:4" x14ac:dyDescent="0.25">
      <c r="A112" t="s">
        <v>1016</v>
      </c>
      <c r="B112">
        <v>2021</v>
      </c>
      <c r="C112">
        <v>655</v>
      </c>
      <c r="D112" s="16">
        <v>0.49621212121212099</v>
      </c>
    </row>
    <row r="113" spans="1:4" x14ac:dyDescent="0.25">
      <c r="A113" t="s">
        <v>1016</v>
      </c>
      <c r="B113">
        <v>2022</v>
      </c>
      <c r="C113">
        <v>273</v>
      </c>
      <c r="D113" s="16">
        <v>0.20681818181818101</v>
      </c>
    </row>
    <row r="114" spans="1:4" x14ac:dyDescent="0.25">
      <c r="A114" t="s">
        <v>1034</v>
      </c>
      <c r="B114">
        <v>2020</v>
      </c>
      <c r="C114">
        <v>128</v>
      </c>
      <c r="D114" s="16">
        <v>0.23272727272727201</v>
      </c>
    </row>
    <row r="115" spans="1:4" x14ac:dyDescent="0.25">
      <c r="A115" t="s">
        <v>1035</v>
      </c>
      <c r="B115">
        <v>2021</v>
      </c>
      <c r="C115">
        <v>25</v>
      </c>
      <c r="D115" s="16">
        <v>5.6818181818181802E-2</v>
      </c>
    </row>
    <row r="116" spans="1:4" x14ac:dyDescent="0.25">
      <c r="A116" t="s">
        <v>1035</v>
      </c>
      <c r="B116">
        <v>2022</v>
      </c>
      <c r="C116">
        <v>63</v>
      </c>
      <c r="D116" s="16">
        <v>0.14318181818181799</v>
      </c>
    </row>
    <row r="117" spans="1:4" x14ac:dyDescent="0.25">
      <c r="A117" t="s">
        <v>1108</v>
      </c>
      <c r="B117">
        <v>2021</v>
      </c>
      <c r="C117">
        <v>86</v>
      </c>
      <c r="D117" s="16">
        <v>0.226315789473684</v>
      </c>
    </row>
    <row r="118" spans="1:4" x14ac:dyDescent="0.25">
      <c r="A118" t="s">
        <v>1108</v>
      </c>
      <c r="B118">
        <v>2022</v>
      </c>
      <c r="C118">
        <v>20</v>
      </c>
      <c r="D118" s="16">
        <v>5.2631578947368397E-2</v>
      </c>
    </row>
    <row r="119" spans="1:4" x14ac:dyDescent="0.25">
      <c r="A119" t="s">
        <v>1109</v>
      </c>
      <c r="B119">
        <v>2020</v>
      </c>
      <c r="C119">
        <v>498</v>
      </c>
      <c r="D119" s="16">
        <v>0.45272727272727198</v>
      </c>
    </row>
    <row r="120" spans="1:4" x14ac:dyDescent="0.25">
      <c r="A120" t="s">
        <v>1109</v>
      </c>
      <c r="B120">
        <v>2021</v>
      </c>
      <c r="C120">
        <v>500</v>
      </c>
      <c r="D120" s="16">
        <v>0.45454545454545398</v>
      </c>
    </row>
    <row r="121" spans="1:4" x14ac:dyDescent="0.25">
      <c r="A121" t="s">
        <v>1109</v>
      </c>
      <c r="B121">
        <v>2022</v>
      </c>
      <c r="C121">
        <v>232</v>
      </c>
      <c r="D121" s="16">
        <v>0.21090909090908999</v>
      </c>
    </row>
    <row r="122" spans="1:4" x14ac:dyDescent="0.25">
      <c r="A122" t="s">
        <v>1003</v>
      </c>
      <c r="B122">
        <v>2021</v>
      </c>
      <c r="C122">
        <v>400</v>
      </c>
      <c r="D122" s="16">
        <v>0.36363636363636298</v>
      </c>
    </row>
    <row r="123" spans="1:4" x14ac:dyDescent="0.25">
      <c r="A123" t="s">
        <v>1006</v>
      </c>
      <c r="B123">
        <v>2021</v>
      </c>
      <c r="C123">
        <v>1661</v>
      </c>
      <c r="D123" s="16">
        <v>0.50333333333333297</v>
      </c>
    </row>
    <row r="124" spans="1:4" x14ac:dyDescent="0.25">
      <c r="A124" t="s">
        <v>1010</v>
      </c>
      <c r="B124">
        <v>2020</v>
      </c>
      <c r="C124">
        <v>506</v>
      </c>
      <c r="D124" s="16">
        <v>0.46</v>
      </c>
    </row>
    <row r="125" spans="1:4" x14ac:dyDescent="0.25">
      <c r="A125" t="s">
        <v>1010</v>
      </c>
      <c r="B125">
        <v>2021</v>
      </c>
      <c r="C125">
        <v>160</v>
      </c>
      <c r="D125" s="16">
        <v>0.145454545454545</v>
      </c>
    </row>
    <row r="126" spans="1:4" x14ac:dyDescent="0.25">
      <c r="A126" t="s">
        <v>1010</v>
      </c>
      <c r="B126">
        <v>2022</v>
      </c>
      <c r="C126">
        <v>84</v>
      </c>
      <c r="D126" s="16">
        <v>7.63636363636363E-2</v>
      </c>
    </row>
    <row r="127" spans="1:4" x14ac:dyDescent="0.25">
      <c r="A127" t="s">
        <v>1013</v>
      </c>
      <c r="B127">
        <v>2021</v>
      </c>
      <c r="C127">
        <v>128</v>
      </c>
      <c r="D127" s="16">
        <v>0.25600000000000001</v>
      </c>
    </row>
    <row r="128" spans="1:4" x14ac:dyDescent="0.25">
      <c r="A128" t="s">
        <v>1013</v>
      </c>
      <c r="B128">
        <v>2022</v>
      </c>
      <c r="C128">
        <v>252</v>
      </c>
      <c r="D128" s="16">
        <v>0.504</v>
      </c>
    </row>
    <row r="129" spans="1:4" x14ac:dyDescent="0.25">
      <c r="A129" t="s">
        <v>1017</v>
      </c>
      <c r="B129">
        <v>2021</v>
      </c>
      <c r="C129">
        <v>400</v>
      </c>
      <c r="D129" s="16">
        <v>0.24242424242424199</v>
      </c>
    </row>
    <row r="130" spans="1:4" x14ac:dyDescent="0.25">
      <c r="A130" t="s">
        <v>1017</v>
      </c>
      <c r="B130">
        <v>2022</v>
      </c>
      <c r="C130">
        <v>83</v>
      </c>
      <c r="D130" s="16">
        <v>5.0303030303030301E-2</v>
      </c>
    </row>
    <row r="131" spans="1:4" x14ac:dyDescent="0.25">
      <c r="A131" t="s">
        <v>1020</v>
      </c>
      <c r="B131">
        <v>2020</v>
      </c>
      <c r="C131">
        <v>150</v>
      </c>
      <c r="D131" s="16">
        <v>0.13636363636363599</v>
      </c>
    </row>
    <row r="132" spans="1:4" x14ac:dyDescent="0.25">
      <c r="A132" t="s">
        <v>1020</v>
      </c>
      <c r="B132">
        <v>2021</v>
      </c>
      <c r="C132">
        <v>249</v>
      </c>
      <c r="D132" s="16">
        <v>0.22636363636363599</v>
      </c>
    </row>
    <row r="133" spans="1:4" x14ac:dyDescent="0.25">
      <c r="A133" t="s">
        <v>1020</v>
      </c>
      <c r="B133">
        <v>2022</v>
      </c>
      <c r="C133">
        <v>42</v>
      </c>
      <c r="D133" s="16">
        <v>3.8181818181818102E-2</v>
      </c>
    </row>
    <row r="134" spans="1:4" x14ac:dyDescent="0.25">
      <c r="A134" t="s">
        <v>1024</v>
      </c>
      <c r="B134">
        <v>2020</v>
      </c>
      <c r="C134">
        <v>224</v>
      </c>
      <c r="D134" s="16">
        <v>0.16470588235294101</v>
      </c>
    </row>
    <row r="135" spans="1:4" x14ac:dyDescent="0.25">
      <c r="A135" t="s">
        <v>1024</v>
      </c>
      <c r="B135">
        <v>2021</v>
      </c>
      <c r="C135">
        <v>254</v>
      </c>
      <c r="D135" s="16">
        <v>0.186764705882352</v>
      </c>
    </row>
    <row r="136" spans="1:4" x14ac:dyDescent="0.25">
      <c r="A136" t="s">
        <v>1024</v>
      </c>
      <c r="B136">
        <v>2022</v>
      </c>
      <c r="C136">
        <v>63</v>
      </c>
      <c r="D136" s="16">
        <v>4.6323529411764701E-2</v>
      </c>
    </row>
    <row r="137" spans="1:4" x14ac:dyDescent="0.25">
      <c r="A137" t="s">
        <v>1028</v>
      </c>
      <c r="B137">
        <v>2021</v>
      </c>
      <c r="C137">
        <v>250</v>
      </c>
      <c r="D137" s="16">
        <v>0.22727272727272699</v>
      </c>
    </row>
    <row r="138" spans="1:4" x14ac:dyDescent="0.25">
      <c r="A138" t="s">
        <v>1031</v>
      </c>
      <c r="B138">
        <v>2021</v>
      </c>
      <c r="C138">
        <v>1061</v>
      </c>
      <c r="D138" s="16">
        <v>0.48227272727272702</v>
      </c>
    </row>
    <row r="139" spans="1:4" x14ac:dyDescent="0.25">
      <c r="A139" t="s">
        <v>1036</v>
      </c>
      <c r="B139">
        <v>2022</v>
      </c>
      <c r="C139">
        <v>63</v>
      </c>
      <c r="D139" s="16">
        <v>5.7272727272727197E-2</v>
      </c>
    </row>
    <row r="140" spans="1:4" x14ac:dyDescent="0.25">
      <c r="A140" t="s">
        <v>1039</v>
      </c>
      <c r="B140">
        <v>2020</v>
      </c>
      <c r="C140">
        <v>250</v>
      </c>
      <c r="D140" s="16">
        <v>0.22727272727272699</v>
      </c>
    </row>
    <row r="141" spans="1:4" x14ac:dyDescent="0.25">
      <c r="A141" t="s">
        <v>1039</v>
      </c>
      <c r="B141">
        <v>2021</v>
      </c>
      <c r="C141">
        <v>364</v>
      </c>
      <c r="D141" s="16">
        <v>0.33090909090908999</v>
      </c>
    </row>
    <row r="142" spans="1:4" x14ac:dyDescent="0.25">
      <c r="A142" t="s">
        <v>1039</v>
      </c>
      <c r="B142">
        <v>2022</v>
      </c>
      <c r="C142">
        <v>42</v>
      </c>
      <c r="D142" s="16">
        <v>3.8181818181818102E-2</v>
      </c>
    </row>
    <row r="143" spans="1:4" x14ac:dyDescent="0.25">
      <c r="A143" t="s">
        <v>1043</v>
      </c>
      <c r="B143">
        <v>2020</v>
      </c>
      <c r="C143">
        <v>204</v>
      </c>
      <c r="D143" s="16">
        <v>3.7090909090909001E-2</v>
      </c>
    </row>
    <row r="144" spans="1:4" x14ac:dyDescent="0.25">
      <c r="A144" t="s">
        <v>1046</v>
      </c>
      <c r="B144">
        <v>2020</v>
      </c>
      <c r="C144">
        <v>200</v>
      </c>
      <c r="D144" s="16">
        <v>9.0909090909090898E-2</v>
      </c>
    </row>
    <row r="145" spans="1:4" x14ac:dyDescent="0.25">
      <c r="A145" t="s">
        <v>1046</v>
      </c>
      <c r="B145">
        <v>2021</v>
      </c>
      <c r="C145">
        <v>800</v>
      </c>
      <c r="D145" s="16">
        <v>0.36363636363636298</v>
      </c>
    </row>
    <row r="146" spans="1:4" x14ac:dyDescent="0.25">
      <c r="A146" t="s">
        <v>1046</v>
      </c>
      <c r="B146">
        <v>2022</v>
      </c>
      <c r="C146">
        <v>210</v>
      </c>
      <c r="D146" s="16">
        <v>9.5454545454545403E-2</v>
      </c>
    </row>
    <row r="147" spans="1:4" x14ac:dyDescent="0.25">
      <c r="A147" t="s">
        <v>1049</v>
      </c>
      <c r="B147">
        <v>2021</v>
      </c>
      <c r="C147">
        <v>629</v>
      </c>
      <c r="D147" s="16">
        <v>0.571818181818181</v>
      </c>
    </row>
    <row r="148" spans="1:4" x14ac:dyDescent="0.25">
      <c r="A148" t="s">
        <v>1049</v>
      </c>
      <c r="B148">
        <v>2022</v>
      </c>
      <c r="C148">
        <v>85</v>
      </c>
      <c r="D148" s="16">
        <v>7.7272727272727201E-2</v>
      </c>
    </row>
    <row r="149" spans="1:4" x14ac:dyDescent="0.25">
      <c r="A149" t="s">
        <v>1053</v>
      </c>
      <c r="B149">
        <v>2020</v>
      </c>
      <c r="C149">
        <v>100</v>
      </c>
      <c r="D149" s="16">
        <v>9.0909090909090898E-2</v>
      </c>
    </row>
    <row r="150" spans="1:4" x14ac:dyDescent="0.25">
      <c r="A150" t="s">
        <v>1053</v>
      </c>
      <c r="B150">
        <v>2022</v>
      </c>
      <c r="C150">
        <v>84</v>
      </c>
      <c r="D150" s="16">
        <v>7.63636363636363E-2</v>
      </c>
    </row>
    <row r="151" spans="1:4" x14ac:dyDescent="0.25">
      <c r="A151" t="s">
        <v>1056</v>
      </c>
      <c r="B151">
        <v>2022</v>
      </c>
      <c r="C151">
        <v>63</v>
      </c>
      <c r="D151" s="16">
        <v>5.7272727272727197E-2</v>
      </c>
    </row>
    <row r="152" spans="1:4" x14ac:dyDescent="0.25">
      <c r="A152" t="s">
        <v>1060</v>
      </c>
      <c r="B152">
        <v>2021</v>
      </c>
      <c r="C152">
        <v>880</v>
      </c>
      <c r="D152" s="16">
        <v>0.8</v>
      </c>
    </row>
    <row r="153" spans="1:4" x14ac:dyDescent="0.25">
      <c r="A153" t="s">
        <v>1060</v>
      </c>
      <c r="B153">
        <v>2022</v>
      </c>
      <c r="C153">
        <v>55</v>
      </c>
      <c r="D153" s="16">
        <v>0.05</v>
      </c>
    </row>
    <row r="154" spans="1:4" x14ac:dyDescent="0.25">
      <c r="A154" t="s">
        <v>1063</v>
      </c>
      <c r="B154">
        <v>2021</v>
      </c>
      <c r="C154">
        <v>320</v>
      </c>
      <c r="D154" s="16">
        <v>0.29090909090909001</v>
      </c>
    </row>
    <row r="155" spans="1:4" x14ac:dyDescent="0.25">
      <c r="A155" t="s">
        <v>1067</v>
      </c>
      <c r="B155">
        <v>2021</v>
      </c>
      <c r="C155">
        <v>46</v>
      </c>
      <c r="D155" s="16">
        <v>4.1818181818181803E-2</v>
      </c>
    </row>
    <row r="156" spans="1:4" x14ac:dyDescent="0.25">
      <c r="A156" t="s">
        <v>1067</v>
      </c>
      <c r="B156">
        <v>2022</v>
      </c>
      <c r="C156">
        <v>42</v>
      </c>
      <c r="D156" s="16">
        <v>3.8181818181818102E-2</v>
      </c>
    </row>
    <row r="157" spans="1:4" x14ac:dyDescent="0.25">
      <c r="A157" t="s">
        <v>1070</v>
      </c>
      <c r="B157">
        <v>2020</v>
      </c>
      <c r="C157">
        <v>605</v>
      </c>
      <c r="D157" s="16">
        <v>0.55000000000000004</v>
      </c>
    </row>
    <row r="158" spans="1:4" x14ac:dyDescent="0.25">
      <c r="A158" t="s">
        <v>1070</v>
      </c>
      <c r="B158">
        <v>2021</v>
      </c>
      <c r="C158">
        <v>449</v>
      </c>
      <c r="D158" s="16">
        <v>0.40818181818181798</v>
      </c>
    </row>
    <row r="159" spans="1:4" x14ac:dyDescent="0.25">
      <c r="A159" t="s">
        <v>1073</v>
      </c>
      <c r="B159">
        <v>2020</v>
      </c>
      <c r="C159">
        <v>210</v>
      </c>
      <c r="D159" s="16">
        <v>0.192660550458715</v>
      </c>
    </row>
    <row r="160" spans="1:4" x14ac:dyDescent="0.25">
      <c r="A160" t="s">
        <v>1073</v>
      </c>
      <c r="B160">
        <v>2021</v>
      </c>
      <c r="C160">
        <v>130</v>
      </c>
      <c r="D160" s="16">
        <v>0.119266055045871</v>
      </c>
    </row>
    <row r="161" spans="1:4" x14ac:dyDescent="0.25">
      <c r="A161" t="s">
        <v>1073</v>
      </c>
      <c r="B161">
        <v>2022</v>
      </c>
      <c r="C161">
        <v>126</v>
      </c>
      <c r="D161" s="16">
        <v>0.115596330275229</v>
      </c>
    </row>
    <row r="162" spans="1:4" x14ac:dyDescent="0.25">
      <c r="A162" t="s">
        <v>1076</v>
      </c>
      <c r="B162">
        <v>2021</v>
      </c>
      <c r="C162">
        <v>300</v>
      </c>
      <c r="D162" s="16">
        <v>0.4</v>
      </c>
    </row>
    <row r="163" spans="1:4" x14ac:dyDescent="0.25">
      <c r="A163" t="s">
        <v>1076</v>
      </c>
      <c r="B163">
        <v>2022</v>
      </c>
      <c r="C163">
        <v>105</v>
      </c>
      <c r="D163" s="16">
        <v>0.14000000000000001</v>
      </c>
    </row>
    <row r="164" spans="1:4" x14ac:dyDescent="0.25">
      <c r="A164" t="s">
        <v>1079</v>
      </c>
      <c r="B164">
        <v>2021</v>
      </c>
      <c r="C164">
        <v>251</v>
      </c>
      <c r="D164" s="16">
        <v>0.11409090909090901</v>
      </c>
    </row>
    <row r="165" spans="1:4" x14ac:dyDescent="0.25">
      <c r="A165" t="s">
        <v>1079</v>
      </c>
      <c r="B165">
        <v>2022</v>
      </c>
      <c r="C165">
        <v>600</v>
      </c>
      <c r="D165" s="16">
        <v>0.27272727272727199</v>
      </c>
    </row>
    <row r="166" spans="1:4" x14ac:dyDescent="0.25">
      <c r="A166" t="s">
        <v>1083</v>
      </c>
      <c r="B166">
        <v>2020</v>
      </c>
      <c r="C166">
        <v>486</v>
      </c>
      <c r="D166" s="16">
        <v>0.441818181818181</v>
      </c>
    </row>
    <row r="167" spans="1:4" x14ac:dyDescent="0.25">
      <c r="A167" t="s">
        <v>1083</v>
      </c>
      <c r="B167">
        <v>2021</v>
      </c>
      <c r="C167">
        <v>64</v>
      </c>
      <c r="D167" s="16">
        <v>5.8181818181818099E-2</v>
      </c>
    </row>
    <row r="168" spans="1:4" x14ac:dyDescent="0.25">
      <c r="A168" t="s">
        <v>1086</v>
      </c>
      <c r="B168">
        <v>2021</v>
      </c>
      <c r="C168">
        <v>1275</v>
      </c>
      <c r="D168" s="16">
        <v>0.59859154929577396</v>
      </c>
    </row>
    <row r="169" spans="1:4" x14ac:dyDescent="0.25">
      <c r="A169" t="s">
        <v>1086</v>
      </c>
      <c r="B169">
        <v>2022</v>
      </c>
      <c r="C169">
        <v>70</v>
      </c>
      <c r="D169" s="16">
        <v>3.2863849765258198E-2</v>
      </c>
    </row>
    <row r="170" spans="1:4" x14ac:dyDescent="0.25">
      <c r="A170" t="s">
        <v>1089</v>
      </c>
      <c r="B170">
        <v>2021</v>
      </c>
      <c r="C170">
        <v>4337</v>
      </c>
      <c r="D170" s="16">
        <v>0.81830188679245197</v>
      </c>
    </row>
    <row r="171" spans="1:4" x14ac:dyDescent="0.25">
      <c r="A171" t="s">
        <v>1089</v>
      </c>
      <c r="B171">
        <v>2022</v>
      </c>
      <c r="C171">
        <v>1449</v>
      </c>
      <c r="D171" s="16">
        <v>0.27339622641509398</v>
      </c>
    </row>
    <row r="172" spans="1:4" x14ac:dyDescent="0.25">
      <c r="A172" t="s">
        <v>1092</v>
      </c>
      <c r="B172">
        <v>2021</v>
      </c>
      <c r="C172">
        <v>740</v>
      </c>
      <c r="D172" s="16">
        <v>0.67272727272727195</v>
      </c>
    </row>
    <row r="173" spans="1:4" x14ac:dyDescent="0.25">
      <c r="A173" t="s">
        <v>1092</v>
      </c>
      <c r="B173">
        <v>2022</v>
      </c>
      <c r="C173">
        <v>168</v>
      </c>
      <c r="D173" s="16">
        <v>0.15272727272727199</v>
      </c>
    </row>
    <row r="174" spans="1:4" x14ac:dyDescent="0.25">
      <c r="A174" t="s">
        <v>1095</v>
      </c>
      <c r="B174">
        <v>2021</v>
      </c>
      <c r="C174">
        <v>370</v>
      </c>
      <c r="D174" s="16">
        <v>9.6103896103896094E-2</v>
      </c>
    </row>
    <row r="175" spans="1:4" x14ac:dyDescent="0.25">
      <c r="A175" t="s">
        <v>1095</v>
      </c>
      <c r="B175">
        <v>2022</v>
      </c>
      <c r="C175">
        <v>400</v>
      </c>
      <c r="D175" s="16">
        <v>0.103896103896103</v>
      </c>
    </row>
    <row r="176" spans="1:4" x14ac:dyDescent="0.25">
      <c r="A176" t="s">
        <v>1098</v>
      </c>
      <c r="B176">
        <v>2020</v>
      </c>
      <c r="C176">
        <v>266</v>
      </c>
      <c r="D176" s="16">
        <v>0.16429894996911601</v>
      </c>
    </row>
    <row r="177" spans="1:4" x14ac:dyDescent="0.25">
      <c r="A177" t="s">
        <v>1098</v>
      </c>
      <c r="B177">
        <v>2021</v>
      </c>
      <c r="C177">
        <v>128</v>
      </c>
      <c r="D177" s="16">
        <v>7.9061148857319297E-2</v>
      </c>
    </row>
    <row r="178" spans="1:4" x14ac:dyDescent="0.25">
      <c r="A178" t="s">
        <v>1101</v>
      </c>
      <c r="B178">
        <v>2021</v>
      </c>
      <c r="C178">
        <v>145</v>
      </c>
      <c r="D178" s="16">
        <v>0.131818181818181</v>
      </c>
    </row>
    <row r="179" spans="1:4" x14ac:dyDescent="0.25">
      <c r="A179" t="s">
        <v>1104</v>
      </c>
      <c r="B179">
        <v>2021</v>
      </c>
      <c r="C179">
        <v>106</v>
      </c>
      <c r="D179" s="16">
        <v>8.0303030303030307E-2</v>
      </c>
    </row>
    <row r="180" spans="1:4" x14ac:dyDescent="0.25">
      <c r="A180" t="s">
        <v>1110</v>
      </c>
      <c r="B180">
        <v>2021</v>
      </c>
      <c r="C180">
        <v>427</v>
      </c>
      <c r="D180" s="16">
        <v>0.38818181818181802</v>
      </c>
    </row>
    <row r="181" spans="1:4" x14ac:dyDescent="0.25">
      <c r="A181" t="s">
        <v>183</v>
      </c>
      <c r="B181">
        <v>2021</v>
      </c>
      <c r="C181">
        <v>300</v>
      </c>
      <c r="D181" s="16">
        <v>0.125</v>
      </c>
    </row>
    <row r="182" spans="1:4" x14ac:dyDescent="0.25">
      <c r="A182" t="s">
        <v>183</v>
      </c>
      <c r="B182">
        <v>2022</v>
      </c>
      <c r="C182">
        <v>420</v>
      </c>
      <c r="D182" s="16">
        <v>0.17499999999999999</v>
      </c>
    </row>
    <row r="183" spans="1:4" x14ac:dyDescent="0.25">
      <c r="A183" t="s">
        <v>187</v>
      </c>
      <c r="B183">
        <v>2022</v>
      </c>
      <c r="C183">
        <v>50</v>
      </c>
      <c r="D183" s="16">
        <v>0.05</v>
      </c>
    </row>
    <row r="184" spans="1:4" x14ac:dyDescent="0.25">
      <c r="A184" t="s">
        <v>196</v>
      </c>
      <c r="B184">
        <v>2021</v>
      </c>
      <c r="C184">
        <v>852</v>
      </c>
      <c r="D184" s="16">
        <v>0.21299999999999999</v>
      </c>
    </row>
    <row r="185" spans="1:4" x14ac:dyDescent="0.25">
      <c r="A185" t="s">
        <v>200</v>
      </c>
      <c r="B185">
        <v>2021</v>
      </c>
      <c r="C185">
        <v>800</v>
      </c>
      <c r="D185" s="16">
        <v>0.4</v>
      </c>
    </row>
    <row r="186" spans="1:4" x14ac:dyDescent="0.25">
      <c r="A186" t="s">
        <v>203</v>
      </c>
      <c r="B186">
        <v>2021</v>
      </c>
      <c r="C186">
        <v>120</v>
      </c>
      <c r="D186" s="16">
        <v>0.06</v>
      </c>
    </row>
    <row r="187" spans="1:4" x14ac:dyDescent="0.25">
      <c r="A187" t="s">
        <v>210</v>
      </c>
      <c r="B187">
        <v>2022</v>
      </c>
      <c r="C187">
        <v>430</v>
      </c>
      <c r="D187" s="16">
        <v>0.215</v>
      </c>
    </row>
    <row r="188" spans="1:4" x14ac:dyDescent="0.25">
      <c r="A188" t="s">
        <v>213</v>
      </c>
      <c r="B188">
        <v>2021</v>
      </c>
      <c r="C188">
        <v>200</v>
      </c>
      <c r="D188" s="16">
        <v>0.4</v>
      </c>
    </row>
    <row r="189" spans="1:4" x14ac:dyDescent="0.25">
      <c r="A189" t="s">
        <v>214</v>
      </c>
      <c r="B189">
        <v>2021</v>
      </c>
      <c r="C189">
        <v>236</v>
      </c>
      <c r="D189" s="16">
        <v>0.19666666666666599</v>
      </c>
    </row>
    <row r="190" spans="1:4" x14ac:dyDescent="0.25">
      <c r="A190" t="s">
        <v>218</v>
      </c>
      <c r="B190">
        <v>2021</v>
      </c>
      <c r="C190">
        <v>120</v>
      </c>
      <c r="D190" s="16">
        <v>0.2</v>
      </c>
    </row>
    <row r="191" spans="1:4" x14ac:dyDescent="0.25">
      <c r="A191" t="s">
        <v>225</v>
      </c>
      <c r="B191">
        <v>2022</v>
      </c>
      <c r="C191">
        <v>100</v>
      </c>
      <c r="D191" s="16">
        <v>5.8823529411764698E-2</v>
      </c>
    </row>
    <row r="192" spans="1:4" x14ac:dyDescent="0.25">
      <c r="A192" t="s">
        <v>228</v>
      </c>
      <c r="B192">
        <v>2021</v>
      </c>
      <c r="C192">
        <v>120</v>
      </c>
      <c r="D192" s="16">
        <v>0.12</v>
      </c>
    </row>
    <row r="193" spans="1:4" x14ac:dyDescent="0.25">
      <c r="A193" t="s">
        <v>235</v>
      </c>
      <c r="B193">
        <v>2021</v>
      </c>
      <c r="C193">
        <v>40</v>
      </c>
      <c r="D193" s="16">
        <v>0.02</v>
      </c>
    </row>
    <row r="194" spans="1:4" x14ac:dyDescent="0.25">
      <c r="A194" t="s">
        <v>238</v>
      </c>
      <c r="B194">
        <v>2021</v>
      </c>
      <c r="C194">
        <v>62</v>
      </c>
      <c r="D194" s="16">
        <v>6.2E-2</v>
      </c>
    </row>
    <row r="195" spans="1:4" x14ac:dyDescent="0.25">
      <c r="A195" t="s">
        <v>238</v>
      </c>
      <c r="B195">
        <v>2022</v>
      </c>
      <c r="C195">
        <v>230</v>
      </c>
      <c r="D195" s="16">
        <v>0.23</v>
      </c>
    </row>
    <row r="196" spans="1:4" x14ac:dyDescent="0.25">
      <c r="A196" t="s">
        <v>241</v>
      </c>
      <c r="B196">
        <v>2022</v>
      </c>
      <c r="C196">
        <v>240</v>
      </c>
      <c r="D196" s="16">
        <v>0.24</v>
      </c>
    </row>
    <row r="197" spans="1:4" x14ac:dyDescent="0.25">
      <c r="A197" t="s">
        <v>245</v>
      </c>
      <c r="B197">
        <v>2022</v>
      </c>
      <c r="C197">
        <v>650</v>
      </c>
      <c r="D197" s="16">
        <v>1</v>
      </c>
    </row>
    <row r="198" spans="1:4" x14ac:dyDescent="0.25">
      <c r="A198" t="s">
        <v>252</v>
      </c>
      <c r="B198">
        <v>2022</v>
      </c>
      <c r="C198">
        <v>150</v>
      </c>
      <c r="D198" s="16">
        <v>8.6705202312138699E-2</v>
      </c>
    </row>
    <row r="199" spans="1:4" x14ac:dyDescent="0.25">
      <c r="A199" t="s">
        <v>256</v>
      </c>
      <c r="B199">
        <v>2022</v>
      </c>
      <c r="C199">
        <v>212</v>
      </c>
      <c r="D199" s="16">
        <v>0.21199999999999999</v>
      </c>
    </row>
    <row r="200" spans="1:4" x14ac:dyDescent="0.25">
      <c r="A200" t="s">
        <v>259</v>
      </c>
      <c r="B200">
        <v>2022</v>
      </c>
      <c r="C200">
        <v>62</v>
      </c>
      <c r="D200" s="16">
        <v>6.2E-2</v>
      </c>
    </row>
    <row r="201" spans="1:4" x14ac:dyDescent="0.25">
      <c r="A201" t="s">
        <v>262</v>
      </c>
      <c r="B201">
        <v>2021</v>
      </c>
      <c r="C201">
        <v>50</v>
      </c>
      <c r="D201" s="16">
        <v>1.7391304347826E-2</v>
      </c>
    </row>
    <row r="202" spans="1:4" x14ac:dyDescent="0.25">
      <c r="A202" t="s">
        <v>262</v>
      </c>
      <c r="B202">
        <v>2022</v>
      </c>
      <c r="C202">
        <v>60</v>
      </c>
      <c r="D202" s="16">
        <v>2.0869565217391299E-2</v>
      </c>
    </row>
    <row r="203" spans="1:4" x14ac:dyDescent="0.25">
      <c r="A203" t="s">
        <v>265</v>
      </c>
      <c r="B203">
        <v>2022</v>
      </c>
      <c r="C203">
        <v>50</v>
      </c>
      <c r="D203" s="16">
        <v>0.05</v>
      </c>
    </row>
    <row r="204" spans="1:4" x14ac:dyDescent="0.25">
      <c r="A204" t="s">
        <v>274</v>
      </c>
      <c r="B204">
        <v>2020</v>
      </c>
      <c r="C204">
        <v>1125</v>
      </c>
      <c r="D204" s="16">
        <v>0.28125</v>
      </c>
    </row>
    <row r="205" spans="1:4" x14ac:dyDescent="0.25">
      <c r="A205" t="s">
        <v>278</v>
      </c>
      <c r="B205">
        <v>2020</v>
      </c>
      <c r="C205">
        <v>500</v>
      </c>
      <c r="D205" s="16">
        <v>0.5</v>
      </c>
    </row>
    <row r="206" spans="1:4" x14ac:dyDescent="0.25">
      <c r="A206" t="s">
        <v>278</v>
      </c>
      <c r="B206">
        <v>2021</v>
      </c>
      <c r="C206">
        <v>155</v>
      </c>
      <c r="D206" s="16">
        <v>0.155</v>
      </c>
    </row>
    <row r="207" spans="1:4" x14ac:dyDescent="0.25">
      <c r="A207" t="s">
        <v>283</v>
      </c>
      <c r="B207">
        <v>2020</v>
      </c>
      <c r="C207">
        <v>250</v>
      </c>
      <c r="D207" s="16">
        <v>0.25</v>
      </c>
    </row>
    <row r="208" spans="1:4" x14ac:dyDescent="0.25">
      <c r="A208" t="s">
        <v>283</v>
      </c>
      <c r="B208">
        <v>2022</v>
      </c>
      <c r="C208">
        <v>900</v>
      </c>
      <c r="D208" s="16">
        <v>0.9</v>
      </c>
    </row>
    <row r="209" spans="1:4" x14ac:dyDescent="0.25">
      <c r="A209" t="s">
        <v>287</v>
      </c>
      <c r="B209">
        <v>2020</v>
      </c>
      <c r="C209">
        <v>425</v>
      </c>
      <c r="D209" s="16">
        <v>0.25</v>
      </c>
    </row>
    <row r="210" spans="1:4" x14ac:dyDescent="0.25">
      <c r="A210" t="s">
        <v>287</v>
      </c>
      <c r="B210">
        <v>2022</v>
      </c>
      <c r="C210">
        <v>800</v>
      </c>
      <c r="D210" s="16">
        <v>0.47058823529411697</v>
      </c>
    </row>
    <row r="211" spans="1:4" x14ac:dyDescent="0.25">
      <c r="A211" t="s">
        <v>414</v>
      </c>
      <c r="B211">
        <v>2020</v>
      </c>
      <c r="C211">
        <v>140</v>
      </c>
      <c r="D211" s="16">
        <v>7.0000000000000007E-2</v>
      </c>
    </row>
    <row r="212" spans="1:4" x14ac:dyDescent="0.25">
      <c r="A212" t="s">
        <v>414</v>
      </c>
      <c r="B212">
        <v>2021</v>
      </c>
      <c r="C212">
        <v>463</v>
      </c>
      <c r="D212" s="16">
        <v>0.23150000000000001</v>
      </c>
    </row>
    <row r="213" spans="1:4" x14ac:dyDescent="0.25">
      <c r="A213" t="s">
        <v>417</v>
      </c>
      <c r="B213">
        <v>2020</v>
      </c>
      <c r="C213">
        <v>105</v>
      </c>
      <c r="D213" s="16">
        <v>5.2499999999999998E-2</v>
      </c>
    </row>
    <row r="214" spans="1:4" x14ac:dyDescent="0.25">
      <c r="A214" t="s">
        <v>421</v>
      </c>
      <c r="B214">
        <v>2022</v>
      </c>
      <c r="C214">
        <v>2800</v>
      </c>
      <c r="D214" s="16">
        <v>0.35</v>
      </c>
    </row>
    <row r="215" spans="1:4" x14ac:dyDescent="0.25">
      <c r="A215" t="s">
        <v>428</v>
      </c>
      <c r="B215">
        <v>2021</v>
      </c>
      <c r="C215">
        <v>1438</v>
      </c>
      <c r="D215" s="16">
        <v>0.97889720898570398</v>
      </c>
    </row>
    <row r="216" spans="1:4" x14ac:dyDescent="0.25">
      <c r="A216" t="s">
        <v>432</v>
      </c>
      <c r="B216">
        <v>2021</v>
      </c>
      <c r="C216">
        <v>700</v>
      </c>
      <c r="D216" s="16">
        <v>0.7</v>
      </c>
    </row>
    <row r="217" spans="1:4" x14ac:dyDescent="0.25">
      <c r="A217" t="s">
        <v>435</v>
      </c>
      <c r="B217">
        <v>2021</v>
      </c>
      <c r="C217">
        <v>982</v>
      </c>
      <c r="D217" s="16">
        <v>0.37056603773584901</v>
      </c>
    </row>
    <row r="218" spans="1:4" x14ac:dyDescent="0.25">
      <c r="A218" t="s">
        <v>446</v>
      </c>
      <c r="B218">
        <v>2021</v>
      </c>
      <c r="C218">
        <v>1000</v>
      </c>
      <c r="D218" s="16">
        <v>0.5</v>
      </c>
    </row>
    <row r="219" spans="1:4" x14ac:dyDescent="0.25">
      <c r="A219" t="s">
        <v>450</v>
      </c>
      <c r="B219">
        <v>2021</v>
      </c>
      <c r="C219">
        <v>918</v>
      </c>
      <c r="D219" s="16">
        <v>0.32041884816753902</v>
      </c>
    </row>
    <row r="220" spans="1:4" x14ac:dyDescent="0.25">
      <c r="A220" t="s">
        <v>453</v>
      </c>
      <c r="B220">
        <v>2021</v>
      </c>
      <c r="C220">
        <v>4511</v>
      </c>
      <c r="D220" s="16">
        <v>0.864176245210727</v>
      </c>
    </row>
    <row r="221" spans="1:4" x14ac:dyDescent="0.25">
      <c r="A221" t="s">
        <v>457</v>
      </c>
      <c r="B221">
        <v>2021</v>
      </c>
      <c r="C221">
        <v>1094</v>
      </c>
      <c r="D221" s="16">
        <v>0.164116411641164</v>
      </c>
    </row>
    <row r="222" spans="1:4" x14ac:dyDescent="0.25">
      <c r="A222" t="s">
        <v>464</v>
      </c>
      <c r="B222">
        <v>2020</v>
      </c>
      <c r="C222">
        <v>50</v>
      </c>
      <c r="D222" s="16">
        <v>7.3659398939304602E-3</v>
      </c>
    </row>
    <row r="223" spans="1:4" x14ac:dyDescent="0.25">
      <c r="A223" t="s">
        <v>468</v>
      </c>
      <c r="B223">
        <v>2020</v>
      </c>
      <c r="C223">
        <v>35</v>
      </c>
      <c r="D223" s="16">
        <v>3.5000000000000003E-2</v>
      </c>
    </row>
    <row r="224" spans="1:4" x14ac:dyDescent="0.25">
      <c r="A224" t="s">
        <v>468</v>
      </c>
      <c r="B224">
        <v>2021</v>
      </c>
      <c r="C224">
        <v>211</v>
      </c>
      <c r="D224" s="16">
        <v>0.21099999999999999</v>
      </c>
    </row>
    <row r="225" spans="1:4" x14ac:dyDescent="0.25">
      <c r="A225" t="s">
        <v>515</v>
      </c>
      <c r="B225">
        <v>2021</v>
      </c>
      <c r="C225">
        <v>4000</v>
      </c>
      <c r="D225" s="16">
        <v>0.72727272727272696</v>
      </c>
    </row>
    <row r="226" spans="1:4" x14ac:dyDescent="0.25">
      <c r="A226" t="s">
        <v>541</v>
      </c>
      <c r="B226">
        <v>2021</v>
      </c>
      <c r="C226">
        <v>2714</v>
      </c>
      <c r="D226" s="16">
        <v>0.22616666666666599</v>
      </c>
    </row>
    <row r="227" spans="1:4" x14ac:dyDescent="0.25">
      <c r="A227" t="s">
        <v>547</v>
      </c>
      <c r="B227">
        <v>2021</v>
      </c>
      <c r="C227">
        <v>1320</v>
      </c>
      <c r="D227" s="16">
        <v>0.4</v>
      </c>
    </row>
    <row r="228" spans="1:4" x14ac:dyDescent="0.25">
      <c r="A228" t="s">
        <v>563</v>
      </c>
      <c r="B228">
        <v>2021</v>
      </c>
      <c r="C228">
        <v>1300</v>
      </c>
      <c r="D228" s="16">
        <v>0.141304347826086</v>
      </c>
    </row>
    <row r="229" spans="1:4" x14ac:dyDescent="0.25">
      <c r="A229" t="s">
        <v>1124</v>
      </c>
      <c r="B229">
        <v>2021</v>
      </c>
      <c r="C229">
        <v>600</v>
      </c>
      <c r="D229" s="16">
        <v>0.66666666666666596</v>
      </c>
    </row>
    <row r="230" spans="1:4" x14ac:dyDescent="0.25">
      <c r="A230" t="s">
        <v>1124</v>
      </c>
      <c r="B230">
        <v>2022</v>
      </c>
      <c r="C230">
        <v>252</v>
      </c>
      <c r="D230" s="16">
        <v>0.28000000000000003</v>
      </c>
    </row>
    <row r="231" spans="1:4" x14ac:dyDescent="0.25">
      <c r="A231" t="s">
        <v>1167</v>
      </c>
      <c r="B231">
        <v>2020</v>
      </c>
      <c r="C231">
        <v>291</v>
      </c>
      <c r="D231" s="16">
        <v>0.88181818181818095</v>
      </c>
    </row>
    <row r="232" spans="1:4" x14ac:dyDescent="0.25">
      <c r="A232" t="s">
        <v>1167</v>
      </c>
      <c r="B232">
        <v>2022</v>
      </c>
      <c r="C232">
        <v>126</v>
      </c>
      <c r="D232" s="16">
        <v>0.381818181818181</v>
      </c>
    </row>
    <row r="233" spans="1:4" x14ac:dyDescent="0.25">
      <c r="A233" t="s">
        <v>1202</v>
      </c>
      <c r="B233">
        <v>2020</v>
      </c>
      <c r="C233">
        <v>220</v>
      </c>
      <c r="D233" s="16">
        <v>0.2</v>
      </c>
    </row>
    <row r="234" spans="1:4" x14ac:dyDescent="0.25">
      <c r="A234" t="s">
        <v>1202</v>
      </c>
      <c r="B234">
        <v>2022</v>
      </c>
      <c r="C234">
        <v>387</v>
      </c>
      <c r="D234" s="16">
        <v>0.35181818181818098</v>
      </c>
    </row>
    <row r="235" spans="1:4" x14ac:dyDescent="0.25">
      <c r="A235" t="s">
        <v>1203</v>
      </c>
      <c r="B235">
        <v>2022</v>
      </c>
      <c r="C235">
        <v>62</v>
      </c>
      <c r="D235" s="16">
        <v>0.18787878787878701</v>
      </c>
    </row>
    <row r="236" spans="1:4" x14ac:dyDescent="0.25">
      <c r="A236" t="s">
        <v>1208</v>
      </c>
      <c r="B236">
        <v>2020</v>
      </c>
      <c r="C236">
        <v>310</v>
      </c>
      <c r="D236" s="16">
        <v>0.35227272727272702</v>
      </c>
    </row>
    <row r="237" spans="1:4" x14ac:dyDescent="0.25">
      <c r="A237" t="s">
        <v>1113</v>
      </c>
      <c r="B237">
        <v>2021</v>
      </c>
      <c r="C237">
        <v>370</v>
      </c>
      <c r="D237" s="16">
        <v>0.33636363636363598</v>
      </c>
    </row>
    <row r="238" spans="1:4" x14ac:dyDescent="0.25">
      <c r="A238" t="s">
        <v>1117</v>
      </c>
      <c r="B238">
        <v>2022</v>
      </c>
      <c r="C238">
        <v>861</v>
      </c>
      <c r="D238" s="16">
        <v>0.47700831024930701</v>
      </c>
    </row>
    <row r="239" spans="1:4" x14ac:dyDescent="0.25">
      <c r="A239" t="s">
        <v>1121</v>
      </c>
      <c r="B239">
        <v>2022</v>
      </c>
      <c r="C239">
        <v>84</v>
      </c>
      <c r="D239" s="16">
        <v>7.63636363636363E-2</v>
      </c>
    </row>
    <row r="240" spans="1:4" x14ac:dyDescent="0.25">
      <c r="A240" t="s">
        <v>1126</v>
      </c>
      <c r="B240">
        <v>2021</v>
      </c>
      <c r="C240">
        <v>15</v>
      </c>
      <c r="D240" s="16">
        <v>9.74025974025974E-3</v>
      </c>
    </row>
    <row r="241" spans="1:4" x14ac:dyDescent="0.25">
      <c r="A241" t="s">
        <v>1126</v>
      </c>
      <c r="B241">
        <v>2022</v>
      </c>
      <c r="C241">
        <v>185</v>
      </c>
      <c r="D241" s="16">
        <v>0.12012987012987</v>
      </c>
    </row>
    <row r="242" spans="1:4" x14ac:dyDescent="0.25">
      <c r="A242" t="s">
        <v>1129</v>
      </c>
      <c r="B242">
        <v>2022</v>
      </c>
      <c r="C242">
        <v>210</v>
      </c>
      <c r="D242" s="16">
        <v>0.19090909090909</v>
      </c>
    </row>
    <row r="243" spans="1:4" x14ac:dyDescent="0.25">
      <c r="A243" t="s">
        <v>1133</v>
      </c>
      <c r="B243">
        <v>2022</v>
      </c>
      <c r="C243">
        <v>223</v>
      </c>
      <c r="D243" s="16">
        <v>0.20272727272727201</v>
      </c>
    </row>
    <row r="244" spans="1:4" x14ac:dyDescent="0.25">
      <c r="A244" t="s">
        <v>1140</v>
      </c>
      <c r="B244">
        <v>2022</v>
      </c>
      <c r="C244">
        <v>420</v>
      </c>
      <c r="D244" s="16">
        <v>0.25454545454545402</v>
      </c>
    </row>
    <row r="245" spans="1:4" x14ac:dyDescent="0.25">
      <c r="A245" t="s">
        <v>1144</v>
      </c>
      <c r="B245">
        <v>2021</v>
      </c>
      <c r="C245">
        <v>1210</v>
      </c>
      <c r="D245" s="16">
        <v>1</v>
      </c>
    </row>
    <row r="246" spans="1:4" x14ac:dyDescent="0.25">
      <c r="A246" t="s">
        <v>1144</v>
      </c>
      <c r="B246">
        <v>2022</v>
      </c>
      <c r="C246">
        <v>882</v>
      </c>
      <c r="D246" s="16">
        <v>0.72892561983471005</v>
      </c>
    </row>
    <row r="247" spans="1:4" x14ac:dyDescent="0.25">
      <c r="A247" t="s">
        <v>1148</v>
      </c>
      <c r="B247">
        <v>2021</v>
      </c>
      <c r="C247">
        <v>421</v>
      </c>
      <c r="D247" s="16">
        <v>0.38272727272727203</v>
      </c>
    </row>
    <row r="248" spans="1:4" x14ac:dyDescent="0.25">
      <c r="A248" t="s">
        <v>1148</v>
      </c>
      <c r="B248">
        <v>2022</v>
      </c>
      <c r="C248">
        <v>231</v>
      </c>
      <c r="D248" s="16">
        <v>0.21</v>
      </c>
    </row>
    <row r="249" spans="1:4" x14ac:dyDescent="0.25">
      <c r="A249" t="s">
        <v>1152</v>
      </c>
      <c r="B249">
        <v>2021</v>
      </c>
      <c r="C249">
        <v>160</v>
      </c>
      <c r="D249" s="16">
        <v>0.145454545454545</v>
      </c>
    </row>
    <row r="250" spans="1:4" x14ac:dyDescent="0.25">
      <c r="A250" t="s">
        <v>1152</v>
      </c>
      <c r="B250">
        <v>2022</v>
      </c>
      <c r="C250">
        <v>588</v>
      </c>
      <c r="D250" s="16">
        <v>0.53454545454545399</v>
      </c>
    </row>
    <row r="251" spans="1:4" x14ac:dyDescent="0.25">
      <c r="A251" t="s">
        <v>1156</v>
      </c>
      <c r="B251">
        <v>2022</v>
      </c>
      <c r="C251">
        <v>231</v>
      </c>
      <c r="D251" s="16">
        <v>0.26250000000000001</v>
      </c>
    </row>
    <row r="252" spans="1:4" x14ac:dyDescent="0.25">
      <c r="A252" t="s">
        <v>1160</v>
      </c>
      <c r="B252">
        <v>2022</v>
      </c>
      <c r="C252">
        <v>504</v>
      </c>
      <c r="D252" s="16">
        <v>0.45818181818181802</v>
      </c>
    </row>
    <row r="253" spans="1:4" x14ac:dyDescent="0.25">
      <c r="A253" t="s">
        <v>1164</v>
      </c>
      <c r="B253">
        <v>2022</v>
      </c>
      <c r="C253">
        <v>105</v>
      </c>
      <c r="D253" s="16">
        <v>8.6776859504132206E-2</v>
      </c>
    </row>
    <row r="254" spans="1:4" x14ac:dyDescent="0.25">
      <c r="A254" t="s">
        <v>1168</v>
      </c>
      <c r="B254">
        <v>2022</v>
      </c>
      <c r="C254">
        <v>315</v>
      </c>
      <c r="D254" s="16">
        <v>0.28636363636363599</v>
      </c>
    </row>
    <row r="255" spans="1:4" x14ac:dyDescent="0.25">
      <c r="A255" t="s">
        <v>1171</v>
      </c>
      <c r="B255">
        <v>2022</v>
      </c>
      <c r="C255">
        <v>190</v>
      </c>
      <c r="D255" s="16">
        <v>0.34545454545454501</v>
      </c>
    </row>
    <row r="256" spans="1:4" x14ac:dyDescent="0.25">
      <c r="A256" t="s">
        <v>1174</v>
      </c>
      <c r="B256">
        <v>2022</v>
      </c>
      <c r="C256">
        <v>125</v>
      </c>
      <c r="D256" s="16">
        <v>0.11363636363636299</v>
      </c>
    </row>
    <row r="257" spans="1:4" x14ac:dyDescent="0.25">
      <c r="A257" t="s">
        <v>1175</v>
      </c>
      <c r="B257">
        <v>2021</v>
      </c>
      <c r="C257">
        <v>480</v>
      </c>
      <c r="D257" s="16">
        <v>0.43636363636363601</v>
      </c>
    </row>
    <row r="258" spans="1:4" x14ac:dyDescent="0.25">
      <c r="A258" t="s">
        <v>1175</v>
      </c>
      <c r="B258">
        <v>2022</v>
      </c>
      <c r="C258">
        <v>189</v>
      </c>
      <c r="D258" s="16">
        <v>0.17181818181818101</v>
      </c>
    </row>
    <row r="259" spans="1:4" x14ac:dyDescent="0.25">
      <c r="A259" t="s">
        <v>1179</v>
      </c>
      <c r="B259">
        <v>2022</v>
      </c>
      <c r="C259">
        <v>388</v>
      </c>
      <c r="D259" s="16">
        <v>0.352727272727272</v>
      </c>
    </row>
    <row r="260" spans="1:4" x14ac:dyDescent="0.25">
      <c r="A260" t="s">
        <v>1182</v>
      </c>
      <c r="B260">
        <v>2021</v>
      </c>
      <c r="C260">
        <v>362</v>
      </c>
      <c r="D260" s="16">
        <v>0.32909090909090899</v>
      </c>
    </row>
    <row r="261" spans="1:4" x14ac:dyDescent="0.25">
      <c r="A261" t="s">
        <v>1182</v>
      </c>
      <c r="B261">
        <v>2022</v>
      </c>
      <c r="C261">
        <v>609</v>
      </c>
      <c r="D261" s="16">
        <v>0.55363636363636304</v>
      </c>
    </row>
    <row r="262" spans="1:4" x14ac:dyDescent="0.25">
      <c r="A262" t="s">
        <v>1186</v>
      </c>
      <c r="B262">
        <v>2022</v>
      </c>
      <c r="C262">
        <v>210</v>
      </c>
      <c r="D262" s="16">
        <v>0.19090909090909</v>
      </c>
    </row>
    <row r="263" spans="1:4" x14ac:dyDescent="0.25">
      <c r="A263" t="s">
        <v>1190</v>
      </c>
      <c r="B263">
        <v>2022</v>
      </c>
      <c r="C263">
        <v>126</v>
      </c>
      <c r="D263" s="16">
        <v>0.11454545454545401</v>
      </c>
    </row>
    <row r="264" spans="1:4" x14ac:dyDescent="0.25">
      <c r="A264" t="s">
        <v>1194</v>
      </c>
      <c r="B264">
        <v>2021</v>
      </c>
      <c r="C264">
        <v>177</v>
      </c>
      <c r="D264" s="16">
        <v>0.154585152838427</v>
      </c>
    </row>
    <row r="265" spans="1:4" x14ac:dyDescent="0.25">
      <c r="A265" t="s">
        <v>1198</v>
      </c>
      <c r="B265">
        <v>2022</v>
      </c>
      <c r="C265">
        <v>273</v>
      </c>
      <c r="D265" s="16">
        <v>0.248181818181818</v>
      </c>
    </row>
    <row r="266" spans="1:4" x14ac:dyDescent="0.25">
      <c r="A266" t="s">
        <v>1204</v>
      </c>
      <c r="B266">
        <v>2021</v>
      </c>
      <c r="C266">
        <v>400</v>
      </c>
      <c r="D266" s="16">
        <v>0.20202020202020199</v>
      </c>
    </row>
    <row r="267" spans="1:4" x14ac:dyDescent="0.25">
      <c r="A267" t="s">
        <v>1204</v>
      </c>
      <c r="B267">
        <v>2022</v>
      </c>
      <c r="C267">
        <v>168</v>
      </c>
      <c r="D267" s="16">
        <v>8.4848484848484798E-2</v>
      </c>
    </row>
    <row r="268" spans="1:4" x14ac:dyDescent="0.25">
      <c r="A268" t="s">
        <v>1209</v>
      </c>
      <c r="B268">
        <v>2022</v>
      </c>
      <c r="C268">
        <v>441</v>
      </c>
      <c r="D268" s="16">
        <v>0.33409090909090899</v>
      </c>
    </row>
    <row r="269" spans="1:4" x14ac:dyDescent="0.25">
      <c r="A269" t="s">
        <v>1213</v>
      </c>
      <c r="B269">
        <v>2022</v>
      </c>
      <c r="C269">
        <v>206</v>
      </c>
      <c r="D269" s="16">
        <v>0.18727272727272701</v>
      </c>
    </row>
    <row r="270" spans="1:4" x14ac:dyDescent="0.25">
      <c r="A270" t="s">
        <v>1220</v>
      </c>
      <c r="B270">
        <v>2022</v>
      </c>
      <c r="C270">
        <v>748</v>
      </c>
      <c r="D270" s="16">
        <v>0.206629834254143</v>
      </c>
    </row>
    <row r="271" spans="1:4" x14ac:dyDescent="0.25">
      <c r="A271" t="s">
        <v>1224</v>
      </c>
      <c r="B271">
        <v>2022</v>
      </c>
      <c r="C271">
        <v>378</v>
      </c>
      <c r="D271" s="16">
        <v>0.34363636363636302</v>
      </c>
    </row>
    <row r="272" spans="1:4" x14ac:dyDescent="0.25">
      <c r="A272" t="s">
        <v>1232</v>
      </c>
      <c r="B272">
        <v>2022</v>
      </c>
      <c r="C272">
        <v>63</v>
      </c>
      <c r="D272" s="16">
        <v>5.7272727272727197E-2</v>
      </c>
    </row>
    <row r="273" spans="1:4" x14ac:dyDescent="0.25">
      <c r="A273" t="s">
        <v>1235</v>
      </c>
      <c r="B273">
        <v>2021</v>
      </c>
      <c r="C273">
        <v>40</v>
      </c>
      <c r="D273" s="16">
        <v>6.0606060606060601E-2</v>
      </c>
    </row>
    <row r="274" spans="1:4" x14ac:dyDescent="0.25">
      <c r="A274" t="s">
        <v>1235</v>
      </c>
      <c r="B274">
        <v>2022</v>
      </c>
      <c r="C274">
        <v>16</v>
      </c>
      <c r="D274" s="16">
        <v>2.4242424242424201E-2</v>
      </c>
    </row>
    <row r="275" spans="1:4" x14ac:dyDescent="0.25">
      <c r="A275" t="s">
        <v>291</v>
      </c>
      <c r="B275">
        <v>2020</v>
      </c>
      <c r="C275">
        <v>1500</v>
      </c>
      <c r="D275" s="16">
        <v>0.33333333333333298</v>
      </c>
    </row>
    <row r="276" spans="1:4" x14ac:dyDescent="0.25">
      <c r="A276" t="s">
        <v>295</v>
      </c>
      <c r="B276">
        <v>2022</v>
      </c>
      <c r="C276">
        <v>150</v>
      </c>
      <c r="D276" s="16">
        <v>0.15</v>
      </c>
    </row>
    <row r="277" spans="1:4" x14ac:dyDescent="0.25">
      <c r="A277" t="s">
        <v>299</v>
      </c>
      <c r="B277">
        <v>2020</v>
      </c>
      <c r="C277">
        <v>500</v>
      </c>
      <c r="D277" s="16">
        <v>0.25</v>
      </c>
    </row>
    <row r="278" spans="1:4" x14ac:dyDescent="0.25">
      <c r="A278" t="s">
        <v>299</v>
      </c>
      <c r="B278">
        <v>2021</v>
      </c>
      <c r="C278">
        <v>70</v>
      </c>
      <c r="D278" s="16">
        <v>3.5000000000000003E-2</v>
      </c>
    </row>
    <row r="279" spans="1:4" x14ac:dyDescent="0.25">
      <c r="A279" t="s">
        <v>308</v>
      </c>
      <c r="B279">
        <v>2022</v>
      </c>
      <c r="C279">
        <v>100</v>
      </c>
      <c r="D279" s="16">
        <v>0.1</v>
      </c>
    </row>
    <row r="280" spans="1:4" x14ac:dyDescent="0.25">
      <c r="A280" t="s">
        <v>472</v>
      </c>
      <c r="B280">
        <v>2022</v>
      </c>
      <c r="C280">
        <v>500</v>
      </c>
      <c r="D280" s="16">
        <v>0.25</v>
      </c>
    </row>
    <row r="281" spans="1:4" x14ac:dyDescent="0.25">
      <c r="A281" t="s">
        <v>495</v>
      </c>
      <c r="B281">
        <v>2022</v>
      </c>
      <c r="C281">
        <v>200</v>
      </c>
      <c r="D281" s="16">
        <v>5.2700922266139601E-2</v>
      </c>
    </row>
    <row r="282" spans="1:4" x14ac:dyDescent="0.25">
      <c r="A282" t="s">
        <v>471</v>
      </c>
      <c r="B282">
        <v>2020</v>
      </c>
      <c r="C282">
        <v>53</v>
      </c>
      <c r="D282" s="16">
        <v>1.3086419753086401E-2</v>
      </c>
    </row>
    <row r="283" spans="1:4" x14ac:dyDescent="0.25">
      <c r="A283" t="s">
        <v>479</v>
      </c>
      <c r="B283">
        <v>2021</v>
      </c>
      <c r="C283">
        <v>1300</v>
      </c>
      <c r="D283" s="16">
        <v>0.65</v>
      </c>
    </row>
    <row r="284" spans="1:4" x14ac:dyDescent="0.25">
      <c r="A284" t="s">
        <v>480</v>
      </c>
      <c r="B284">
        <v>2022</v>
      </c>
      <c r="C284">
        <v>700</v>
      </c>
      <c r="D284" s="16">
        <v>0.26415094339622602</v>
      </c>
    </row>
    <row r="285" spans="1:4" x14ac:dyDescent="0.25">
      <c r="A285" t="s">
        <v>473</v>
      </c>
      <c r="B285">
        <v>2022</v>
      </c>
      <c r="C285">
        <v>11473</v>
      </c>
      <c r="D285" s="16">
        <v>0.63738888888888801</v>
      </c>
    </row>
    <row r="286" spans="1:4" x14ac:dyDescent="0.25">
      <c r="A286" t="s">
        <v>481</v>
      </c>
      <c r="B286">
        <v>2022</v>
      </c>
      <c r="C286">
        <v>300</v>
      </c>
      <c r="D286" s="16">
        <v>0.3</v>
      </c>
    </row>
    <row r="287" spans="1:4" x14ac:dyDescent="0.25">
      <c r="A287" t="s">
        <v>484</v>
      </c>
      <c r="B287">
        <v>2022</v>
      </c>
      <c r="C287">
        <v>250</v>
      </c>
      <c r="D287" s="16">
        <v>0.25</v>
      </c>
    </row>
    <row r="288" spans="1:4" x14ac:dyDescent="0.25">
      <c r="A288" t="s">
        <v>488</v>
      </c>
      <c r="B288">
        <v>2022</v>
      </c>
      <c r="C288">
        <v>25</v>
      </c>
      <c r="D288" s="16">
        <v>8.5999312005503904E-3</v>
      </c>
    </row>
    <row r="289" spans="1:4" x14ac:dyDescent="0.25">
      <c r="A289" t="s">
        <v>492</v>
      </c>
      <c r="B289">
        <v>2022</v>
      </c>
      <c r="C289">
        <v>375</v>
      </c>
      <c r="D289" s="16">
        <v>0.25</v>
      </c>
    </row>
    <row r="290" spans="1:4" x14ac:dyDescent="0.25">
      <c r="A290" t="s">
        <v>530</v>
      </c>
      <c r="B290">
        <v>2022</v>
      </c>
      <c r="C290">
        <v>1000</v>
      </c>
      <c r="D290" s="16">
        <v>0.36363636363636298</v>
      </c>
    </row>
    <row r="291" spans="1:4" x14ac:dyDescent="0.25">
      <c r="A291" t="s">
        <v>569</v>
      </c>
      <c r="B291">
        <v>2022</v>
      </c>
      <c r="C291">
        <v>1802</v>
      </c>
      <c r="D291" s="16">
        <v>0.65527272727272701</v>
      </c>
    </row>
    <row r="292" spans="1:4" x14ac:dyDescent="0.25">
      <c r="A292" t="s">
        <v>572</v>
      </c>
      <c r="B292">
        <v>2022</v>
      </c>
      <c r="C292">
        <v>2300</v>
      </c>
      <c r="D292" s="16">
        <v>0.83636363636363598</v>
      </c>
    </row>
    <row r="293" spans="1:4" x14ac:dyDescent="0.25">
      <c r="A293" t="s">
        <v>575</v>
      </c>
      <c r="B293">
        <v>2022</v>
      </c>
      <c r="C293">
        <v>1450</v>
      </c>
      <c r="D293" s="16">
        <v>0.65909090909090895</v>
      </c>
    </row>
    <row r="294" spans="1:4" x14ac:dyDescent="0.25">
      <c r="A294" t="s">
        <v>1260</v>
      </c>
      <c r="B294">
        <v>2022</v>
      </c>
      <c r="C294">
        <v>63</v>
      </c>
      <c r="D294" s="16">
        <v>5.7272727272727197E-2</v>
      </c>
    </row>
    <row r="295" spans="1:4" x14ac:dyDescent="0.25">
      <c r="A295" t="s">
        <v>1264</v>
      </c>
      <c r="B295">
        <v>2022</v>
      </c>
      <c r="C295">
        <v>126</v>
      </c>
      <c r="D295" s="16">
        <v>5.7272727272727197E-2</v>
      </c>
    </row>
    <row r="296" spans="1:4" x14ac:dyDescent="0.25">
      <c r="A296" t="s">
        <v>1272</v>
      </c>
      <c r="B296">
        <v>2022</v>
      </c>
      <c r="C296">
        <v>63</v>
      </c>
      <c r="D296" s="16">
        <v>5.7272727272727197E-2</v>
      </c>
    </row>
    <row r="297" spans="1:4" x14ac:dyDescent="0.25">
      <c r="A297" t="s">
        <v>589</v>
      </c>
      <c r="B297">
        <v>2022</v>
      </c>
      <c r="C297">
        <v>600</v>
      </c>
      <c r="D297" s="16">
        <v>0.218181818181818</v>
      </c>
    </row>
    <row r="298" spans="1:4" x14ac:dyDescent="0.25">
      <c r="A298" t="s">
        <v>592</v>
      </c>
      <c r="B298">
        <v>2022</v>
      </c>
      <c r="C298">
        <v>320</v>
      </c>
      <c r="D298" s="16">
        <v>0.116363636363636</v>
      </c>
    </row>
    <row r="299" spans="1:4" x14ac:dyDescent="0.25">
      <c r="A299" t="s">
        <v>602</v>
      </c>
      <c r="B299">
        <v>2022</v>
      </c>
      <c r="C299">
        <v>150</v>
      </c>
      <c r="D299" s="16">
        <v>5.4545454545454501E-2</v>
      </c>
    </row>
    <row r="300" spans="1:4" x14ac:dyDescent="0.25">
      <c r="A300" t="s">
        <v>605</v>
      </c>
      <c r="B300">
        <v>2022</v>
      </c>
      <c r="C300">
        <v>750</v>
      </c>
      <c r="D300" s="16">
        <v>0.27272727272727199</v>
      </c>
    </row>
    <row r="301" spans="1:4" x14ac:dyDescent="0.25">
      <c r="A301" t="s">
        <v>608</v>
      </c>
      <c r="B301">
        <v>2022</v>
      </c>
      <c r="C301">
        <v>141</v>
      </c>
      <c r="D301" s="16">
        <v>2.9898218829516501E-2</v>
      </c>
    </row>
    <row r="302" spans="1:4" x14ac:dyDescent="0.25">
      <c r="A302" t="s">
        <v>614</v>
      </c>
      <c r="B302">
        <v>2022</v>
      </c>
      <c r="C302">
        <v>691</v>
      </c>
      <c r="D302" s="16">
        <v>0.31409090909090898</v>
      </c>
    </row>
    <row r="303" spans="1:4" x14ac:dyDescent="0.25">
      <c r="A303" t="s">
        <v>617</v>
      </c>
      <c r="B303">
        <v>2022</v>
      </c>
      <c r="C303">
        <v>370</v>
      </c>
      <c r="D303" s="16">
        <v>0.134545454545454</v>
      </c>
    </row>
    <row r="304" spans="1:4" x14ac:dyDescent="0.25">
      <c r="A304" t="s">
        <v>1017</v>
      </c>
      <c r="B304">
        <v>2020</v>
      </c>
      <c r="C304">
        <v>210</v>
      </c>
      <c r="D304" s="16">
        <v>0.12727272727272701</v>
      </c>
    </row>
    <row r="305" spans="1:4" x14ac:dyDescent="0.25">
      <c r="A305" t="s">
        <v>1056</v>
      </c>
      <c r="B305">
        <v>2020</v>
      </c>
      <c r="C305">
        <v>50</v>
      </c>
      <c r="D305" s="16">
        <v>4.54545454545454E-2</v>
      </c>
    </row>
    <row r="306" spans="1:4" x14ac:dyDescent="0.25">
      <c r="A306" t="s">
        <v>1067</v>
      </c>
      <c r="B306">
        <v>2020</v>
      </c>
      <c r="C306">
        <v>63</v>
      </c>
      <c r="D306" s="16">
        <v>5.7272727272727197E-2</v>
      </c>
    </row>
    <row r="307" spans="1:4" x14ac:dyDescent="0.25">
      <c r="A307" t="s">
        <v>1076</v>
      </c>
      <c r="B307">
        <v>2020</v>
      </c>
      <c r="C307">
        <v>100</v>
      </c>
      <c r="D307" s="16">
        <v>0.133333333333333</v>
      </c>
    </row>
    <row r="308" spans="1:4" x14ac:dyDescent="0.25">
      <c r="A308" t="s">
        <v>1086</v>
      </c>
      <c r="B308">
        <v>2020</v>
      </c>
      <c r="C308">
        <v>300</v>
      </c>
      <c r="D308" s="16">
        <v>0.140845070422535</v>
      </c>
    </row>
    <row r="309" spans="1:4" x14ac:dyDescent="0.25">
      <c r="A309" t="s">
        <v>183</v>
      </c>
      <c r="B309">
        <v>2020</v>
      </c>
      <c r="C309">
        <v>400</v>
      </c>
      <c r="D309" s="16">
        <v>0.16666666666666599</v>
      </c>
    </row>
    <row r="310" spans="1:4" x14ac:dyDescent="0.25">
      <c r="A310" t="s">
        <v>435</v>
      </c>
      <c r="B310">
        <v>2020</v>
      </c>
      <c r="C310">
        <v>1325</v>
      </c>
      <c r="D310" s="16">
        <v>0.5</v>
      </c>
    </row>
    <row r="311" spans="1:4" x14ac:dyDescent="0.25">
      <c r="A311" t="s">
        <v>1124</v>
      </c>
      <c r="B311">
        <v>2020</v>
      </c>
      <c r="C311">
        <v>500</v>
      </c>
      <c r="D311" s="16">
        <v>0.55555555555555503</v>
      </c>
    </row>
    <row r="312" spans="1:4" x14ac:dyDescent="0.25">
      <c r="A312" t="s">
        <v>1203</v>
      </c>
      <c r="B312">
        <v>2020</v>
      </c>
      <c r="C312">
        <v>231</v>
      </c>
      <c r="D312" s="16">
        <v>0.7</v>
      </c>
    </row>
    <row r="313" spans="1:4" x14ac:dyDescent="0.25">
      <c r="A313" t="s">
        <v>1133</v>
      </c>
      <c r="B313">
        <v>2020</v>
      </c>
      <c r="C313">
        <v>189</v>
      </c>
      <c r="D313" s="16">
        <v>0.17181818181818101</v>
      </c>
    </row>
    <row r="314" spans="1:4" x14ac:dyDescent="0.25">
      <c r="A314" t="s">
        <v>1136</v>
      </c>
      <c r="B314">
        <v>2020</v>
      </c>
      <c r="C314">
        <v>504</v>
      </c>
      <c r="D314" s="16">
        <v>0.18</v>
      </c>
    </row>
    <row r="315" spans="1:4" x14ac:dyDescent="0.25">
      <c r="A315" t="s">
        <v>1152</v>
      </c>
      <c r="B315">
        <v>2020</v>
      </c>
      <c r="C315">
        <v>125</v>
      </c>
      <c r="D315" s="16">
        <v>0.11363636363636299</v>
      </c>
    </row>
    <row r="316" spans="1:4" x14ac:dyDescent="0.25">
      <c r="A316" t="s">
        <v>1156</v>
      </c>
      <c r="B316">
        <v>2020</v>
      </c>
      <c r="C316">
        <v>210</v>
      </c>
      <c r="D316" s="16">
        <v>0.23863636363636301</v>
      </c>
    </row>
    <row r="317" spans="1:4" x14ac:dyDescent="0.25">
      <c r="A317" t="s">
        <v>1164</v>
      </c>
      <c r="B317">
        <v>2020</v>
      </c>
      <c r="C317">
        <v>21</v>
      </c>
      <c r="D317" s="16">
        <v>1.7355371900826401E-2</v>
      </c>
    </row>
    <row r="318" spans="1:4" x14ac:dyDescent="0.25">
      <c r="A318" t="s">
        <v>1168</v>
      </c>
      <c r="B318">
        <v>2021</v>
      </c>
      <c r="C318">
        <v>100</v>
      </c>
      <c r="D318" s="16">
        <v>9.0909090909090898E-2</v>
      </c>
    </row>
    <row r="319" spans="1:4" x14ac:dyDescent="0.25">
      <c r="A319" t="s">
        <v>1186</v>
      </c>
      <c r="B319">
        <v>2020</v>
      </c>
      <c r="C319">
        <v>60</v>
      </c>
      <c r="D319" s="16">
        <v>5.4545454545454501E-2</v>
      </c>
    </row>
    <row r="320" spans="1:4" x14ac:dyDescent="0.25">
      <c r="A320" t="s">
        <v>1190</v>
      </c>
      <c r="B320">
        <v>2020</v>
      </c>
      <c r="C320">
        <v>75</v>
      </c>
      <c r="D320" s="16">
        <v>6.8181818181818094E-2</v>
      </c>
    </row>
    <row r="321" spans="1:4" x14ac:dyDescent="0.25">
      <c r="A321" t="s">
        <v>1194</v>
      </c>
      <c r="B321">
        <v>2020</v>
      </c>
      <c r="C321">
        <v>21</v>
      </c>
      <c r="D321" s="16">
        <v>1.8340611353711699E-2</v>
      </c>
    </row>
    <row r="322" spans="1:4" x14ac:dyDescent="0.25">
      <c r="A322" t="s">
        <v>1220</v>
      </c>
      <c r="B322">
        <v>2020</v>
      </c>
      <c r="C322">
        <v>46</v>
      </c>
      <c r="D322" s="16">
        <v>1.27071823204419E-2</v>
      </c>
    </row>
    <row r="323" spans="1:4" x14ac:dyDescent="0.25">
      <c r="A323" t="s">
        <v>1224</v>
      </c>
      <c r="B323">
        <v>2020</v>
      </c>
      <c r="C323">
        <v>189</v>
      </c>
      <c r="D323" s="16">
        <v>0.17181818181818101</v>
      </c>
    </row>
    <row r="324" spans="1:4" x14ac:dyDescent="0.25">
      <c r="A324" t="s">
        <v>472</v>
      </c>
      <c r="B324">
        <v>2020</v>
      </c>
      <c r="C324">
        <v>400</v>
      </c>
      <c r="D324" s="16">
        <v>0.2</v>
      </c>
    </row>
    <row r="325" spans="1:4" x14ac:dyDescent="0.25">
      <c r="A325" t="s">
        <v>481</v>
      </c>
      <c r="B325">
        <v>2020</v>
      </c>
      <c r="C325">
        <v>1056</v>
      </c>
      <c r="D325" s="16">
        <v>1.056</v>
      </c>
    </row>
    <row r="326" spans="1:4" x14ac:dyDescent="0.25">
      <c r="A326" t="s">
        <v>488</v>
      </c>
      <c r="B326">
        <v>2020</v>
      </c>
      <c r="C326">
        <v>100</v>
      </c>
      <c r="D326" s="16">
        <v>3.4399724802201499E-2</v>
      </c>
    </row>
    <row r="327" spans="1:4" x14ac:dyDescent="0.25">
      <c r="A327" t="s">
        <v>492</v>
      </c>
      <c r="B327">
        <v>2020</v>
      </c>
      <c r="C327">
        <v>300</v>
      </c>
      <c r="D327" s="16">
        <v>0.2</v>
      </c>
    </row>
    <row r="328" spans="1:4" x14ac:dyDescent="0.25">
      <c r="A328" t="s">
        <v>572</v>
      </c>
      <c r="B328">
        <v>2020</v>
      </c>
      <c r="C328">
        <v>300</v>
      </c>
      <c r="D328" s="16">
        <v>0.109090909090909</v>
      </c>
    </row>
    <row r="329" spans="1:4" x14ac:dyDescent="0.25">
      <c r="A329" t="s">
        <v>575</v>
      </c>
      <c r="B329">
        <v>2020</v>
      </c>
      <c r="C329">
        <v>300</v>
      </c>
      <c r="D329" s="16">
        <v>0.13636363636363599</v>
      </c>
    </row>
    <row r="330" spans="1:4" x14ac:dyDescent="0.25">
      <c r="A330" t="s">
        <v>1242</v>
      </c>
      <c r="B330">
        <v>2021</v>
      </c>
      <c r="C330">
        <v>50</v>
      </c>
      <c r="D330" s="16">
        <v>4.54545454545454E-2</v>
      </c>
    </row>
    <row r="331" spans="1:4" x14ac:dyDescent="0.25">
      <c r="A331" t="s">
        <v>1255</v>
      </c>
      <c r="B331">
        <v>2020</v>
      </c>
      <c r="C331">
        <v>950</v>
      </c>
      <c r="D331" s="16">
        <v>0.21590909090909</v>
      </c>
    </row>
    <row r="332" spans="1:4" x14ac:dyDescent="0.25">
      <c r="A332" t="s">
        <v>1238</v>
      </c>
      <c r="B332">
        <v>2020</v>
      </c>
      <c r="C332">
        <v>357</v>
      </c>
      <c r="D332" s="16">
        <v>0.270454545454545</v>
      </c>
    </row>
    <row r="333" spans="1:4" x14ac:dyDescent="0.25">
      <c r="A333" t="s">
        <v>1238</v>
      </c>
      <c r="B333">
        <v>2021</v>
      </c>
      <c r="C333">
        <v>100</v>
      </c>
      <c r="D333" s="16">
        <v>7.5757575757575704E-2</v>
      </c>
    </row>
    <row r="334" spans="1:4" x14ac:dyDescent="0.25">
      <c r="A334" t="s">
        <v>1243</v>
      </c>
      <c r="B334">
        <v>2020</v>
      </c>
      <c r="C334">
        <v>840</v>
      </c>
      <c r="D334" s="16">
        <v>0.21937842778793401</v>
      </c>
    </row>
    <row r="335" spans="1:4" x14ac:dyDescent="0.25">
      <c r="A335" t="s">
        <v>1246</v>
      </c>
      <c r="B335">
        <v>2020</v>
      </c>
      <c r="C335">
        <v>50</v>
      </c>
      <c r="D335" s="16">
        <v>4.54545454545454E-2</v>
      </c>
    </row>
    <row r="336" spans="1:4" x14ac:dyDescent="0.25">
      <c r="A336" t="s">
        <v>1249</v>
      </c>
      <c r="B336">
        <v>2020</v>
      </c>
      <c r="C336">
        <v>400</v>
      </c>
      <c r="D336" s="16">
        <v>0.29133284777858698</v>
      </c>
    </row>
    <row r="337" spans="1:4" x14ac:dyDescent="0.25">
      <c r="A337" t="s">
        <v>1256</v>
      </c>
      <c r="B337">
        <v>2020</v>
      </c>
      <c r="C337">
        <v>105</v>
      </c>
      <c r="D337" s="16">
        <v>9.4424460431654603E-2</v>
      </c>
    </row>
    <row r="338" spans="1:4" x14ac:dyDescent="0.25">
      <c r="A338" t="s">
        <v>1264</v>
      </c>
      <c r="B338">
        <v>2020</v>
      </c>
      <c r="C338">
        <v>252</v>
      </c>
      <c r="D338" s="16">
        <v>0.11454545454545401</v>
      </c>
    </row>
    <row r="339" spans="1:4" x14ac:dyDescent="0.25">
      <c r="A339" t="s">
        <v>1267</v>
      </c>
      <c r="B339">
        <v>2020</v>
      </c>
      <c r="C339">
        <v>783</v>
      </c>
      <c r="D339" s="16">
        <v>0.395454545454545</v>
      </c>
    </row>
    <row r="340" spans="1:4" x14ac:dyDescent="0.25">
      <c r="A340" t="s">
        <v>1267</v>
      </c>
      <c r="B340">
        <v>2021</v>
      </c>
      <c r="C340">
        <v>625</v>
      </c>
      <c r="D340" s="16">
        <v>0.31565656565656502</v>
      </c>
    </row>
    <row r="341" spans="1:4" x14ac:dyDescent="0.25">
      <c r="A341" t="s">
        <v>1275</v>
      </c>
      <c r="B341">
        <v>2020</v>
      </c>
      <c r="C341">
        <v>147</v>
      </c>
      <c r="D341" s="16">
        <v>0.133636363636363</v>
      </c>
    </row>
    <row r="342" spans="1:4" x14ac:dyDescent="0.25">
      <c r="A342" t="s">
        <v>1275</v>
      </c>
      <c r="B342">
        <v>2021</v>
      </c>
      <c r="C342">
        <v>25</v>
      </c>
      <c r="D342" s="16">
        <v>2.27272727272727E-2</v>
      </c>
    </row>
    <row r="343" spans="1:4" x14ac:dyDescent="0.25">
      <c r="A343" t="s">
        <v>326</v>
      </c>
      <c r="B343">
        <v>2020</v>
      </c>
      <c r="C343">
        <v>200</v>
      </c>
      <c r="D343" s="16">
        <v>0.16666666666666599</v>
      </c>
    </row>
    <row r="344" spans="1:4" x14ac:dyDescent="0.25">
      <c r="A344" t="s">
        <v>503</v>
      </c>
      <c r="B344">
        <v>2020</v>
      </c>
      <c r="C344">
        <v>250</v>
      </c>
      <c r="D344" s="16">
        <v>0.125</v>
      </c>
    </row>
    <row r="345" spans="1:4" x14ac:dyDescent="0.25">
      <c r="A345" t="s">
        <v>498</v>
      </c>
      <c r="B345">
        <v>2020</v>
      </c>
      <c r="C345">
        <v>360</v>
      </c>
      <c r="D345" s="16">
        <v>0.36</v>
      </c>
    </row>
    <row r="346" spans="1:4" x14ac:dyDescent="0.25">
      <c r="A346" t="s">
        <v>586</v>
      </c>
      <c r="B346">
        <v>2020</v>
      </c>
      <c r="C346">
        <v>1500</v>
      </c>
      <c r="D346" s="16">
        <v>0.54545454545454497</v>
      </c>
    </row>
    <row r="347" spans="1:4" x14ac:dyDescent="0.25">
      <c r="A347" t="s">
        <v>586</v>
      </c>
      <c r="B347">
        <v>2021</v>
      </c>
      <c r="C347">
        <v>1750</v>
      </c>
      <c r="D347" s="16">
        <v>0.63636363636363602</v>
      </c>
    </row>
    <row r="348" spans="1:4" x14ac:dyDescent="0.25">
      <c r="A348" t="s">
        <v>589</v>
      </c>
      <c r="B348">
        <v>2020</v>
      </c>
      <c r="C348">
        <v>2050</v>
      </c>
      <c r="D348" s="16">
        <v>0.74545454545454504</v>
      </c>
    </row>
    <row r="349" spans="1:4" x14ac:dyDescent="0.25">
      <c r="A349" t="s">
        <v>589</v>
      </c>
      <c r="B349">
        <v>2021</v>
      </c>
      <c r="C349">
        <v>1300</v>
      </c>
      <c r="D349" s="16">
        <v>0.472727272727272</v>
      </c>
    </row>
    <row r="350" spans="1:4" x14ac:dyDescent="0.25">
      <c r="A350" t="s">
        <v>592</v>
      </c>
      <c r="B350">
        <v>2020</v>
      </c>
      <c r="C350">
        <v>2600</v>
      </c>
      <c r="D350" s="16">
        <v>0.94545454545454499</v>
      </c>
    </row>
    <row r="351" spans="1:4" x14ac:dyDescent="0.25">
      <c r="A351" t="s">
        <v>592</v>
      </c>
      <c r="B351">
        <v>2021</v>
      </c>
      <c r="C351">
        <v>600</v>
      </c>
      <c r="D351" s="16">
        <v>0.218181818181818</v>
      </c>
    </row>
    <row r="352" spans="1:4" x14ac:dyDescent="0.25">
      <c r="A352" t="s">
        <v>598</v>
      </c>
      <c r="B352">
        <v>2020</v>
      </c>
      <c r="C352">
        <v>400</v>
      </c>
      <c r="D352" s="16">
        <v>0.18181818181818099</v>
      </c>
    </row>
    <row r="353" spans="1:4" x14ac:dyDescent="0.25">
      <c r="A353" t="s">
        <v>602</v>
      </c>
      <c r="B353">
        <v>2020</v>
      </c>
      <c r="C353">
        <v>1900</v>
      </c>
      <c r="D353" s="16">
        <v>0.69090909090909003</v>
      </c>
    </row>
    <row r="354" spans="1:4" x14ac:dyDescent="0.25">
      <c r="A354" t="s">
        <v>602</v>
      </c>
      <c r="B354">
        <v>2021</v>
      </c>
      <c r="C354">
        <v>800</v>
      </c>
      <c r="D354" s="16">
        <v>0.29090909090909001</v>
      </c>
    </row>
    <row r="355" spans="1:4" x14ac:dyDescent="0.25">
      <c r="A355" t="s">
        <v>605</v>
      </c>
      <c r="B355">
        <v>2020</v>
      </c>
      <c r="C355">
        <v>2300</v>
      </c>
      <c r="D355" s="16">
        <v>0.83636363636363598</v>
      </c>
    </row>
    <row r="356" spans="1:4" x14ac:dyDescent="0.25">
      <c r="A356" t="s">
        <v>608</v>
      </c>
      <c r="B356">
        <v>2020</v>
      </c>
      <c r="C356">
        <v>3600</v>
      </c>
      <c r="D356" s="16">
        <v>0.76335877862595403</v>
      </c>
    </row>
    <row r="357" spans="1:4" x14ac:dyDescent="0.25">
      <c r="A357" t="s">
        <v>611</v>
      </c>
      <c r="B357">
        <v>2020</v>
      </c>
      <c r="C357">
        <v>150</v>
      </c>
      <c r="D357" s="16">
        <v>3.4090909090908998E-2</v>
      </c>
    </row>
    <row r="358" spans="1:4" x14ac:dyDescent="0.25">
      <c r="A358" t="s">
        <v>614</v>
      </c>
      <c r="B358">
        <v>2020</v>
      </c>
      <c r="C358">
        <v>1500</v>
      </c>
      <c r="D358" s="16">
        <v>0.68181818181818099</v>
      </c>
    </row>
    <row r="359" spans="1:4" x14ac:dyDescent="0.25">
      <c r="A359" t="s">
        <v>614</v>
      </c>
      <c r="B359">
        <v>2021</v>
      </c>
      <c r="C359">
        <v>1500</v>
      </c>
      <c r="D359" s="16">
        <v>0.68181818181818099</v>
      </c>
    </row>
    <row r="360" spans="1:4" x14ac:dyDescent="0.25">
      <c r="A360" t="s">
        <v>1297</v>
      </c>
      <c r="B360">
        <v>2021</v>
      </c>
      <c r="C360">
        <v>90</v>
      </c>
      <c r="D360" s="16">
        <v>8.1818181818181804E-2</v>
      </c>
    </row>
    <row r="361" spans="1:4" x14ac:dyDescent="0.25">
      <c r="A361" t="s">
        <v>1288</v>
      </c>
      <c r="B361">
        <v>2020</v>
      </c>
      <c r="C361">
        <v>34</v>
      </c>
      <c r="D361" s="16">
        <v>3.09090909090909E-2</v>
      </c>
    </row>
    <row r="362" spans="1:4" x14ac:dyDescent="0.25">
      <c r="A362" t="s">
        <v>1299</v>
      </c>
      <c r="B362">
        <v>2020</v>
      </c>
      <c r="C362">
        <v>19</v>
      </c>
      <c r="D362" s="16">
        <v>1.32867132867132E-2</v>
      </c>
    </row>
    <row r="363" spans="1:4" x14ac:dyDescent="0.25">
      <c r="A363" t="s">
        <v>1278</v>
      </c>
      <c r="B363">
        <v>2021</v>
      </c>
      <c r="C363">
        <v>200</v>
      </c>
      <c r="D363" s="16">
        <v>0.12121212121212099</v>
      </c>
    </row>
    <row r="364" spans="1:4" x14ac:dyDescent="0.25">
      <c r="A364" t="s">
        <v>1281</v>
      </c>
      <c r="B364">
        <v>2020</v>
      </c>
      <c r="C364">
        <v>287</v>
      </c>
      <c r="D364" s="16">
        <v>0.10249999999999999</v>
      </c>
    </row>
    <row r="365" spans="1:4" x14ac:dyDescent="0.25">
      <c r="A365" t="s">
        <v>1281</v>
      </c>
      <c r="B365">
        <v>2021</v>
      </c>
      <c r="C365">
        <v>475</v>
      </c>
      <c r="D365" s="16">
        <v>0.16964285714285701</v>
      </c>
    </row>
    <row r="366" spans="1:4" x14ac:dyDescent="0.25">
      <c r="A366" t="s">
        <v>1285</v>
      </c>
      <c r="B366">
        <v>2020</v>
      </c>
      <c r="C366">
        <v>87</v>
      </c>
      <c r="D366" s="16">
        <v>6.5909090909090903E-2</v>
      </c>
    </row>
    <row r="367" spans="1:4" x14ac:dyDescent="0.25">
      <c r="A367" t="s">
        <v>1285</v>
      </c>
      <c r="B367">
        <v>2021</v>
      </c>
      <c r="C367">
        <v>75</v>
      </c>
      <c r="D367" s="16">
        <v>5.6818181818181802E-2</v>
      </c>
    </row>
    <row r="368" spans="1:4" x14ac:dyDescent="0.25">
      <c r="A368" t="s">
        <v>1293</v>
      </c>
      <c r="B368">
        <v>2021</v>
      </c>
      <c r="C368">
        <v>200</v>
      </c>
      <c r="D368" s="16">
        <v>9.0909090909090898E-2</v>
      </c>
    </row>
    <row r="369" spans="1:4" x14ac:dyDescent="0.25">
      <c r="A369" t="s">
        <v>1300</v>
      </c>
      <c r="B369">
        <v>2021</v>
      </c>
      <c r="C369">
        <v>550</v>
      </c>
      <c r="D369" s="16">
        <v>0.2</v>
      </c>
    </row>
    <row r="370" spans="1:4" x14ac:dyDescent="0.25">
      <c r="A370" t="s">
        <v>336</v>
      </c>
      <c r="B370">
        <v>2020</v>
      </c>
      <c r="C370">
        <v>250</v>
      </c>
      <c r="D370" s="16">
        <v>0.25</v>
      </c>
    </row>
    <row r="371" spans="1:4" x14ac:dyDescent="0.25">
      <c r="A371" t="s">
        <v>336</v>
      </c>
      <c r="B371">
        <v>2021</v>
      </c>
      <c r="C371">
        <v>62</v>
      </c>
      <c r="D371" s="16">
        <v>6.2E-2</v>
      </c>
    </row>
    <row r="372" spans="1:4" x14ac:dyDescent="0.25">
      <c r="A372" t="s">
        <v>340</v>
      </c>
      <c r="B372">
        <v>2021</v>
      </c>
      <c r="C372">
        <v>355</v>
      </c>
      <c r="D372" s="16">
        <v>0.20882352941176399</v>
      </c>
    </row>
    <row r="373" spans="1:4" x14ac:dyDescent="0.25">
      <c r="A373" t="s">
        <v>344</v>
      </c>
      <c r="B373">
        <v>2020</v>
      </c>
      <c r="C373">
        <v>100</v>
      </c>
      <c r="D373" s="16">
        <v>8.3333333333333301E-2</v>
      </c>
    </row>
    <row r="374" spans="1:4" x14ac:dyDescent="0.25">
      <c r="A374" t="s">
        <v>348</v>
      </c>
      <c r="B374">
        <v>2021</v>
      </c>
      <c r="C374">
        <v>180</v>
      </c>
      <c r="D374" s="16">
        <v>0.09</v>
      </c>
    </row>
    <row r="375" spans="1:4" x14ac:dyDescent="0.25">
      <c r="A375" t="s">
        <v>352</v>
      </c>
      <c r="B375">
        <v>2021</v>
      </c>
      <c r="C375">
        <v>140</v>
      </c>
      <c r="D375" s="16">
        <v>7.0000000000000007E-2</v>
      </c>
    </row>
    <row r="376" spans="1:4" x14ac:dyDescent="0.25">
      <c r="A376" t="s">
        <v>657</v>
      </c>
      <c r="B376">
        <v>2021</v>
      </c>
      <c r="C376">
        <v>1000</v>
      </c>
      <c r="D376" s="16">
        <v>9.0909090909090898E-2</v>
      </c>
    </row>
    <row r="377" spans="1:4" x14ac:dyDescent="0.25">
      <c r="A377" t="s">
        <v>623</v>
      </c>
      <c r="B377">
        <v>2020</v>
      </c>
      <c r="C377">
        <v>800</v>
      </c>
      <c r="D377" s="16">
        <v>0.29090909090909001</v>
      </c>
    </row>
    <row r="378" spans="1:4" x14ac:dyDescent="0.25">
      <c r="A378" t="s">
        <v>623</v>
      </c>
      <c r="B378">
        <v>2021</v>
      </c>
      <c r="C378">
        <v>50</v>
      </c>
      <c r="D378" s="16">
        <v>1.8181818181818101E-2</v>
      </c>
    </row>
    <row r="379" spans="1:4" x14ac:dyDescent="0.25">
      <c r="A379" t="s">
        <v>629</v>
      </c>
      <c r="B379">
        <v>2020</v>
      </c>
      <c r="C379">
        <v>650</v>
      </c>
      <c r="D379" s="16">
        <v>0.236363636363636</v>
      </c>
    </row>
    <row r="380" spans="1:4" x14ac:dyDescent="0.25">
      <c r="A380" t="s">
        <v>629</v>
      </c>
      <c r="B380">
        <v>2021</v>
      </c>
      <c r="C380">
        <v>749</v>
      </c>
      <c r="D380" s="16">
        <v>0.27236363636363597</v>
      </c>
    </row>
    <row r="381" spans="1:4" x14ac:dyDescent="0.25">
      <c r="A381" t="s">
        <v>638</v>
      </c>
      <c r="B381">
        <v>2020</v>
      </c>
      <c r="C381">
        <v>465</v>
      </c>
      <c r="D381" s="16">
        <v>0.16909090909090899</v>
      </c>
    </row>
    <row r="382" spans="1:4" x14ac:dyDescent="0.25">
      <c r="A382" t="s">
        <v>644</v>
      </c>
      <c r="B382">
        <v>2020</v>
      </c>
      <c r="C382">
        <v>550</v>
      </c>
      <c r="D382" s="16">
        <v>0.5</v>
      </c>
    </row>
    <row r="383" spans="1:4" x14ac:dyDescent="0.25">
      <c r="A383" t="s">
        <v>658</v>
      </c>
      <c r="B383">
        <v>2020</v>
      </c>
      <c r="C383">
        <v>100</v>
      </c>
      <c r="D383" s="16">
        <v>3.6363636363636299E-2</v>
      </c>
    </row>
    <row r="384" spans="1:4" x14ac:dyDescent="0.25">
      <c r="A384" t="s">
        <v>1327</v>
      </c>
      <c r="B384">
        <v>2021</v>
      </c>
      <c r="C384">
        <v>100</v>
      </c>
      <c r="D384" s="16">
        <v>4.54545454545454E-2</v>
      </c>
    </row>
    <row r="385" spans="1:4" x14ac:dyDescent="0.25">
      <c r="A385" t="s">
        <v>1315</v>
      </c>
      <c r="B385">
        <v>2021</v>
      </c>
      <c r="C385">
        <v>200</v>
      </c>
      <c r="D385" s="16">
        <v>0.30303030303030298</v>
      </c>
    </row>
    <row r="386" spans="1:4" x14ac:dyDescent="0.25">
      <c r="A386" t="s">
        <v>1326</v>
      </c>
      <c r="B386">
        <v>2021</v>
      </c>
      <c r="C386">
        <v>550</v>
      </c>
      <c r="D386" s="16">
        <v>0.25</v>
      </c>
    </row>
    <row r="387" spans="1:4" x14ac:dyDescent="0.25">
      <c r="A387" t="s">
        <v>1308</v>
      </c>
      <c r="B387">
        <v>2021</v>
      </c>
      <c r="C387">
        <v>25</v>
      </c>
      <c r="D387" s="16">
        <v>2.27272727272727E-2</v>
      </c>
    </row>
    <row r="388" spans="1:4" x14ac:dyDescent="0.25">
      <c r="A388" t="s">
        <v>661</v>
      </c>
      <c r="B388">
        <v>2021</v>
      </c>
      <c r="C388">
        <v>150</v>
      </c>
      <c r="D388" s="16">
        <v>0.27272727272727199</v>
      </c>
    </row>
    <row r="389" spans="1:4" x14ac:dyDescent="0.25">
      <c r="A389" t="s">
        <v>664</v>
      </c>
      <c r="B389">
        <v>2021</v>
      </c>
      <c r="C389">
        <v>280</v>
      </c>
      <c r="D389" s="16">
        <v>0.50909090909090904</v>
      </c>
    </row>
    <row r="390" spans="1:4" x14ac:dyDescent="0.25">
      <c r="A390" t="s">
        <v>667</v>
      </c>
      <c r="B390">
        <v>2021</v>
      </c>
      <c r="C390">
        <v>60</v>
      </c>
      <c r="D390" s="16">
        <v>5.4545454545454501E-2</v>
      </c>
    </row>
    <row r="391" spans="1:4" x14ac:dyDescent="0.25">
      <c r="A391" t="s">
        <v>671</v>
      </c>
      <c r="B391">
        <v>2021</v>
      </c>
      <c r="C391">
        <v>50</v>
      </c>
      <c r="D391" s="16">
        <v>9.0909090909090898E-2</v>
      </c>
    </row>
    <row r="392" spans="1:4" x14ac:dyDescent="0.25">
      <c r="A392" t="s">
        <v>674</v>
      </c>
      <c r="B392">
        <v>2021</v>
      </c>
      <c r="C392">
        <v>140</v>
      </c>
      <c r="D392" s="16">
        <v>0.25454545454545402</v>
      </c>
    </row>
    <row r="393" spans="1:4" x14ac:dyDescent="0.25">
      <c r="A393" t="s">
        <v>677</v>
      </c>
      <c r="B393">
        <v>2021</v>
      </c>
      <c r="C393">
        <v>35</v>
      </c>
      <c r="D393" s="16">
        <v>6.3636363636363602E-2</v>
      </c>
    </row>
    <row r="394" spans="1:4" x14ac:dyDescent="0.25">
      <c r="A394" t="s">
        <v>680</v>
      </c>
      <c r="B394">
        <v>2021</v>
      </c>
      <c r="C394">
        <v>120</v>
      </c>
      <c r="D394" s="16">
        <v>0.218181818181818</v>
      </c>
    </row>
    <row r="395" spans="1:4" x14ac:dyDescent="0.25">
      <c r="A395" t="s">
        <v>684</v>
      </c>
      <c r="B395">
        <v>2021</v>
      </c>
      <c r="C395">
        <v>150</v>
      </c>
      <c r="D395" s="16">
        <v>0.13636363636363599</v>
      </c>
    </row>
    <row r="396" spans="1:4" x14ac:dyDescent="0.25">
      <c r="A396" t="s">
        <v>690</v>
      </c>
      <c r="B396">
        <v>2021</v>
      </c>
      <c r="C396">
        <v>140</v>
      </c>
      <c r="D396" s="16">
        <v>0.25454545454545402</v>
      </c>
    </row>
    <row r="397" spans="1:4" x14ac:dyDescent="0.25">
      <c r="A397" t="s">
        <v>700</v>
      </c>
      <c r="B397">
        <v>2021</v>
      </c>
      <c r="C397">
        <v>650</v>
      </c>
      <c r="D397" s="16">
        <v>0.59090909090909005</v>
      </c>
    </row>
    <row r="398" spans="1:4" x14ac:dyDescent="0.25">
      <c r="A398" t="s">
        <v>703</v>
      </c>
      <c r="B398">
        <v>2021</v>
      </c>
      <c r="C398">
        <v>100</v>
      </c>
      <c r="D398" s="16">
        <v>0.18181818181818099</v>
      </c>
    </row>
    <row r="399" spans="1:4" x14ac:dyDescent="0.25">
      <c r="A399" t="s">
        <v>707</v>
      </c>
      <c r="B399">
        <v>2021</v>
      </c>
      <c r="C399">
        <v>300</v>
      </c>
      <c r="D399" s="16">
        <v>0.27272727272727199</v>
      </c>
    </row>
    <row r="400" spans="1:4" x14ac:dyDescent="0.25">
      <c r="A400" t="s">
        <v>713</v>
      </c>
      <c r="B400">
        <v>2021</v>
      </c>
      <c r="C400">
        <v>100</v>
      </c>
      <c r="D400" s="16">
        <v>9.0909090909090898E-2</v>
      </c>
    </row>
    <row r="401" spans="1:4" x14ac:dyDescent="0.25">
      <c r="A401" t="s">
        <v>716</v>
      </c>
      <c r="B401">
        <v>2021</v>
      </c>
      <c r="C401">
        <v>115</v>
      </c>
      <c r="D401" s="16">
        <v>0.20909090909090899</v>
      </c>
    </row>
    <row r="402" spans="1:4" x14ac:dyDescent="0.25">
      <c r="A402" t="s">
        <v>717</v>
      </c>
      <c r="B402">
        <v>2021</v>
      </c>
      <c r="C402">
        <v>130</v>
      </c>
      <c r="D402" s="16">
        <v>0.118181818181818</v>
      </c>
    </row>
    <row r="403" spans="1:4" x14ac:dyDescent="0.25">
      <c r="A403" t="s">
        <v>723</v>
      </c>
      <c r="B403">
        <v>2021</v>
      </c>
      <c r="C403">
        <v>150</v>
      </c>
      <c r="D403" s="16">
        <v>0.27272727272727199</v>
      </c>
    </row>
    <row r="404" spans="1:4" x14ac:dyDescent="0.25">
      <c r="A404" t="s">
        <v>730</v>
      </c>
      <c r="B404">
        <v>2021</v>
      </c>
      <c r="C404">
        <v>100</v>
      </c>
      <c r="D404" s="16">
        <v>1.8181818181818101E-2</v>
      </c>
    </row>
    <row r="405" spans="1:4" x14ac:dyDescent="0.25">
      <c r="A405" t="s">
        <v>755</v>
      </c>
      <c r="B405">
        <v>2021</v>
      </c>
      <c r="C405">
        <v>150</v>
      </c>
      <c r="D405" s="16">
        <v>0.13636363636363599</v>
      </c>
    </row>
    <row r="406" spans="1:4" x14ac:dyDescent="0.25">
      <c r="A406" t="s">
        <v>770</v>
      </c>
      <c r="B406">
        <v>2021</v>
      </c>
      <c r="C406">
        <v>10</v>
      </c>
      <c r="D406" s="16">
        <v>6.0606060606060597E-3</v>
      </c>
    </row>
    <row r="407" spans="1:4" x14ac:dyDescent="0.25">
      <c r="A407" t="s">
        <v>782</v>
      </c>
      <c r="B407">
        <v>2021</v>
      </c>
      <c r="C407">
        <v>550</v>
      </c>
      <c r="D407" s="16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4"/>
  <sheetViews>
    <sheetView workbookViewId="0">
      <selection activeCell="F25" sqref="F25"/>
    </sheetView>
  </sheetViews>
  <sheetFormatPr baseColWidth="10" defaultColWidth="9.140625" defaultRowHeight="15" x14ac:dyDescent="0.25"/>
  <sheetData>
    <row r="1" spans="1:8" x14ac:dyDescent="0.25">
      <c r="A1" s="1" t="s">
        <v>3593</v>
      </c>
      <c r="B1" s="1" t="s">
        <v>0</v>
      </c>
      <c r="C1" s="1" t="s">
        <v>3914</v>
      </c>
      <c r="D1" s="1" t="s">
        <v>3915</v>
      </c>
      <c r="E1" s="1" t="s">
        <v>3916</v>
      </c>
      <c r="F1" s="1" t="s">
        <v>3917</v>
      </c>
      <c r="G1" s="1" t="s">
        <v>3918</v>
      </c>
      <c r="H1" s="1" t="s">
        <v>3919</v>
      </c>
    </row>
    <row r="2" spans="1:8" x14ac:dyDescent="0.25">
      <c r="A2">
        <v>1051</v>
      </c>
      <c r="B2" t="s">
        <v>858</v>
      </c>
      <c r="C2">
        <v>0</v>
      </c>
      <c r="D2" t="s">
        <v>3920</v>
      </c>
      <c r="E2">
        <v>2024</v>
      </c>
      <c r="F2" s="3">
        <v>45981.086926764787</v>
      </c>
      <c r="G2" t="s">
        <v>3921</v>
      </c>
      <c r="H2">
        <v>0</v>
      </c>
    </row>
    <row r="3" spans="1:8" x14ac:dyDescent="0.25">
      <c r="A3">
        <v>1052</v>
      </c>
      <c r="B3" t="s">
        <v>861</v>
      </c>
      <c r="C3">
        <v>0</v>
      </c>
      <c r="D3" t="s">
        <v>3920</v>
      </c>
      <c r="E3">
        <v>2024</v>
      </c>
      <c r="F3" s="3">
        <v>45981.086926764787</v>
      </c>
      <c r="G3" t="s">
        <v>3921</v>
      </c>
      <c r="H3">
        <v>0</v>
      </c>
    </row>
    <row r="4" spans="1:8" x14ac:dyDescent="0.25">
      <c r="A4">
        <v>1053</v>
      </c>
      <c r="B4" t="s">
        <v>869</v>
      </c>
      <c r="C4">
        <v>0</v>
      </c>
      <c r="D4" t="s">
        <v>3920</v>
      </c>
      <c r="E4">
        <v>2024</v>
      </c>
      <c r="F4" s="3">
        <v>45981.086926764787</v>
      </c>
      <c r="G4" t="s">
        <v>3921</v>
      </c>
      <c r="H4">
        <v>0</v>
      </c>
    </row>
    <row r="5" spans="1:8" x14ac:dyDescent="0.25">
      <c r="A5">
        <v>1054</v>
      </c>
      <c r="B5" t="s">
        <v>878</v>
      </c>
      <c r="C5">
        <v>0</v>
      </c>
      <c r="D5" t="s">
        <v>3920</v>
      </c>
      <c r="E5">
        <v>2024</v>
      </c>
      <c r="F5" s="3">
        <v>45981.086926764787</v>
      </c>
      <c r="G5" t="s">
        <v>3921</v>
      </c>
      <c r="H5">
        <v>0</v>
      </c>
    </row>
    <row r="6" spans="1:8" x14ac:dyDescent="0.25">
      <c r="A6">
        <v>1055</v>
      </c>
      <c r="B6" t="s">
        <v>884</v>
      </c>
      <c r="C6">
        <v>0</v>
      </c>
      <c r="D6" t="s">
        <v>3920</v>
      </c>
      <c r="E6">
        <v>2024</v>
      </c>
      <c r="F6" s="3">
        <v>45981.086926764787</v>
      </c>
      <c r="G6" t="s">
        <v>3921</v>
      </c>
      <c r="H6">
        <v>0</v>
      </c>
    </row>
    <row r="7" spans="1:8" x14ac:dyDescent="0.25">
      <c r="A7">
        <v>1056</v>
      </c>
      <c r="B7" t="s">
        <v>887</v>
      </c>
      <c r="C7">
        <v>0</v>
      </c>
      <c r="D7" t="s">
        <v>3920</v>
      </c>
      <c r="E7">
        <v>2024</v>
      </c>
      <c r="F7" s="3">
        <v>45981.086926764787</v>
      </c>
      <c r="G7" t="s">
        <v>3921</v>
      </c>
      <c r="H7">
        <v>0</v>
      </c>
    </row>
    <row r="8" spans="1:8" x14ac:dyDescent="0.25">
      <c r="A8">
        <v>1057</v>
      </c>
      <c r="B8" t="s">
        <v>19</v>
      </c>
      <c r="C8">
        <v>0</v>
      </c>
      <c r="D8" t="s">
        <v>3920</v>
      </c>
      <c r="E8">
        <v>2024</v>
      </c>
      <c r="F8" s="3">
        <v>45981.086926764787</v>
      </c>
      <c r="G8" t="s">
        <v>3921</v>
      </c>
      <c r="H8">
        <v>0</v>
      </c>
    </row>
    <row r="9" spans="1:8" x14ac:dyDescent="0.25">
      <c r="A9">
        <v>1058</v>
      </c>
      <c r="B9" t="s">
        <v>23</v>
      </c>
      <c r="C9">
        <v>0</v>
      </c>
      <c r="D9" t="s">
        <v>3920</v>
      </c>
      <c r="E9">
        <v>2024</v>
      </c>
      <c r="F9" s="3">
        <v>45981.086926764787</v>
      </c>
      <c r="G9" t="s">
        <v>3921</v>
      </c>
      <c r="H9">
        <v>0</v>
      </c>
    </row>
    <row r="10" spans="1:8" x14ac:dyDescent="0.25">
      <c r="A10">
        <v>1059</v>
      </c>
      <c r="B10" t="s">
        <v>30</v>
      </c>
      <c r="C10">
        <v>0</v>
      </c>
      <c r="D10" t="s">
        <v>3920</v>
      </c>
      <c r="E10">
        <v>2024</v>
      </c>
      <c r="F10" s="3">
        <v>45981.086926764787</v>
      </c>
      <c r="G10" t="s">
        <v>3921</v>
      </c>
      <c r="H10">
        <v>0</v>
      </c>
    </row>
    <row r="11" spans="1:8" x14ac:dyDescent="0.25">
      <c r="A11">
        <v>1060</v>
      </c>
      <c r="B11" t="s">
        <v>34</v>
      </c>
      <c r="C11">
        <v>0</v>
      </c>
      <c r="D11" t="s">
        <v>3920</v>
      </c>
      <c r="E11">
        <v>2024</v>
      </c>
      <c r="F11" s="3">
        <v>45981.086926764787</v>
      </c>
      <c r="G11" t="s">
        <v>3921</v>
      </c>
      <c r="H11">
        <v>0</v>
      </c>
    </row>
    <row r="12" spans="1:8" x14ac:dyDescent="0.25">
      <c r="A12">
        <v>1061</v>
      </c>
      <c r="B12" t="s">
        <v>38</v>
      </c>
      <c r="C12">
        <v>0</v>
      </c>
      <c r="D12" t="s">
        <v>3920</v>
      </c>
      <c r="E12">
        <v>2024</v>
      </c>
      <c r="F12" s="3">
        <v>45981.086926764787</v>
      </c>
      <c r="G12" t="s">
        <v>3921</v>
      </c>
      <c r="H12">
        <v>0</v>
      </c>
    </row>
    <row r="13" spans="1:8" x14ac:dyDescent="0.25">
      <c r="A13">
        <v>1062</v>
      </c>
      <c r="B13" t="s">
        <v>42</v>
      </c>
      <c r="C13">
        <v>0</v>
      </c>
      <c r="D13" t="s">
        <v>3920</v>
      </c>
      <c r="E13">
        <v>2024</v>
      </c>
      <c r="F13" s="3">
        <v>45981.086926764787</v>
      </c>
      <c r="G13" t="s">
        <v>3921</v>
      </c>
      <c r="H13">
        <v>0</v>
      </c>
    </row>
    <row r="14" spans="1:8" x14ac:dyDescent="0.25">
      <c r="A14">
        <v>1063</v>
      </c>
      <c r="B14" t="s">
        <v>46</v>
      </c>
      <c r="C14">
        <v>0</v>
      </c>
      <c r="D14" t="s">
        <v>3920</v>
      </c>
      <c r="E14">
        <v>2024</v>
      </c>
      <c r="F14" s="3">
        <v>45981.086926764787</v>
      </c>
      <c r="G14" t="s">
        <v>3921</v>
      </c>
      <c r="H14">
        <v>0</v>
      </c>
    </row>
    <row r="15" spans="1:8" x14ac:dyDescent="0.25">
      <c r="A15">
        <v>1064</v>
      </c>
      <c r="B15" t="s">
        <v>49</v>
      </c>
      <c r="C15">
        <v>0</v>
      </c>
      <c r="D15" t="s">
        <v>3920</v>
      </c>
      <c r="E15">
        <v>2024</v>
      </c>
      <c r="F15" s="3">
        <v>45981.086926764787</v>
      </c>
      <c r="G15" t="s">
        <v>3921</v>
      </c>
      <c r="H15">
        <v>0</v>
      </c>
    </row>
    <row r="16" spans="1:8" x14ac:dyDescent="0.25">
      <c r="A16">
        <v>1065</v>
      </c>
      <c r="B16" t="s">
        <v>53</v>
      </c>
      <c r="C16">
        <v>0</v>
      </c>
      <c r="D16" t="s">
        <v>3920</v>
      </c>
      <c r="E16">
        <v>2024</v>
      </c>
      <c r="F16" s="3">
        <v>45981.086926764787</v>
      </c>
      <c r="G16" t="s">
        <v>3921</v>
      </c>
      <c r="H16">
        <v>0</v>
      </c>
    </row>
    <row r="17" spans="1:8" x14ac:dyDescent="0.25">
      <c r="A17">
        <v>1066</v>
      </c>
      <c r="B17" t="s">
        <v>56</v>
      </c>
      <c r="C17">
        <v>0</v>
      </c>
      <c r="D17" t="s">
        <v>3920</v>
      </c>
      <c r="E17">
        <v>2024</v>
      </c>
      <c r="F17" s="3">
        <v>45981.086926764787</v>
      </c>
      <c r="G17" t="s">
        <v>3921</v>
      </c>
      <c r="H17">
        <v>0</v>
      </c>
    </row>
    <row r="18" spans="1:8" x14ac:dyDescent="0.25">
      <c r="A18">
        <v>1067</v>
      </c>
      <c r="B18" t="s">
        <v>59</v>
      </c>
      <c r="C18">
        <v>0</v>
      </c>
      <c r="D18" t="s">
        <v>3920</v>
      </c>
      <c r="E18">
        <v>2024</v>
      </c>
      <c r="F18" s="3">
        <v>45981.086926764787</v>
      </c>
      <c r="G18" t="s">
        <v>3921</v>
      </c>
      <c r="H18">
        <v>0</v>
      </c>
    </row>
    <row r="19" spans="1:8" x14ac:dyDescent="0.25">
      <c r="A19">
        <v>1068</v>
      </c>
      <c r="B19" t="s">
        <v>63</v>
      </c>
      <c r="C19">
        <v>0.87</v>
      </c>
      <c r="D19" t="s">
        <v>3920</v>
      </c>
      <c r="E19">
        <v>2024</v>
      </c>
      <c r="F19" s="3">
        <v>45981.086926764787</v>
      </c>
      <c r="G19" t="s">
        <v>3921</v>
      </c>
      <c r="H19">
        <v>870</v>
      </c>
    </row>
    <row r="20" spans="1:8" x14ac:dyDescent="0.25">
      <c r="A20">
        <v>1069</v>
      </c>
      <c r="B20" t="s">
        <v>1438</v>
      </c>
      <c r="C20">
        <v>0</v>
      </c>
      <c r="D20" t="s">
        <v>3920</v>
      </c>
      <c r="E20">
        <v>2024</v>
      </c>
      <c r="F20" s="3">
        <v>45981.086926764787</v>
      </c>
      <c r="G20" t="s">
        <v>3921</v>
      </c>
      <c r="H20">
        <v>0</v>
      </c>
    </row>
    <row r="21" spans="1:8" x14ac:dyDescent="0.25">
      <c r="A21">
        <v>1070</v>
      </c>
      <c r="B21" t="s">
        <v>66</v>
      </c>
      <c r="C21">
        <v>0</v>
      </c>
      <c r="D21" t="s">
        <v>3920</v>
      </c>
      <c r="E21">
        <v>2024</v>
      </c>
      <c r="F21" s="3">
        <v>45981.086926764787</v>
      </c>
      <c r="G21" t="s">
        <v>3921</v>
      </c>
      <c r="H21">
        <v>0</v>
      </c>
    </row>
    <row r="22" spans="1:8" x14ac:dyDescent="0.25">
      <c r="A22">
        <v>1071</v>
      </c>
      <c r="B22" t="s">
        <v>67</v>
      </c>
      <c r="C22">
        <v>0</v>
      </c>
      <c r="D22" t="s">
        <v>3920</v>
      </c>
      <c r="E22">
        <v>2024</v>
      </c>
      <c r="F22" s="3">
        <v>45981.086926764787</v>
      </c>
      <c r="G22" t="s">
        <v>3921</v>
      </c>
      <c r="H22">
        <v>0</v>
      </c>
    </row>
    <row r="23" spans="1:8" x14ac:dyDescent="0.25">
      <c r="A23">
        <v>1072</v>
      </c>
      <c r="B23" t="s">
        <v>70</v>
      </c>
      <c r="C23">
        <v>0</v>
      </c>
      <c r="D23" t="s">
        <v>3920</v>
      </c>
      <c r="E23">
        <v>2024</v>
      </c>
      <c r="F23" s="3">
        <v>45981.086926764787</v>
      </c>
      <c r="G23" t="s">
        <v>3921</v>
      </c>
      <c r="H23">
        <v>0</v>
      </c>
    </row>
    <row r="24" spans="1:8" x14ac:dyDescent="0.25">
      <c r="A24">
        <v>1073</v>
      </c>
      <c r="B24" t="s">
        <v>74</v>
      </c>
      <c r="C24">
        <v>0</v>
      </c>
      <c r="D24" t="s">
        <v>3920</v>
      </c>
      <c r="E24">
        <v>2024</v>
      </c>
      <c r="F24" s="3">
        <v>45981.086926764787</v>
      </c>
      <c r="G24" t="s">
        <v>3921</v>
      </c>
      <c r="H24">
        <v>0</v>
      </c>
    </row>
    <row r="25" spans="1:8" x14ac:dyDescent="0.25">
      <c r="A25">
        <v>1074</v>
      </c>
      <c r="B25" t="s">
        <v>77</v>
      </c>
      <c r="C25">
        <v>0</v>
      </c>
      <c r="D25" t="s">
        <v>3920</v>
      </c>
      <c r="E25">
        <v>2024</v>
      </c>
      <c r="F25" s="3">
        <v>45981.086926764787</v>
      </c>
      <c r="G25" t="s">
        <v>3921</v>
      </c>
      <c r="H25">
        <v>0</v>
      </c>
    </row>
    <row r="26" spans="1:8" x14ac:dyDescent="0.25">
      <c r="A26">
        <v>1075</v>
      </c>
      <c r="B26" t="s">
        <v>81</v>
      </c>
      <c r="C26">
        <v>0</v>
      </c>
      <c r="D26" t="s">
        <v>3920</v>
      </c>
      <c r="E26">
        <v>2024</v>
      </c>
      <c r="F26" s="3">
        <v>45981.086926764787</v>
      </c>
      <c r="G26" t="s">
        <v>3921</v>
      </c>
      <c r="H26">
        <v>0</v>
      </c>
    </row>
    <row r="27" spans="1:8" x14ac:dyDescent="0.25">
      <c r="A27">
        <v>1076</v>
      </c>
      <c r="B27" t="s">
        <v>85</v>
      </c>
      <c r="C27">
        <v>0</v>
      </c>
      <c r="D27" t="s">
        <v>3920</v>
      </c>
      <c r="E27">
        <v>2024</v>
      </c>
      <c r="F27" s="3">
        <v>45981.086926764787</v>
      </c>
      <c r="G27" t="s">
        <v>3921</v>
      </c>
      <c r="H27">
        <v>0</v>
      </c>
    </row>
    <row r="28" spans="1:8" x14ac:dyDescent="0.25">
      <c r="A28">
        <v>1077</v>
      </c>
      <c r="B28" t="s">
        <v>89</v>
      </c>
      <c r="C28">
        <v>0</v>
      </c>
      <c r="D28" t="s">
        <v>3920</v>
      </c>
      <c r="E28">
        <v>2024</v>
      </c>
      <c r="F28" s="3">
        <v>45981.086926764787</v>
      </c>
      <c r="G28" t="s">
        <v>3921</v>
      </c>
      <c r="H28">
        <v>0</v>
      </c>
    </row>
    <row r="29" spans="1:8" x14ac:dyDescent="0.25">
      <c r="A29">
        <v>1078</v>
      </c>
      <c r="B29" t="s">
        <v>92</v>
      </c>
      <c r="C29">
        <v>0</v>
      </c>
      <c r="D29" t="s">
        <v>3920</v>
      </c>
      <c r="E29">
        <v>2024</v>
      </c>
      <c r="F29" s="3">
        <v>45981.086926764787</v>
      </c>
      <c r="G29" t="s">
        <v>3921</v>
      </c>
      <c r="H29">
        <v>0</v>
      </c>
    </row>
    <row r="30" spans="1:8" x14ac:dyDescent="0.25">
      <c r="A30">
        <v>1079</v>
      </c>
      <c r="B30" t="s">
        <v>95</v>
      </c>
      <c r="C30">
        <v>0</v>
      </c>
      <c r="D30" t="s">
        <v>3920</v>
      </c>
      <c r="E30">
        <v>2024</v>
      </c>
      <c r="F30" s="3">
        <v>45981.086926764787</v>
      </c>
      <c r="G30" t="s">
        <v>3921</v>
      </c>
      <c r="H30">
        <v>0</v>
      </c>
    </row>
    <row r="31" spans="1:8" x14ac:dyDescent="0.25">
      <c r="A31">
        <v>1080</v>
      </c>
      <c r="B31" t="s">
        <v>98</v>
      </c>
      <c r="C31">
        <v>0</v>
      </c>
      <c r="D31" t="s">
        <v>3920</v>
      </c>
      <c r="E31">
        <v>2024</v>
      </c>
      <c r="F31" s="3">
        <v>45981.086926764787</v>
      </c>
      <c r="G31" t="s">
        <v>3921</v>
      </c>
      <c r="H31">
        <v>0</v>
      </c>
    </row>
    <row r="32" spans="1:8" x14ac:dyDescent="0.25">
      <c r="A32">
        <v>1081</v>
      </c>
      <c r="B32" t="s">
        <v>99</v>
      </c>
      <c r="C32">
        <v>0</v>
      </c>
      <c r="D32" t="s">
        <v>3920</v>
      </c>
      <c r="E32">
        <v>2024</v>
      </c>
      <c r="F32" s="3">
        <v>45981.086926764787</v>
      </c>
      <c r="G32" t="s">
        <v>3921</v>
      </c>
      <c r="H32">
        <v>0</v>
      </c>
    </row>
    <row r="33" spans="1:8" x14ac:dyDescent="0.25">
      <c r="A33">
        <v>1082</v>
      </c>
      <c r="B33" t="s">
        <v>100</v>
      </c>
      <c r="C33">
        <v>0</v>
      </c>
      <c r="D33" t="s">
        <v>3920</v>
      </c>
      <c r="E33">
        <v>2024</v>
      </c>
      <c r="F33" s="3">
        <v>45981.086926764787</v>
      </c>
      <c r="G33" t="s">
        <v>3921</v>
      </c>
      <c r="H33">
        <v>0</v>
      </c>
    </row>
    <row r="34" spans="1:8" x14ac:dyDescent="0.25">
      <c r="A34">
        <v>1083</v>
      </c>
      <c r="B34" t="s">
        <v>103</v>
      </c>
      <c r="C34">
        <v>0.56000000000000005</v>
      </c>
      <c r="D34" t="s">
        <v>3920</v>
      </c>
      <c r="E34">
        <v>2024</v>
      </c>
      <c r="F34" s="3">
        <v>45981.086926764787</v>
      </c>
      <c r="G34" t="s">
        <v>3921</v>
      </c>
      <c r="H34">
        <v>1120</v>
      </c>
    </row>
    <row r="35" spans="1:8" x14ac:dyDescent="0.25">
      <c r="A35">
        <v>1084</v>
      </c>
      <c r="B35" t="s">
        <v>107</v>
      </c>
      <c r="C35">
        <v>0.6</v>
      </c>
      <c r="D35" t="s">
        <v>3920</v>
      </c>
      <c r="E35">
        <v>2024</v>
      </c>
      <c r="F35" s="3">
        <v>45981.086926764787</v>
      </c>
      <c r="G35" t="s">
        <v>3921</v>
      </c>
      <c r="H35">
        <v>300</v>
      </c>
    </row>
    <row r="36" spans="1:8" x14ac:dyDescent="0.25">
      <c r="A36">
        <v>1085</v>
      </c>
      <c r="B36" t="s">
        <v>110</v>
      </c>
      <c r="C36">
        <v>0.6</v>
      </c>
      <c r="D36" t="s">
        <v>3920</v>
      </c>
      <c r="E36">
        <v>2024</v>
      </c>
      <c r="F36" s="3">
        <v>45981.086926764787</v>
      </c>
      <c r="G36" t="s">
        <v>3921</v>
      </c>
      <c r="H36">
        <v>600</v>
      </c>
    </row>
    <row r="37" spans="1:8" x14ac:dyDescent="0.25">
      <c r="A37">
        <v>1086</v>
      </c>
      <c r="B37" t="s">
        <v>113</v>
      </c>
      <c r="C37">
        <v>0</v>
      </c>
      <c r="D37" t="s">
        <v>3920</v>
      </c>
      <c r="E37">
        <v>2024</v>
      </c>
      <c r="F37" s="3">
        <v>45981.086926764787</v>
      </c>
      <c r="G37" t="s">
        <v>3921</v>
      </c>
      <c r="H37">
        <v>0</v>
      </c>
    </row>
    <row r="38" spans="1:8" x14ac:dyDescent="0.25">
      <c r="A38">
        <v>1087</v>
      </c>
      <c r="B38" t="s">
        <v>114</v>
      </c>
      <c r="C38">
        <v>0</v>
      </c>
      <c r="D38" t="s">
        <v>3920</v>
      </c>
      <c r="E38">
        <v>2024</v>
      </c>
      <c r="F38" s="3">
        <v>45981.086926764787</v>
      </c>
      <c r="G38" t="s">
        <v>3921</v>
      </c>
      <c r="H38">
        <v>0</v>
      </c>
    </row>
    <row r="39" spans="1:8" x14ac:dyDescent="0.25">
      <c r="A39">
        <v>1088</v>
      </c>
      <c r="B39" t="s">
        <v>118</v>
      </c>
      <c r="C39">
        <v>0</v>
      </c>
      <c r="D39" t="s">
        <v>3920</v>
      </c>
      <c r="E39">
        <v>2024</v>
      </c>
      <c r="F39" s="3">
        <v>45981.086926764787</v>
      </c>
      <c r="G39" t="s">
        <v>3921</v>
      </c>
      <c r="H39">
        <v>0</v>
      </c>
    </row>
    <row r="40" spans="1:8" x14ac:dyDescent="0.25">
      <c r="A40">
        <v>1089</v>
      </c>
      <c r="B40" t="s">
        <v>121</v>
      </c>
      <c r="C40">
        <v>0</v>
      </c>
      <c r="D40" t="s">
        <v>3920</v>
      </c>
      <c r="E40">
        <v>2024</v>
      </c>
      <c r="F40" s="3">
        <v>45981.086926764787</v>
      </c>
      <c r="G40" t="s">
        <v>3921</v>
      </c>
      <c r="H40">
        <v>0</v>
      </c>
    </row>
    <row r="41" spans="1:8" x14ac:dyDescent="0.25">
      <c r="A41">
        <v>1090</v>
      </c>
      <c r="B41" t="s">
        <v>865</v>
      </c>
      <c r="C41">
        <v>0.53</v>
      </c>
      <c r="D41" t="s">
        <v>3920</v>
      </c>
      <c r="E41">
        <v>2024</v>
      </c>
      <c r="F41" s="3">
        <v>45981.086926764787</v>
      </c>
      <c r="G41" t="s">
        <v>3921</v>
      </c>
      <c r="H41">
        <v>1175.7131173324949</v>
      </c>
    </row>
    <row r="42" spans="1:8" x14ac:dyDescent="0.25">
      <c r="A42">
        <v>1091</v>
      </c>
      <c r="B42" t="s">
        <v>894</v>
      </c>
      <c r="C42">
        <v>0</v>
      </c>
      <c r="D42" t="s">
        <v>3920</v>
      </c>
      <c r="E42">
        <v>2024</v>
      </c>
      <c r="F42" s="3">
        <v>45981.086926764787</v>
      </c>
      <c r="G42" t="s">
        <v>3921</v>
      </c>
      <c r="H42">
        <v>0</v>
      </c>
    </row>
    <row r="43" spans="1:8" x14ac:dyDescent="0.25">
      <c r="A43">
        <v>1092</v>
      </c>
      <c r="B43" t="s">
        <v>271</v>
      </c>
      <c r="C43">
        <v>0</v>
      </c>
      <c r="D43" t="s">
        <v>3920</v>
      </c>
      <c r="E43">
        <v>2024</v>
      </c>
      <c r="F43" s="3">
        <v>45981.086926764787</v>
      </c>
      <c r="G43" t="s">
        <v>3921</v>
      </c>
      <c r="H43">
        <v>0</v>
      </c>
    </row>
    <row r="44" spans="1:8" x14ac:dyDescent="0.25">
      <c r="A44">
        <v>1093</v>
      </c>
      <c r="B44" t="s">
        <v>898</v>
      </c>
      <c r="C44">
        <v>0</v>
      </c>
      <c r="D44" t="s">
        <v>3920</v>
      </c>
      <c r="E44">
        <v>2024</v>
      </c>
      <c r="F44" s="3">
        <v>45981.086926764787</v>
      </c>
      <c r="G44" t="s">
        <v>3921</v>
      </c>
      <c r="H44">
        <v>0</v>
      </c>
    </row>
    <row r="45" spans="1:8" x14ac:dyDescent="0.25">
      <c r="A45">
        <v>1094</v>
      </c>
      <c r="B45" t="s">
        <v>901</v>
      </c>
      <c r="C45">
        <v>0</v>
      </c>
      <c r="D45" t="s">
        <v>3920</v>
      </c>
      <c r="E45">
        <v>2024</v>
      </c>
      <c r="F45" s="3">
        <v>45981.086926764787</v>
      </c>
      <c r="G45" t="s">
        <v>3921</v>
      </c>
      <c r="H45">
        <v>0</v>
      </c>
    </row>
    <row r="46" spans="1:8" x14ac:dyDescent="0.25">
      <c r="A46">
        <v>1095</v>
      </c>
      <c r="B46" t="s">
        <v>135</v>
      </c>
      <c r="C46">
        <v>0</v>
      </c>
      <c r="D46" t="s">
        <v>3920</v>
      </c>
      <c r="E46">
        <v>2024</v>
      </c>
      <c r="F46" s="3">
        <v>45981.086926764787</v>
      </c>
      <c r="G46" t="s">
        <v>3921</v>
      </c>
      <c r="H46">
        <v>0</v>
      </c>
    </row>
    <row r="47" spans="1:8" x14ac:dyDescent="0.25">
      <c r="A47">
        <v>1096</v>
      </c>
      <c r="B47" t="s">
        <v>146</v>
      </c>
      <c r="C47">
        <v>0</v>
      </c>
      <c r="D47" t="s">
        <v>3920</v>
      </c>
      <c r="E47">
        <v>2024</v>
      </c>
      <c r="F47" s="3">
        <v>45981.086926764787</v>
      </c>
      <c r="G47" t="s">
        <v>3921</v>
      </c>
      <c r="H47">
        <v>0</v>
      </c>
    </row>
    <row r="48" spans="1:8" x14ac:dyDescent="0.25">
      <c r="A48">
        <v>1097</v>
      </c>
      <c r="B48" t="s">
        <v>153</v>
      </c>
      <c r="C48">
        <v>0</v>
      </c>
      <c r="D48" t="s">
        <v>3920</v>
      </c>
      <c r="E48">
        <v>2024</v>
      </c>
      <c r="F48" s="3">
        <v>45981.086926764787</v>
      </c>
      <c r="G48" t="s">
        <v>3921</v>
      </c>
      <c r="H48">
        <v>0</v>
      </c>
    </row>
    <row r="49" spans="1:8" x14ac:dyDescent="0.25">
      <c r="A49">
        <v>1098</v>
      </c>
      <c r="B49" t="s">
        <v>170</v>
      </c>
      <c r="C49">
        <v>0</v>
      </c>
      <c r="D49" t="s">
        <v>3920</v>
      </c>
      <c r="E49">
        <v>2024</v>
      </c>
      <c r="F49" s="3">
        <v>45981.086926764787</v>
      </c>
      <c r="G49" t="s">
        <v>3921</v>
      </c>
      <c r="H49">
        <v>0</v>
      </c>
    </row>
    <row r="50" spans="1:8" x14ac:dyDescent="0.25">
      <c r="A50">
        <v>1099</v>
      </c>
      <c r="B50" t="s">
        <v>177</v>
      </c>
      <c r="C50">
        <v>0</v>
      </c>
      <c r="D50" t="s">
        <v>3920</v>
      </c>
      <c r="E50">
        <v>2024</v>
      </c>
      <c r="F50" s="3">
        <v>45981.086926764787</v>
      </c>
      <c r="G50" t="s">
        <v>3921</v>
      </c>
      <c r="H50">
        <v>0</v>
      </c>
    </row>
    <row r="51" spans="1:8" x14ac:dyDescent="0.25">
      <c r="A51">
        <v>1100</v>
      </c>
      <c r="B51" t="s">
        <v>190</v>
      </c>
      <c r="C51">
        <v>0</v>
      </c>
      <c r="D51" t="s">
        <v>3920</v>
      </c>
      <c r="E51">
        <v>2024</v>
      </c>
      <c r="F51" s="3">
        <v>45981.086926764787</v>
      </c>
      <c r="G51" t="s">
        <v>3921</v>
      </c>
      <c r="H51">
        <v>0</v>
      </c>
    </row>
    <row r="52" spans="1:8" x14ac:dyDescent="0.25">
      <c r="A52">
        <v>1101</v>
      </c>
      <c r="B52" t="s">
        <v>244</v>
      </c>
      <c r="C52">
        <v>0</v>
      </c>
      <c r="D52" t="s">
        <v>3920</v>
      </c>
      <c r="E52">
        <v>2024</v>
      </c>
      <c r="F52" s="3">
        <v>45981.086926764787</v>
      </c>
      <c r="G52" t="s">
        <v>3921</v>
      </c>
      <c r="H52">
        <v>0</v>
      </c>
    </row>
    <row r="53" spans="1:8" x14ac:dyDescent="0.25">
      <c r="A53">
        <v>1102</v>
      </c>
      <c r="B53" t="s">
        <v>268</v>
      </c>
      <c r="C53">
        <v>0</v>
      </c>
      <c r="D53" t="s">
        <v>3920</v>
      </c>
      <c r="E53">
        <v>2024</v>
      </c>
      <c r="F53" s="3">
        <v>45981.086926764787</v>
      </c>
      <c r="G53" t="s">
        <v>3921</v>
      </c>
      <c r="H53">
        <v>0</v>
      </c>
    </row>
    <row r="54" spans="1:8" x14ac:dyDescent="0.25">
      <c r="A54">
        <v>1103</v>
      </c>
      <c r="B54" t="s">
        <v>274</v>
      </c>
      <c r="C54">
        <v>0.39</v>
      </c>
      <c r="D54" t="s">
        <v>3920</v>
      </c>
      <c r="E54">
        <v>2024</v>
      </c>
      <c r="F54" s="3">
        <v>45981.086926764787</v>
      </c>
      <c r="G54" t="s">
        <v>3921</v>
      </c>
      <c r="H54">
        <v>1560</v>
      </c>
    </row>
    <row r="55" spans="1:8" x14ac:dyDescent="0.25">
      <c r="A55">
        <v>1104</v>
      </c>
      <c r="B55" t="s">
        <v>278</v>
      </c>
      <c r="C55">
        <v>0.62</v>
      </c>
      <c r="D55" t="s">
        <v>3920</v>
      </c>
      <c r="E55">
        <v>2024</v>
      </c>
      <c r="F55" s="3">
        <v>45981.086926764787</v>
      </c>
      <c r="G55" t="s">
        <v>3921</v>
      </c>
      <c r="H55">
        <v>618.65442708333342</v>
      </c>
    </row>
    <row r="56" spans="1:8" x14ac:dyDescent="0.25">
      <c r="A56">
        <v>1105</v>
      </c>
      <c r="B56" t="s">
        <v>282</v>
      </c>
      <c r="C56">
        <v>0</v>
      </c>
      <c r="D56" t="s">
        <v>3920</v>
      </c>
      <c r="E56">
        <v>2024</v>
      </c>
      <c r="F56" s="3">
        <v>45981.086926764787</v>
      </c>
      <c r="G56" t="s">
        <v>3921</v>
      </c>
      <c r="H56">
        <v>0</v>
      </c>
    </row>
    <row r="57" spans="1:8" x14ac:dyDescent="0.25">
      <c r="A57">
        <v>1106</v>
      </c>
      <c r="B57" t="s">
        <v>283</v>
      </c>
      <c r="C57">
        <v>0</v>
      </c>
      <c r="D57" t="s">
        <v>3920</v>
      </c>
      <c r="E57">
        <v>2024</v>
      </c>
      <c r="F57" s="3">
        <v>45981.086926764787</v>
      </c>
      <c r="G57" t="s">
        <v>3921</v>
      </c>
      <c r="H57">
        <v>0</v>
      </c>
    </row>
    <row r="58" spans="1:8" x14ac:dyDescent="0.25">
      <c r="A58">
        <v>1107</v>
      </c>
      <c r="B58" t="s">
        <v>286</v>
      </c>
      <c r="C58">
        <v>0</v>
      </c>
      <c r="D58" t="s">
        <v>3920</v>
      </c>
      <c r="E58">
        <v>2024</v>
      </c>
      <c r="F58" s="3">
        <v>45981.086926764787</v>
      </c>
      <c r="G58" t="s">
        <v>3921</v>
      </c>
      <c r="H58">
        <v>0</v>
      </c>
    </row>
    <row r="59" spans="1:8" x14ac:dyDescent="0.25">
      <c r="A59">
        <v>1108</v>
      </c>
      <c r="B59" t="s">
        <v>287</v>
      </c>
      <c r="C59">
        <v>0</v>
      </c>
      <c r="D59" t="s">
        <v>3920</v>
      </c>
      <c r="E59">
        <v>2024</v>
      </c>
      <c r="F59" s="3">
        <v>45981.086926764787</v>
      </c>
      <c r="G59" t="s">
        <v>3921</v>
      </c>
      <c r="H59">
        <v>0</v>
      </c>
    </row>
    <row r="60" spans="1:8" x14ac:dyDescent="0.25">
      <c r="A60">
        <v>1109</v>
      </c>
      <c r="B60" t="s">
        <v>291</v>
      </c>
      <c r="C60">
        <v>0.6</v>
      </c>
      <c r="D60" t="s">
        <v>3920</v>
      </c>
      <c r="E60">
        <v>2024</v>
      </c>
      <c r="F60" s="3">
        <v>45981.086926764787</v>
      </c>
      <c r="G60" t="s">
        <v>3921</v>
      </c>
      <c r="H60">
        <v>2709.3588888888889</v>
      </c>
    </row>
    <row r="61" spans="1:8" x14ac:dyDescent="0.25">
      <c r="A61">
        <v>1110</v>
      </c>
      <c r="B61" t="s">
        <v>295</v>
      </c>
      <c r="C61">
        <v>0.9</v>
      </c>
      <c r="D61" t="s">
        <v>3920</v>
      </c>
      <c r="E61">
        <v>2024</v>
      </c>
      <c r="F61" s="3">
        <v>45981.086926764787</v>
      </c>
      <c r="G61" t="s">
        <v>3921</v>
      </c>
      <c r="H61">
        <v>900</v>
      </c>
    </row>
    <row r="62" spans="1:8" x14ac:dyDescent="0.25">
      <c r="A62">
        <v>1111</v>
      </c>
      <c r="B62" t="s">
        <v>299</v>
      </c>
      <c r="C62">
        <v>0.70532954987550567</v>
      </c>
      <c r="D62" t="s">
        <v>3920</v>
      </c>
      <c r="E62">
        <v>2024</v>
      </c>
      <c r="F62" s="3">
        <v>45981.086926764787</v>
      </c>
      <c r="G62" t="s">
        <v>3921</v>
      </c>
      <c r="H62">
        <v>1410.6590997510109</v>
      </c>
    </row>
    <row r="63" spans="1:8" x14ac:dyDescent="0.25">
      <c r="A63">
        <v>1112</v>
      </c>
      <c r="B63" t="s">
        <v>302</v>
      </c>
      <c r="C63">
        <v>0</v>
      </c>
      <c r="D63" t="s">
        <v>3920</v>
      </c>
      <c r="E63">
        <v>2024</v>
      </c>
      <c r="F63" s="3">
        <v>45981.086926764787</v>
      </c>
      <c r="G63" t="s">
        <v>3921</v>
      </c>
      <c r="H63">
        <v>0</v>
      </c>
    </row>
    <row r="64" spans="1:8" x14ac:dyDescent="0.25">
      <c r="A64">
        <v>1113</v>
      </c>
      <c r="B64" t="s">
        <v>311</v>
      </c>
      <c r="C64">
        <v>0</v>
      </c>
      <c r="D64" t="s">
        <v>3920</v>
      </c>
      <c r="E64">
        <v>2024</v>
      </c>
      <c r="F64" s="3">
        <v>45981.086926764787</v>
      </c>
      <c r="G64" t="s">
        <v>3921</v>
      </c>
      <c r="H64">
        <v>0</v>
      </c>
    </row>
    <row r="65" spans="1:8" x14ac:dyDescent="0.25">
      <c r="A65">
        <v>1114</v>
      </c>
      <c r="B65" t="s">
        <v>315</v>
      </c>
      <c r="C65">
        <v>0</v>
      </c>
      <c r="D65" t="s">
        <v>3920</v>
      </c>
      <c r="E65">
        <v>2024</v>
      </c>
      <c r="F65" s="3">
        <v>45981.086926764787</v>
      </c>
      <c r="G65" t="s">
        <v>3921</v>
      </c>
      <c r="H65">
        <v>0</v>
      </c>
    </row>
    <row r="66" spans="1:8" x14ac:dyDescent="0.25">
      <c r="A66">
        <v>1115</v>
      </c>
      <c r="B66" t="s">
        <v>319</v>
      </c>
      <c r="C66">
        <v>0</v>
      </c>
      <c r="D66" t="s">
        <v>3920</v>
      </c>
      <c r="E66">
        <v>2024</v>
      </c>
      <c r="F66" s="3">
        <v>45981.086926764787</v>
      </c>
      <c r="G66" t="s">
        <v>3921</v>
      </c>
      <c r="H66">
        <v>0</v>
      </c>
    </row>
    <row r="67" spans="1:8" x14ac:dyDescent="0.25">
      <c r="A67">
        <v>1116</v>
      </c>
      <c r="B67" t="s">
        <v>323</v>
      </c>
      <c r="C67">
        <v>0</v>
      </c>
      <c r="D67" t="s">
        <v>3920</v>
      </c>
      <c r="E67">
        <v>2024</v>
      </c>
      <c r="F67" s="3">
        <v>45981.086926764787</v>
      </c>
      <c r="G67" t="s">
        <v>3921</v>
      </c>
      <c r="H67">
        <v>0</v>
      </c>
    </row>
    <row r="68" spans="1:8" x14ac:dyDescent="0.25">
      <c r="A68">
        <v>1117</v>
      </c>
      <c r="B68" t="s">
        <v>305</v>
      </c>
      <c r="C68">
        <v>0</v>
      </c>
      <c r="D68" t="s">
        <v>3920</v>
      </c>
      <c r="E68">
        <v>2024</v>
      </c>
      <c r="F68" s="3">
        <v>45981.086926764787</v>
      </c>
      <c r="G68" t="s">
        <v>3921</v>
      </c>
      <c r="H68">
        <v>0</v>
      </c>
    </row>
    <row r="69" spans="1:8" x14ac:dyDescent="0.25">
      <c r="A69">
        <v>1118</v>
      </c>
      <c r="B69" t="s">
        <v>380</v>
      </c>
      <c r="C69">
        <v>1</v>
      </c>
      <c r="D69" t="s">
        <v>3920</v>
      </c>
      <c r="E69">
        <v>2024</v>
      </c>
      <c r="F69" s="3">
        <v>45981.086926764787</v>
      </c>
      <c r="G69" t="s">
        <v>3921</v>
      </c>
      <c r="H69">
        <v>1000</v>
      </c>
    </row>
    <row r="70" spans="1:8" x14ac:dyDescent="0.25">
      <c r="A70">
        <v>1119</v>
      </c>
      <c r="B70" t="s">
        <v>383</v>
      </c>
      <c r="C70">
        <v>0</v>
      </c>
      <c r="D70" t="s">
        <v>3920</v>
      </c>
      <c r="E70">
        <v>2024</v>
      </c>
      <c r="F70" s="3">
        <v>45981.086926764787</v>
      </c>
      <c r="G70" t="s">
        <v>3921</v>
      </c>
      <c r="H70">
        <v>0</v>
      </c>
    </row>
    <row r="71" spans="1:8" x14ac:dyDescent="0.25">
      <c r="A71">
        <v>1120</v>
      </c>
      <c r="B71" t="s">
        <v>386</v>
      </c>
      <c r="C71">
        <v>0</v>
      </c>
      <c r="D71" t="s">
        <v>3920</v>
      </c>
      <c r="E71">
        <v>2024</v>
      </c>
      <c r="F71" s="3">
        <v>45981.086926764787</v>
      </c>
      <c r="G71" t="s">
        <v>3921</v>
      </c>
      <c r="H71">
        <v>0</v>
      </c>
    </row>
    <row r="72" spans="1:8" x14ac:dyDescent="0.25">
      <c r="A72">
        <v>1121</v>
      </c>
      <c r="B72" t="s">
        <v>389</v>
      </c>
      <c r="C72">
        <v>0</v>
      </c>
      <c r="D72" t="s">
        <v>3920</v>
      </c>
      <c r="E72">
        <v>2024</v>
      </c>
      <c r="F72" s="3">
        <v>45981.086926764787</v>
      </c>
      <c r="G72" t="s">
        <v>3921</v>
      </c>
      <c r="H72">
        <v>0</v>
      </c>
    </row>
    <row r="73" spans="1:8" x14ac:dyDescent="0.25">
      <c r="A73">
        <v>1122</v>
      </c>
      <c r="B73" t="s">
        <v>392</v>
      </c>
      <c r="C73">
        <v>0</v>
      </c>
      <c r="D73" t="s">
        <v>3920</v>
      </c>
      <c r="E73">
        <v>2024</v>
      </c>
      <c r="F73" s="3">
        <v>45981.086926764787</v>
      </c>
      <c r="G73" t="s">
        <v>3921</v>
      </c>
      <c r="H73">
        <v>0</v>
      </c>
    </row>
    <row r="74" spans="1:8" x14ac:dyDescent="0.25">
      <c r="A74">
        <v>1123</v>
      </c>
      <c r="B74" t="s">
        <v>395</v>
      </c>
      <c r="C74">
        <v>0.48423591965479829</v>
      </c>
      <c r="D74" t="s">
        <v>3920</v>
      </c>
      <c r="E74">
        <v>2024</v>
      </c>
      <c r="F74" s="3">
        <v>45981.086926764787</v>
      </c>
      <c r="G74" t="s">
        <v>3921</v>
      </c>
      <c r="H74">
        <v>7263.538794821975</v>
      </c>
    </row>
    <row r="75" spans="1:8" x14ac:dyDescent="0.25">
      <c r="A75">
        <v>1124</v>
      </c>
      <c r="B75" t="s">
        <v>398</v>
      </c>
      <c r="C75">
        <v>0.8680524088888889</v>
      </c>
      <c r="D75" t="s">
        <v>3920</v>
      </c>
      <c r="E75">
        <v>2024</v>
      </c>
      <c r="F75" s="3">
        <v>45981.086926764787</v>
      </c>
      <c r="G75" t="s">
        <v>3921</v>
      </c>
      <c r="H75">
        <v>260.41572266666668</v>
      </c>
    </row>
    <row r="76" spans="1:8" x14ac:dyDescent="0.25">
      <c r="A76">
        <v>1125</v>
      </c>
      <c r="B76" t="s">
        <v>1006</v>
      </c>
      <c r="C76">
        <v>0</v>
      </c>
      <c r="D76" t="s">
        <v>3920</v>
      </c>
      <c r="E76">
        <v>2024</v>
      </c>
      <c r="F76" s="3">
        <v>45981.086926764787</v>
      </c>
      <c r="G76" t="s">
        <v>3921</v>
      </c>
      <c r="H76">
        <v>0</v>
      </c>
    </row>
    <row r="77" spans="1:8" x14ac:dyDescent="0.25">
      <c r="A77">
        <v>1126</v>
      </c>
      <c r="B77" t="s">
        <v>1043</v>
      </c>
      <c r="C77">
        <v>0</v>
      </c>
      <c r="D77" t="s">
        <v>3920</v>
      </c>
      <c r="E77">
        <v>2024</v>
      </c>
      <c r="F77" s="3">
        <v>45981.086926764787</v>
      </c>
      <c r="G77" t="s">
        <v>3921</v>
      </c>
      <c r="H77">
        <v>0</v>
      </c>
    </row>
    <row r="78" spans="1:8" x14ac:dyDescent="0.25">
      <c r="A78">
        <v>1127</v>
      </c>
      <c r="B78" t="s">
        <v>1063</v>
      </c>
      <c r="C78">
        <v>0</v>
      </c>
      <c r="D78" t="s">
        <v>3920</v>
      </c>
      <c r="E78">
        <v>2024</v>
      </c>
      <c r="F78" s="3">
        <v>45981.086926764787</v>
      </c>
      <c r="G78" t="s">
        <v>3921</v>
      </c>
      <c r="H78">
        <v>0</v>
      </c>
    </row>
    <row r="79" spans="1:8" x14ac:dyDescent="0.25">
      <c r="A79">
        <v>1128</v>
      </c>
      <c r="B79" t="s">
        <v>1110</v>
      </c>
      <c r="C79">
        <v>0</v>
      </c>
      <c r="D79" t="s">
        <v>3920</v>
      </c>
      <c r="E79">
        <v>2024</v>
      </c>
      <c r="F79" s="3">
        <v>45981.086926764787</v>
      </c>
      <c r="G79" t="s">
        <v>3921</v>
      </c>
      <c r="H79">
        <v>0</v>
      </c>
    </row>
    <row r="80" spans="1:8" x14ac:dyDescent="0.25">
      <c r="A80">
        <v>1129</v>
      </c>
      <c r="B80" t="s">
        <v>449</v>
      </c>
      <c r="C80">
        <v>0</v>
      </c>
      <c r="D80" t="s">
        <v>3920</v>
      </c>
      <c r="E80">
        <v>2024</v>
      </c>
      <c r="F80" s="3">
        <v>45981.086926764787</v>
      </c>
      <c r="G80" t="s">
        <v>3921</v>
      </c>
      <c r="H80">
        <v>0</v>
      </c>
    </row>
    <row r="81" spans="1:8" x14ac:dyDescent="0.25">
      <c r="A81">
        <v>1130</v>
      </c>
      <c r="B81" t="s">
        <v>417</v>
      </c>
      <c r="C81">
        <v>0</v>
      </c>
      <c r="D81" t="s">
        <v>3920</v>
      </c>
      <c r="E81">
        <v>2024</v>
      </c>
      <c r="F81" s="3">
        <v>45981.086926764787</v>
      </c>
      <c r="G81" t="s">
        <v>3921</v>
      </c>
      <c r="H81">
        <v>0</v>
      </c>
    </row>
    <row r="82" spans="1:8" x14ac:dyDescent="0.25">
      <c r="A82">
        <v>1131</v>
      </c>
      <c r="B82" t="s">
        <v>425</v>
      </c>
      <c r="C82">
        <v>0</v>
      </c>
      <c r="D82" t="s">
        <v>3920</v>
      </c>
      <c r="E82">
        <v>2024</v>
      </c>
      <c r="F82" s="3">
        <v>45981.086926764787</v>
      </c>
      <c r="G82" t="s">
        <v>3921</v>
      </c>
      <c r="H82">
        <v>0</v>
      </c>
    </row>
    <row r="83" spans="1:8" x14ac:dyDescent="0.25">
      <c r="A83">
        <v>1132</v>
      </c>
      <c r="B83" t="s">
        <v>432</v>
      </c>
      <c r="C83">
        <v>0</v>
      </c>
      <c r="D83" t="s">
        <v>3920</v>
      </c>
      <c r="E83">
        <v>2024</v>
      </c>
      <c r="F83" s="3">
        <v>45981.086926764787</v>
      </c>
      <c r="G83" t="s">
        <v>3921</v>
      </c>
      <c r="H83">
        <v>0</v>
      </c>
    </row>
    <row r="84" spans="1:8" x14ac:dyDescent="0.25">
      <c r="A84">
        <v>1133</v>
      </c>
      <c r="B84" t="s">
        <v>439</v>
      </c>
      <c r="C84">
        <v>0</v>
      </c>
      <c r="D84" t="s">
        <v>3920</v>
      </c>
      <c r="E84">
        <v>2024</v>
      </c>
      <c r="F84" s="3">
        <v>45981.086926764787</v>
      </c>
      <c r="G84" t="s">
        <v>3921</v>
      </c>
      <c r="H84">
        <v>0</v>
      </c>
    </row>
    <row r="85" spans="1:8" x14ac:dyDescent="0.25">
      <c r="A85">
        <v>1134</v>
      </c>
      <c r="B85" t="s">
        <v>443</v>
      </c>
      <c r="C85">
        <v>0</v>
      </c>
      <c r="D85" t="s">
        <v>3920</v>
      </c>
      <c r="E85">
        <v>2024</v>
      </c>
      <c r="F85" s="3">
        <v>45981.086926764787</v>
      </c>
      <c r="G85" t="s">
        <v>3921</v>
      </c>
      <c r="H85">
        <v>0</v>
      </c>
    </row>
    <row r="86" spans="1:8" x14ac:dyDescent="0.25">
      <c r="A86">
        <v>1135</v>
      </c>
      <c r="B86" t="s">
        <v>446</v>
      </c>
      <c r="C86">
        <v>0</v>
      </c>
      <c r="D86" t="s">
        <v>3920</v>
      </c>
      <c r="E86">
        <v>2024</v>
      </c>
      <c r="F86" s="3">
        <v>45981.086926764787</v>
      </c>
      <c r="G86" t="s">
        <v>3921</v>
      </c>
      <c r="H86">
        <v>0</v>
      </c>
    </row>
    <row r="87" spans="1:8" x14ac:dyDescent="0.25">
      <c r="A87">
        <v>1136</v>
      </c>
      <c r="B87" t="s">
        <v>460</v>
      </c>
      <c r="C87">
        <v>0</v>
      </c>
      <c r="D87" t="s">
        <v>3920</v>
      </c>
      <c r="E87">
        <v>2024</v>
      </c>
      <c r="F87" s="3">
        <v>45981.086926764787</v>
      </c>
      <c r="G87" t="s">
        <v>3921</v>
      </c>
      <c r="H87">
        <v>0</v>
      </c>
    </row>
    <row r="88" spans="1:8" x14ac:dyDescent="0.25">
      <c r="A88">
        <v>1137</v>
      </c>
      <c r="B88" t="s">
        <v>401</v>
      </c>
      <c r="C88">
        <v>0</v>
      </c>
      <c r="D88" t="s">
        <v>3920</v>
      </c>
      <c r="E88">
        <v>2024</v>
      </c>
      <c r="F88" s="3">
        <v>45981.086926764787</v>
      </c>
      <c r="G88" t="s">
        <v>3921</v>
      </c>
      <c r="H88">
        <v>0</v>
      </c>
    </row>
    <row r="89" spans="1:8" x14ac:dyDescent="0.25">
      <c r="A89">
        <v>1138</v>
      </c>
      <c r="B89" t="s">
        <v>522</v>
      </c>
      <c r="C89">
        <v>0</v>
      </c>
      <c r="D89" t="s">
        <v>3920</v>
      </c>
      <c r="E89">
        <v>2024</v>
      </c>
      <c r="F89" s="3">
        <v>45981.086926764787</v>
      </c>
      <c r="G89" t="s">
        <v>3921</v>
      </c>
      <c r="H89">
        <v>0</v>
      </c>
    </row>
    <row r="90" spans="1:8" x14ac:dyDescent="0.25">
      <c r="A90">
        <v>1139</v>
      </c>
      <c r="B90" t="s">
        <v>525</v>
      </c>
      <c r="C90">
        <v>0</v>
      </c>
      <c r="D90" t="s">
        <v>3920</v>
      </c>
      <c r="E90">
        <v>2024</v>
      </c>
      <c r="F90" s="3">
        <v>45981.086926764787</v>
      </c>
      <c r="G90" t="s">
        <v>3921</v>
      </c>
      <c r="H90">
        <v>0</v>
      </c>
    </row>
    <row r="91" spans="1:8" x14ac:dyDescent="0.25">
      <c r="A91">
        <v>1140</v>
      </c>
      <c r="B91" t="s">
        <v>526</v>
      </c>
      <c r="C91">
        <v>0</v>
      </c>
      <c r="D91" t="s">
        <v>3920</v>
      </c>
      <c r="E91">
        <v>2024</v>
      </c>
      <c r="F91" s="3">
        <v>45981.086926764787</v>
      </c>
      <c r="G91" t="s">
        <v>3921</v>
      </c>
      <c r="H91">
        <v>0</v>
      </c>
    </row>
    <row r="92" spans="1:8" x14ac:dyDescent="0.25">
      <c r="A92">
        <v>1141</v>
      </c>
      <c r="B92" t="s">
        <v>533</v>
      </c>
      <c r="C92">
        <v>0</v>
      </c>
      <c r="D92" t="s">
        <v>3920</v>
      </c>
      <c r="E92">
        <v>2024</v>
      </c>
      <c r="F92" s="3">
        <v>45981.086926764787</v>
      </c>
      <c r="G92" t="s">
        <v>3921</v>
      </c>
      <c r="H92">
        <v>0</v>
      </c>
    </row>
    <row r="93" spans="1:8" x14ac:dyDescent="0.25">
      <c r="A93">
        <v>1142</v>
      </c>
      <c r="B93" t="s">
        <v>537</v>
      </c>
      <c r="C93">
        <v>0</v>
      </c>
      <c r="D93" t="s">
        <v>3920</v>
      </c>
      <c r="E93">
        <v>2024</v>
      </c>
      <c r="F93" s="3">
        <v>45981.086926764787</v>
      </c>
      <c r="G93" t="s">
        <v>3921</v>
      </c>
      <c r="H93">
        <v>0</v>
      </c>
    </row>
    <row r="94" spans="1:8" x14ac:dyDescent="0.25">
      <c r="A94">
        <v>1143</v>
      </c>
      <c r="B94" t="s">
        <v>551</v>
      </c>
      <c r="C94">
        <v>0</v>
      </c>
      <c r="D94" t="s">
        <v>3920</v>
      </c>
      <c r="E94">
        <v>2024</v>
      </c>
      <c r="F94" s="3">
        <v>45981.086926764787</v>
      </c>
      <c r="G94" t="s">
        <v>3921</v>
      </c>
      <c r="H94">
        <v>0</v>
      </c>
    </row>
    <row r="95" spans="1:8" x14ac:dyDescent="0.25">
      <c r="A95">
        <v>1144</v>
      </c>
      <c r="B95" t="s">
        <v>404</v>
      </c>
      <c r="C95">
        <v>0.81797103593073583</v>
      </c>
      <c r="D95" t="s">
        <v>3920</v>
      </c>
      <c r="E95">
        <v>2024</v>
      </c>
      <c r="F95" s="3">
        <v>45981.086926764787</v>
      </c>
      <c r="G95" t="s">
        <v>3921</v>
      </c>
      <c r="H95">
        <v>449.8840697619047</v>
      </c>
    </row>
    <row r="96" spans="1:8" x14ac:dyDescent="0.25">
      <c r="A96">
        <v>1145</v>
      </c>
      <c r="B96" t="s">
        <v>557</v>
      </c>
      <c r="C96">
        <v>0</v>
      </c>
      <c r="D96" t="s">
        <v>3920</v>
      </c>
      <c r="E96">
        <v>2024</v>
      </c>
      <c r="F96" s="3">
        <v>45981.086926764787</v>
      </c>
      <c r="G96" t="s">
        <v>3921</v>
      </c>
      <c r="H96">
        <v>0</v>
      </c>
    </row>
    <row r="97" spans="1:8" x14ac:dyDescent="0.25">
      <c r="A97">
        <v>1146</v>
      </c>
      <c r="B97" t="s">
        <v>566</v>
      </c>
      <c r="C97">
        <v>0</v>
      </c>
      <c r="D97" t="s">
        <v>3920</v>
      </c>
      <c r="E97">
        <v>2024</v>
      </c>
      <c r="F97" s="3">
        <v>45981.086926764787</v>
      </c>
      <c r="G97" t="s">
        <v>3921</v>
      </c>
      <c r="H97">
        <v>0</v>
      </c>
    </row>
    <row r="98" spans="1:8" x14ac:dyDescent="0.25">
      <c r="A98">
        <v>1147</v>
      </c>
      <c r="B98" t="s">
        <v>1125</v>
      </c>
      <c r="C98">
        <v>0</v>
      </c>
      <c r="D98" t="s">
        <v>3920</v>
      </c>
      <c r="E98">
        <v>2024</v>
      </c>
      <c r="F98" s="3">
        <v>45981.086926764787</v>
      </c>
      <c r="G98" t="s">
        <v>3921</v>
      </c>
      <c r="H98">
        <v>0</v>
      </c>
    </row>
    <row r="99" spans="1:8" x14ac:dyDescent="0.25">
      <c r="A99">
        <v>1148</v>
      </c>
      <c r="B99" t="s">
        <v>1167</v>
      </c>
      <c r="C99">
        <v>0</v>
      </c>
      <c r="D99" t="s">
        <v>3920</v>
      </c>
      <c r="E99">
        <v>2024</v>
      </c>
      <c r="F99" s="3">
        <v>45981.086926764787</v>
      </c>
      <c r="G99" t="s">
        <v>3921</v>
      </c>
      <c r="H99">
        <v>0</v>
      </c>
    </row>
    <row r="100" spans="1:8" x14ac:dyDescent="0.25">
      <c r="A100">
        <v>1149</v>
      </c>
      <c r="B100" t="s">
        <v>1113</v>
      </c>
      <c r="C100">
        <v>0</v>
      </c>
      <c r="D100" t="s">
        <v>3920</v>
      </c>
      <c r="E100">
        <v>2024</v>
      </c>
      <c r="F100" s="3">
        <v>45981.086926764787</v>
      </c>
      <c r="G100" t="s">
        <v>3921</v>
      </c>
      <c r="H100">
        <v>0</v>
      </c>
    </row>
    <row r="101" spans="1:8" x14ac:dyDescent="0.25">
      <c r="A101">
        <v>1150</v>
      </c>
      <c r="B101" t="s">
        <v>1171</v>
      </c>
      <c r="C101">
        <v>0</v>
      </c>
      <c r="D101" t="s">
        <v>3920</v>
      </c>
      <c r="E101">
        <v>2024</v>
      </c>
      <c r="F101" s="3">
        <v>45981.086926764787</v>
      </c>
      <c r="G101" t="s">
        <v>3921</v>
      </c>
      <c r="H101">
        <v>0</v>
      </c>
    </row>
    <row r="102" spans="1:8" x14ac:dyDescent="0.25">
      <c r="A102">
        <v>1151</v>
      </c>
      <c r="B102" t="s">
        <v>1174</v>
      </c>
      <c r="C102">
        <v>0</v>
      </c>
      <c r="D102" t="s">
        <v>3920</v>
      </c>
      <c r="E102">
        <v>2024</v>
      </c>
      <c r="F102" s="3">
        <v>45981.086926764787</v>
      </c>
      <c r="G102" t="s">
        <v>3921</v>
      </c>
      <c r="H102">
        <v>0</v>
      </c>
    </row>
    <row r="103" spans="1:8" x14ac:dyDescent="0.25">
      <c r="A103">
        <v>1152</v>
      </c>
      <c r="B103" t="s">
        <v>1216</v>
      </c>
      <c r="C103">
        <v>0</v>
      </c>
      <c r="D103" t="s">
        <v>3920</v>
      </c>
      <c r="E103">
        <v>2024</v>
      </c>
      <c r="F103" s="3">
        <v>45981.086926764787</v>
      </c>
      <c r="G103" t="s">
        <v>3921</v>
      </c>
      <c r="H103">
        <v>0</v>
      </c>
    </row>
    <row r="104" spans="1:8" x14ac:dyDescent="0.25">
      <c r="A104">
        <v>1153</v>
      </c>
      <c r="B104" t="s">
        <v>633</v>
      </c>
      <c r="C104">
        <v>0</v>
      </c>
      <c r="D104" t="s">
        <v>3920</v>
      </c>
      <c r="E104">
        <v>2024</v>
      </c>
      <c r="F104" s="3">
        <v>45981.086926764787</v>
      </c>
      <c r="G104" t="s">
        <v>3921</v>
      </c>
      <c r="H104">
        <v>0</v>
      </c>
    </row>
    <row r="105" spans="1:8" x14ac:dyDescent="0.25">
      <c r="A105">
        <v>1154</v>
      </c>
      <c r="B105" t="s">
        <v>641</v>
      </c>
      <c r="C105">
        <v>0</v>
      </c>
      <c r="D105" t="s">
        <v>3920</v>
      </c>
      <c r="E105">
        <v>2024</v>
      </c>
      <c r="F105" s="3">
        <v>45981.086926764787</v>
      </c>
      <c r="G105" t="s">
        <v>3921</v>
      </c>
      <c r="H105">
        <v>0</v>
      </c>
    </row>
    <row r="106" spans="1:8" x14ac:dyDescent="0.25">
      <c r="A106">
        <v>1155</v>
      </c>
      <c r="B106" t="s">
        <v>855</v>
      </c>
      <c r="C106">
        <v>0</v>
      </c>
      <c r="D106" t="s">
        <v>3920</v>
      </c>
      <c r="E106">
        <v>2024</v>
      </c>
      <c r="F106" s="3">
        <v>45981.086926764787</v>
      </c>
      <c r="G106" t="s">
        <v>3921</v>
      </c>
      <c r="H106">
        <v>0</v>
      </c>
    </row>
    <row r="107" spans="1:8" x14ac:dyDescent="0.25">
      <c r="A107">
        <v>1156</v>
      </c>
      <c r="B107" t="s">
        <v>864</v>
      </c>
      <c r="C107">
        <v>0.55583906046107012</v>
      </c>
      <c r="D107" t="s">
        <v>3920</v>
      </c>
      <c r="E107">
        <v>2024</v>
      </c>
      <c r="F107" s="3">
        <v>45981.086926764787</v>
      </c>
      <c r="G107" t="s">
        <v>3921</v>
      </c>
      <c r="H107">
        <v>1222.8459330143539</v>
      </c>
    </row>
    <row r="108" spans="1:8" x14ac:dyDescent="0.25">
      <c r="A108">
        <v>1157</v>
      </c>
      <c r="B108" t="s">
        <v>904</v>
      </c>
      <c r="C108">
        <v>0</v>
      </c>
      <c r="D108" t="s">
        <v>3920</v>
      </c>
      <c r="E108">
        <v>2024</v>
      </c>
      <c r="F108" s="3">
        <v>45981.086926764787</v>
      </c>
      <c r="G108" t="s">
        <v>3921</v>
      </c>
      <c r="H108">
        <v>0</v>
      </c>
    </row>
    <row r="109" spans="1:8" x14ac:dyDescent="0.25">
      <c r="A109">
        <v>1158</v>
      </c>
      <c r="B109" t="s">
        <v>866</v>
      </c>
      <c r="C109">
        <v>0.91650284090909095</v>
      </c>
      <c r="D109" t="s">
        <v>3920</v>
      </c>
      <c r="E109">
        <v>2024</v>
      </c>
      <c r="F109" s="3">
        <v>45981.086926764787</v>
      </c>
      <c r="G109" t="s">
        <v>3921</v>
      </c>
      <c r="H109">
        <v>2016.3062500000001</v>
      </c>
    </row>
    <row r="110" spans="1:8" x14ac:dyDescent="0.25">
      <c r="A110">
        <v>1159</v>
      </c>
      <c r="B110" t="s">
        <v>872</v>
      </c>
      <c r="C110">
        <v>0.86235416666666664</v>
      </c>
      <c r="D110" t="s">
        <v>3920</v>
      </c>
      <c r="E110">
        <v>2024</v>
      </c>
      <c r="F110" s="3">
        <v>45981.086926764787</v>
      </c>
      <c r="G110" t="s">
        <v>3921</v>
      </c>
      <c r="H110">
        <v>689.88333333333333</v>
      </c>
    </row>
    <row r="111" spans="1:8" x14ac:dyDescent="0.25">
      <c r="A111">
        <v>1160</v>
      </c>
      <c r="B111" t="s">
        <v>875</v>
      </c>
      <c r="C111">
        <v>0.28000000000000003</v>
      </c>
      <c r="D111" t="s">
        <v>3920</v>
      </c>
      <c r="E111">
        <v>2024</v>
      </c>
      <c r="F111" s="3">
        <v>45981.086926764787</v>
      </c>
      <c r="G111" t="s">
        <v>3921</v>
      </c>
      <c r="H111">
        <v>458.18181818181807</v>
      </c>
    </row>
    <row r="112" spans="1:8" x14ac:dyDescent="0.25">
      <c r="A112">
        <v>1161</v>
      </c>
      <c r="B112" t="s">
        <v>881</v>
      </c>
      <c r="C112">
        <v>0.1218361218361219</v>
      </c>
      <c r="D112" t="s">
        <v>3920</v>
      </c>
      <c r="E112">
        <v>2024</v>
      </c>
      <c r="F112" s="3">
        <v>45981.086926764787</v>
      </c>
      <c r="G112" t="s">
        <v>3921</v>
      </c>
      <c r="H112">
        <v>157.7777777777778</v>
      </c>
    </row>
    <row r="113" spans="1:8" x14ac:dyDescent="0.25">
      <c r="A113">
        <v>1162</v>
      </c>
      <c r="B113" t="s">
        <v>890</v>
      </c>
      <c r="C113">
        <v>1</v>
      </c>
      <c r="D113" t="s">
        <v>3920</v>
      </c>
      <c r="E113">
        <v>2024</v>
      </c>
      <c r="F113" s="3">
        <v>45981.086926764787</v>
      </c>
      <c r="G113" t="s">
        <v>3921</v>
      </c>
      <c r="H113">
        <v>660</v>
      </c>
    </row>
    <row r="114" spans="1:8" x14ac:dyDescent="0.25">
      <c r="A114">
        <v>1163</v>
      </c>
      <c r="B114" t="s">
        <v>908</v>
      </c>
      <c r="C114">
        <v>0</v>
      </c>
      <c r="D114" t="s">
        <v>3920</v>
      </c>
      <c r="E114">
        <v>2024</v>
      </c>
      <c r="F114" s="3">
        <v>45981.086926764787</v>
      </c>
      <c r="G114" t="s">
        <v>3921</v>
      </c>
      <c r="H114">
        <v>0</v>
      </c>
    </row>
    <row r="115" spans="1:8" x14ac:dyDescent="0.25">
      <c r="A115">
        <v>1164</v>
      </c>
      <c r="B115" t="s">
        <v>911</v>
      </c>
      <c r="C115">
        <v>0</v>
      </c>
      <c r="D115" t="s">
        <v>3920</v>
      </c>
      <c r="E115">
        <v>2024</v>
      </c>
      <c r="F115" s="3">
        <v>45981.086926764787</v>
      </c>
      <c r="G115" t="s">
        <v>3921</v>
      </c>
      <c r="H115">
        <v>0</v>
      </c>
    </row>
    <row r="116" spans="1:8" x14ac:dyDescent="0.25">
      <c r="A116">
        <v>1165</v>
      </c>
      <c r="B116" t="s">
        <v>914</v>
      </c>
      <c r="C116">
        <v>0</v>
      </c>
      <c r="D116" t="s">
        <v>3920</v>
      </c>
      <c r="E116">
        <v>2024</v>
      </c>
      <c r="F116" s="3">
        <v>45981.086926764787</v>
      </c>
      <c r="G116" t="s">
        <v>3921</v>
      </c>
      <c r="H116">
        <v>0</v>
      </c>
    </row>
    <row r="117" spans="1:8" x14ac:dyDescent="0.25">
      <c r="A117">
        <v>1166</v>
      </c>
      <c r="B117" t="s">
        <v>917</v>
      </c>
      <c r="C117">
        <v>0.65793722892853301</v>
      </c>
      <c r="D117" t="s">
        <v>3920</v>
      </c>
      <c r="E117">
        <v>2024</v>
      </c>
      <c r="F117" s="3">
        <v>45981.086926764787</v>
      </c>
      <c r="G117" t="s">
        <v>3921</v>
      </c>
      <c r="H117">
        <v>1664.581189189189</v>
      </c>
    </row>
    <row r="118" spans="1:8" x14ac:dyDescent="0.25">
      <c r="A118">
        <v>1167</v>
      </c>
      <c r="B118" t="s">
        <v>921</v>
      </c>
      <c r="C118">
        <v>0.76315789473684204</v>
      </c>
      <c r="D118" t="s">
        <v>3920</v>
      </c>
      <c r="E118">
        <v>2024</v>
      </c>
      <c r="F118" s="3">
        <v>45981.086926764787</v>
      </c>
      <c r="G118" t="s">
        <v>3921</v>
      </c>
      <c r="H118">
        <v>503.68421052631572</v>
      </c>
    </row>
    <row r="119" spans="1:8" x14ac:dyDescent="0.25">
      <c r="A119">
        <v>1168</v>
      </c>
      <c r="B119" t="s">
        <v>922</v>
      </c>
      <c r="C119">
        <v>0.66990291262135904</v>
      </c>
      <c r="D119" t="s">
        <v>3920</v>
      </c>
      <c r="E119">
        <v>2024</v>
      </c>
      <c r="F119" s="3">
        <v>45981.086926764787</v>
      </c>
      <c r="G119" t="s">
        <v>3921</v>
      </c>
      <c r="H119">
        <v>1473.7864077669899</v>
      </c>
    </row>
    <row r="120" spans="1:8" x14ac:dyDescent="0.25">
      <c r="A120">
        <v>1169</v>
      </c>
      <c r="B120" t="s">
        <v>926</v>
      </c>
      <c r="C120">
        <v>0.72</v>
      </c>
      <c r="D120" t="s">
        <v>3920</v>
      </c>
      <c r="E120">
        <v>2024</v>
      </c>
      <c r="F120" s="3">
        <v>45981.086926764787</v>
      </c>
      <c r="G120" t="s">
        <v>3921</v>
      </c>
      <c r="H120">
        <v>797.08571428571349</v>
      </c>
    </row>
    <row r="121" spans="1:8" x14ac:dyDescent="0.25">
      <c r="A121">
        <v>1170</v>
      </c>
      <c r="B121" t="s">
        <v>932</v>
      </c>
      <c r="C121">
        <v>0</v>
      </c>
      <c r="D121" t="s">
        <v>3920</v>
      </c>
      <c r="E121">
        <v>2024</v>
      </c>
      <c r="F121" s="3">
        <v>45981.086926764787</v>
      </c>
      <c r="G121" t="s">
        <v>3921</v>
      </c>
      <c r="H121">
        <v>0</v>
      </c>
    </row>
    <row r="122" spans="1:8" x14ac:dyDescent="0.25">
      <c r="A122">
        <v>1171</v>
      </c>
      <c r="B122" t="s">
        <v>933</v>
      </c>
      <c r="C122">
        <v>0.89130434782608703</v>
      </c>
      <c r="D122" t="s">
        <v>3920</v>
      </c>
      <c r="E122">
        <v>2024</v>
      </c>
      <c r="F122" s="3">
        <v>45981.086926764787</v>
      </c>
      <c r="G122" t="s">
        <v>3921</v>
      </c>
      <c r="H122">
        <v>490.21739130434793</v>
      </c>
    </row>
    <row r="123" spans="1:8" x14ac:dyDescent="0.25">
      <c r="A123">
        <v>1172</v>
      </c>
      <c r="B123" t="s">
        <v>936</v>
      </c>
      <c r="C123">
        <v>0.48</v>
      </c>
      <c r="D123" t="s">
        <v>3920</v>
      </c>
      <c r="E123">
        <v>2024</v>
      </c>
      <c r="F123" s="3">
        <v>45981.086926764787</v>
      </c>
      <c r="G123" t="s">
        <v>3921</v>
      </c>
      <c r="H123">
        <v>522.5</v>
      </c>
    </row>
    <row r="124" spans="1:8" x14ac:dyDescent="0.25">
      <c r="A124">
        <v>1173</v>
      </c>
      <c r="B124" t="s">
        <v>939</v>
      </c>
      <c r="C124">
        <v>0.92206828861120005</v>
      </c>
      <c r="D124" t="s">
        <v>3920</v>
      </c>
      <c r="E124">
        <v>2024</v>
      </c>
      <c r="F124" s="3">
        <v>45981.086926764787</v>
      </c>
      <c r="G124" t="s">
        <v>3921</v>
      </c>
      <c r="H124">
        <v>2332.8327701863359</v>
      </c>
    </row>
    <row r="125" spans="1:8" x14ac:dyDescent="0.25">
      <c r="A125">
        <v>1174</v>
      </c>
      <c r="B125" t="s">
        <v>942</v>
      </c>
      <c r="C125">
        <v>0.78260869565217395</v>
      </c>
      <c r="D125" t="s">
        <v>3920</v>
      </c>
      <c r="E125">
        <v>2024</v>
      </c>
      <c r="F125" s="3">
        <v>45981.086926764787</v>
      </c>
      <c r="G125" t="s">
        <v>3921</v>
      </c>
      <c r="H125">
        <v>430.43478260869568</v>
      </c>
    </row>
    <row r="126" spans="1:8" x14ac:dyDescent="0.25">
      <c r="A126">
        <v>1175</v>
      </c>
      <c r="B126" t="s">
        <v>974</v>
      </c>
      <c r="C126">
        <v>0.4152352481607674</v>
      </c>
      <c r="D126" t="s">
        <v>3920</v>
      </c>
      <c r="E126">
        <v>2024</v>
      </c>
      <c r="F126" s="3">
        <v>45981.086926764787</v>
      </c>
      <c r="G126" t="s">
        <v>3921</v>
      </c>
      <c r="H126">
        <v>6485.9745762711864</v>
      </c>
    </row>
    <row r="127" spans="1:8" x14ac:dyDescent="0.25">
      <c r="A127">
        <v>1176</v>
      </c>
      <c r="B127" t="s">
        <v>407</v>
      </c>
      <c r="C127">
        <v>0</v>
      </c>
      <c r="D127" t="s">
        <v>3920</v>
      </c>
      <c r="E127">
        <v>2024</v>
      </c>
      <c r="F127" s="3">
        <v>45981.086926764787</v>
      </c>
      <c r="G127" t="s">
        <v>3921</v>
      </c>
      <c r="H127">
        <v>0</v>
      </c>
    </row>
    <row r="128" spans="1:8" x14ac:dyDescent="0.25">
      <c r="A128">
        <v>1177</v>
      </c>
      <c r="B128" t="s">
        <v>410</v>
      </c>
      <c r="C128">
        <v>0.18</v>
      </c>
      <c r="D128" t="s">
        <v>3920</v>
      </c>
      <c r="E128">
        <v>2024</v>
      </c>
      <c r="F128" s="3">
        <v>45981.086926764787</v>
      </c>
      <c r="G128" t="s">
        <v>3921</v>
      </c>
      <c r="H128">
        <v>184.09090909090909</v>
      </c>
    </row>
    <row r="129" spans="1:8" x14ac:dyDescent="0.25">
      <c r="A129">
        <v>1178</v>
      </c>
      <c r="B129" t="s">
        <v>506</v>
      </c>
      <c r="C129">
        <v>0</v>
      </c>
      <c r="D129" t="s">
        <v>3920</v>
      </c>
      <c r="E129">
        <v>2024</v>
      </c>
      <c r="F129" s="3">
        <v>45981.086926764787</v>
      </c>
      <c r="G129" t="s">
        <v>3921</v>
      </c>
      <c r="H129">
        <v>0</v>
      </c>
    </row>
    <row r="130" spans="1:8" x14ac:dyDescent="0.25">
      <c r="A130">
        <v>1179</v>
      </c>
      <c r="B130" t="s">
        <v>509</v>
      </c>
      <c r="C130">
        <v>0</v>
      </c>
      <c r="D130" t="s">
        <v>3920</v>
      </c>
      <c r="E130">
        <v>2024</v>
      </c>
      <c r="F130" s="3">
        <v>45981.086926764787</v>
      </c>
      <c r="G130" t="s">
        <v>3921</v>
      </c>
      <c r="H130">
        <v>0</v>
      </c>
    </row>
    <row r="131" spans="1:8" x14ac:dyDescent="0.25">
      <c r="A131">
        <v>1180</v>
      </c>
      <c r="B131" t="s">
        <v>515</v>
      </c>
      <c r="C131">
        <v>0</v>
      </c>
      <c r="D131" t="s">
        <v>3920</v>
      </c>
      <c r="E131">
        <v>2024</v>
      </c>
      <c r="F131" s="3">
        <v>45981.086926764787</v>
      </c>
      <c r="G131" t="s">
        <v>3921</v>
      </c>
      <c r="H131">
        <v>0</v>
      </c>
    </row>
    <row r="132" spans="1:8" x14ac:dyDescent="0.25">
      <c r="A132">
        <v>1181</v>
      </c>
      <c r="B132" t="s">
        <v>554</v>
      </c>
      <c r="C132">
        <v>0</v>
      </c>
      <c r="D132" t="s">
        <v>3920</v>
      </c>
      <c r="E132">
        <v>2024</v>
      </c>
      <c r="F132" s="3">
        <v>45981.086926764787</v>
      </c>
      <c r="G132" t="s">
        <v>3921</v>
      </c>
      <c r="H132">
        <v>0</v>
      </c>
    </row>
    <row r="133" spans="1:8" x14ac:dyDescent="0.25">
      <c r="A133">
        <v>1182</v>
      </c>
      <c r="B133" t="s">
        <v>560</v>
      </c>
      <c r="C133">
        <v>0.34</v>
      </c>
      <c r="D133" t="s">
        <v>3920</v>
      </c>
      <c r="E133">
        <v>2024</v>
      </c>
      <c r="F133" s="3">
        <v>45981.086926764787</v>
      </c>
      <c r="G133" t="s">
        <v>3921</v>
      </c>
      <c r="H133">
        <v>340</v>
      </c>
    </row>
    <row r="134" spans="1:8" x14ac:dyDescent="0.25">
      <c r="A134">
        <v>1183</v>
      </c>
      <c r="B134" t="s">
        <v>563</v>
      </c>
      <c r="C134">
        <v>0.85</v>
      </c>
      <c r="D134" t="s">
        <v>3920</v>
      </c>
      <c r="E134">
        <v>2024</v>
      </c>
      <c r="F134" s="3">
        <v>45981.086926764787</v>
      </c>
      <c r="G134" t="s">
        <v>3921</v>
      </c>
      <c r="H134">
        <v>7820</v>
      </c>
    </row>
    <row r="135" spans="1:8" x14ac:dyDescent="0.25">
      <c r="A135">
        <v>1184</v>
      </c>
      <c r="B135" t="s">
        <v>929</v>
      </c>
      <c r="C135">
        <v>0</v>
      </c>
      <c r="D135" t="s">
        <v>3920</v>
      </c>
      <c r="E135">
        <v>2024</v>
      </c>
      <c r="F135" s="3">
        <v>45981.086926764787</v>
      </c>
      <c r="G135" t="s">
        <v>3921</v>
      </c>
      <c r="H135">
        <v>0</v>
      </c>
    </row>
    <row r="136" spans="1:8" x14ac:dyDescent="0.25">
      <c r="A136">
        <v>1185</v>
      </c>
      <c r="B136" t="s">
        <v>949</v>
      </c>
      <c r="C136">
        <v>0</v>
      </c>
      <c r="D136" t="s">
        <v>3920</v>
      </c>
      <c r="E136">
        <v>2024</v>
      </c>
      <c r="F136" s="3">
        <v>45981.086926764787</v>
      </c>
      <c r="G136" t="s">
        <v>3921</v>
      </c>
      <c r="H136">
        <v>0</v>
      </c>
    </row>
    <row r="137" spans="1:8" x14ac:dyDescent="0.25">
      <c r="A137">
        <v>1186</v>
      </c>
      <c r="B137" t="s">
        <v>952</v>
      </c>
      <c r="C137">
        <v>0.9550545454545456</v>
      </c>
      <c r="D137" t="s">
        <v>3920</v>
      </c>
      <c r="E137">
        <v>2024</v>
      </c>
      <c r="F137" s="3">
        <v>45981.086926764787</v>
      </c>
      <c r="G137" t="s">
        <v>3921</v>
      </c>
      <c r="H137">
        <v>1050.56</v>
      </c>
    </row>
    <row r="138" spans="1:8" x14ac:dyDescent="0.25">
      <c r="A138">
        <v>1187</v>
      </c>
      <c r="B138" t="s">
        <v>956</v>
      </c>
      <c r="C138">
        <v>0.1521739130434783</v>
      </c>
      <c r="D138" t="s">
        <v>3920</v>
      </c>
      <c r="E138">
        <v>2024</v>
      </c>
      <c r="F138" s="3">
        <v>45981.086926764787</v>
      </c>
      <c r="G138" t="s">
        <v>3921</v>
      </c>
      <c r="H138">
        <v>70.000000000000014</v>
      </c>
    </row>
    <row r="139" spans="1:8" x14ac:dyDescent="0.25">
      <c r="A139">
        <v>1188</v>
      </c>
      <c r="B139" t="s">
        <v>957</v>
      </c>
      <c r="C139">
        <v>0</v>
      </c>
      <c r="D139" t="s">
        <v>3920</v>
      </c>
      <c r="E139">
        <v>2024</v>
      </c>
      <c r="F139" s="3">
        <v>45981.086926764787</v>
      </c>
      <c r="G139" t="s">
        <v>3921</v>
      </c>
      <c r="H139">
        <v>0</v>
      </c>
    </row>
    <row r="140" spans="1:8" x14ac:dyDescent="0.25">
      <c r="A140">
        <v>1189</v>
      </c>
      <c r="B140" t="s">
        <v>958</v>
      </c>
      <c r="C140">
        <v>0.98399999999999987</v>
      </c>
      <c r="D140" t="s">
        <v>3920</v>
      </c>
      <c r="E140">
        <v>2024</v>
      </c>
      <c r="F140" s="3">
        <v>45981.086926764787</v>
      </c>
      <c r="G140" t="s">
        <v>3921</v>
      </c>
      <c r="H140">
        <v>541.19999999999993</v>
      </c>
    </row>
    <row r="141" spans="1:8" x14ac:dyDescent="0.25">
      <c r="A141">
        <v>1190</v>
      </c>
      <c r="B141" t="s">
        <v>961</v>
      </c>
      <c r="C141">
        <v>0.625</v>
      </c>
      <c r="D141" t="s">
        <v>3920</v>
      </c>
      <c r="E141">
        <v>2024</v>
      </c>
      <c r="F141" s="3">
        <v>45981.086926764787</v>
      </c>
      <c r="G141" t="s">
        <v>3921</v>
      </c>
      <c r="H141">
        <v>2125</v>
      </c>
    </row>
    <row r="142" spans="1:8" x14ac:dyDescent="0.25">
      <c r="A142">
        <v>1191</v>
      </c>
      <c r="B142" t="s">
        <v>965</v>
      </c>
      <c r="C142">
        <v>0.96193846153846152</v>
      </c>
      <c r="D142" t="s">
        <v>3920</v>
      </c>
      <c r="E142">
        <v>2024</v>
      </c>
      <c r="F142" s="3">
        <v>45981.086926764787</v>
      </c>
      <c r="G142" t="s">
        <v>3921</v>
      </c>
      <c r="H142">
        <v>1058.1323076923079</v>
      </c>
    </row>
    <row r="143" spans="1:8" x14ac:dyDescent="0.25">
      <c r="A143">
        <v>1192</v>
      </c>
      <c r="B143" t="s">
        <v>968</v>
      </c>
      <c r="C143">
        <v>0.93502418363529483</v>
      </c>
      <c r="D143" t="s">
        <v>3920</v>
      </c>
      <c r="E143">
        <v>2024</v>
      </c>
      <c r="F143" s="3">
        <v>45981.086926764787</v>
      </c>
      <c r="G143" t="s">
        <v>3921</v>
      </c>
      <c r="H143">
        <v>1234.2319223985889</v>
      </c>
    </row>
    <row r="144" spans="1:8" x14ac:dyDescent="0.25">
      <c r="A144">
        <v>1193</v>
      </c>
      <c r="B144" t="s">
        <v>971</v>
      </c>
      <c r="C144">
        <v>0.79071177226813594</v>
      </c>
      <c r="D144" t="s">
        <v>3920</v>
      </c>
      <c r="E144">
        <v>2024</v>
      </c>
      <c r="F144" s="3">
        <v>45981.086926764787</v>
      </c>
      <c r="G144" t="s">
        <v>3921</v>
      </c>
      <c r="H144">
        <v>869.78294949494955</v>
      </c>
    </row>
    <row r="145" spans="1:8" x14ac:dyDescent="0.25">
      <c r="A145">
        <v>1194</v>
      </c>
      <c r="B145" t="s">
        <v>975</v>
      </c>
      <c r="C145">
        <v>0.97915080314732228</v>
      </c>
      <c r="D145" t="s">
        <v>3920</v>
      </c>
      <c r="E145">
        <v>2024</v>
      </c>
      <c r="F145" s="3">
        <v>45981.086926764787</v>
      </c>
      <c r="G145" t="s">
        <v>3921</v>
      </c>
      <c r="H145">
        <v>3103.9080459770121</v>
      </c>
    </row>
    <row r="146" spans="1:8" x14ac:dyDescent="0.25">
      <c r="A146">
        <v>1195</v>
      </c>
      <c r="B146" t="s">
        <v>978</v>
      </c>
      <c r="C146">
        <v>0</v>
      </c>
      <c r="D146" t="s">
        <v>3920</v>
      </c>
      <c r="E146">
        <v>2024</v>
      </c>
      <c r="F146" s="3">
        <v>45981.086926764787</v>
      </c>
      <c r="G146" t="s">
        <v>3921</v>
      </c>
      <c r="H146">
        <v>0</v>
      </c>
    </row>
    <row r="147" spans="1:8" x14ac:dyDescent="0.25">
      <c r="A147">
        <v>1196</v>
      </c>
      <c r="B147" t="s">
        <v>981</v>
      </c>
      <c r="C147">
        <v>0.84739022435897426</v>
      </c>
      <c r="D147" t="s">
        <v>3920</v>
      </c>
      <c r="E147">
        <v>2024</v>
      </c>
      <c r="F147" s="3">
        <v>45981.086926764787</v>
      </c>
      <c r="G147" t="s">
        <v>3921</v>
      </c>
      <c r="H147">
        <v>932.12924679487173</v>
      </c>
    </row>
    <row r="148" spans="1:8" x14ac:dyDescent="0.25">
      <c r="A148">
        <v>1197</v>
      </c>
      <c r="B148" t="s">
        <v>984</v>
      </c>
      <c r="C148">
        <v>0</v>
      </c>
      <c r="D148" t="s">
        <v>3920</v>
      </c>
      <c r="E148">
        <v>2024</v>
      </c>
      <c r="F148" s="3">
        <v>45981.086926764787</v>
      </c>
      <c r="G148" t="s">
        <v>3921</v>
      </c>
      <c r="H148">
        <v>0</v>
      </c>
    </row>
    <row r="149" spans="1:8" x14ac:dyDescent="0.25">
      <c r="A149">
        <v>1198</v>
      </c>
      <c r="B149" t="s">
        <v>988</v>
      </c>
      <c r="C149">
        <v>0.97496103896103914</v>
      </c>
      <c r="D149" t="s">
        <v>3920</v>
      </c>
      <c r="E149">
        <v>2024</v>
      </c>
      <c r="F149" s="3">
        <v>45981.086926764787</v>
      </c>
      <c r="G149" t="s">
        <v>3921</v>
      </c>
      <c r="H149">
        <v>1072.457142857143</v>
      </c>
    </row>
    <row r="150" spans="1:8" x14ac:dyDescent="0.25">
      <c r="A150">
        <v>1199</v>
      </c>
      <c r="B150" t="s">
        <v>991</v>
      </c>
      <c r="C150">
        <v>0</v>
      </c>
      <c r="D150" t="s">
        <v>3920</v>
      </c>
      <c r="E150">
        <v>2024</v>
      </c>
      <c r="F150" s="3">
        <v>45981.086926764787</v>
      </c>
      <c r="G150" t="s">
        <v>3921</v>
      </c>
      <c r="H150">
        <v>0</v>
      </c>
    </row>
    <row r="151" spans="1:8" x14ac:dyDescent="0.25">
      <c r="A151">
        <v>1200</v>
      </c>
      <c r="B151" t="s">
        <v>994</v>
      </c>
      <c r="C151">
        <v>1</v>
      </c>
      <c r="D151" t="s">
        <v>3920</v>
      </c>
      <c r="E151">
        <v>2024</v>
      </c>
      <c r="F151" s="3">
        <v>45981.086926764787</v>
      </c>
      <c r="G151" t="s">
        <v>3921</v>
      </c>
      <c r="H151">
        <v>880</v>
      </c>
    </row>
    <row r="152" spans="1:8" x14ac:dyDescent="0.25">
      <c r="A152">
        <v>1201</v>
      </c>
      <c r="B152" t="s">
        <v>997</v>
      </c>
      <c r="C152">
        <v>0</v>
      </c>
      <c r="D152" t="s">
        <v>3920</v>
      </c>
      <c r="E152">
        <v>2024</v>
      </c>
      <c r="F152" s="3">
        <v>45981.086926764787</v>
      </c>
      <c r="G152" t="s">
        <v>3921</v>
      </c>
      <c r="H152">
        <v>0</v>
      </c>
    </row>
    <row r="153" spans="1:8" x14ac:dyDescent="0.25">
      <c r="A153">
        <v>1202</v>
      </c>
      <c r="B153" t="s">
        <v>1034</v>
      </c>
      <c r="C153">
        <v>0.89</v>
      </c>
      <c r="D153" t="s">
        <v>3920</v>
      </c>
      <c r="E153">
        <v>2024</v>
      </c>
      <c r="F153" s="3">
        <v>45981.086926764787</v>
      </c>
      <c r="G153" t="s">
        <v>3921</v>
      </c>
      <c r="H153">
        <v>489</v>
      </c>
    </row>
    <row r="154" spans="1:8" x14ac:dyDescent="0.25">
      <c r="A154">
        <v>1203</v>
      </c>
      <c r="B154" t="s">
        <v>1035</v>
      </c>
      <c r="C154">
        <v>0.41</v>
      </c>
      <c r="D154" t="s">
        <v>3920</v>
      </c>
      <c r="E154">
        <v>2024</v>
      </c>
      <c r="F154" s="3">
        <v>45981.086926764787</v>
      </c>
      <c r="G154" t="s">
        <v>3921</v>
      </c>
      <c r="H154">
        <v>180</v>
      </c>
    </row>
    <row r="155" spans="1:8" x14ac:dyDescent="0.25">
      <c r="A155">
        <v>1204</v>
      </c>
      <c r="B155" t="s">
        <v>1108</v>
      </c>
      <c r="C155">
        <v>0.93</v>
      </c>
      <c r="D155" t="s">
        <v>3920</v>
      </c>
      <c r="E155">
        <v>2024</v>
      </c>
      <c r="F155" s="3">
        <v>45981.086926764787</v>
      </c>
      <c r="G155" t="s">
        <v>3921</v>
      </c>
      <c r="H155">
        <v>355</v>
      </c>
    </row>
    <row r="156" spans="1:8" x14ac:dyDescent="0.25">
      <c r="A156">
        <v>1205</v>
      </c>
      <c r="B156" t="s">
        <v>1109</v>
      </c>
      <c r="C156">
        <v>0.91</v>
      </c>
      <c r="D156" t="s">
        <v>3920</v>
      </c>
      <c r="E156">
        <v>2024</v>
      </c>
      <c r="F156" s="3">
        <v>45981.086926764787</v>
      </c>
      <c r="G156" t="s">
        <v>3921</v>
      </c>
      <c r="H156">
        <v>1004</v>
      </c>
    </row>
    <row r="157" spans="1:8" x14ac:dyDescent="0.25">
      <c r="A157">
        <v>1206</v>
      </c>
      <c r="B157" t="s">
        <v>1003</v>
      </c>
      <c r="C157">
        <v>0.82499999999999996</v>
      </c>
      <c r="D157" t="s">
        <v>3920</v>
      </c>
      <c r="E157">
        <v>2024</v>
      </c>
      <c r="F157" s="3">
        <v>45981.086926764787</v>
      </c>
      <c r="G157" t="s">
        <v>3921</v>
      </c>
      <c r="H157">
        <v>907.5</v>
      </c>
    </row>
    <row r="158" spans="1:8" x14ac:dyDescent="0.25">
      <c r="A158">
        <v>1207</v>
      </c>
      <c r="B158" t="s">
        <v>1010</v>
      </c>
      <c r="C158">
        <v>1</v>
      </c>
      <c r="D158" t="s">
        <v>3920</v>
      </c>
      <c r="E158">
        <v>2024</v>
      </c>
      <c r="F158" s="3">
        <v>45981.086926764787</v>
      </c>
      <c r="G158" t="s">
        <v>3921</v>
      </c>
      <c r="H158">
        <v>1100</v>
      </c>
    </row>
    <row r="159" spans="1:8" x14ac:dyDescent="0.25">
      <c r="A159">
        <v>1208</v>
      </c>
      <c r="B159" t="s">
        <v>1013</v>
      </c>
      <c r="C159">
        <v>1</v>
      </c>
      <c r="D159" t="s">
        <v>3920</v>
      </c>
      <c r="E159">
        <v>2024</v>
      </c>
      <c r="F159" s="3">
        <v>45981.086926764787</v>
      </c>
      <c r="G159" t="s">
        <v>3921</v>
      </c>
      <c r="H159">
        <v>500</v>
      </c>
    </row>
    <row r="160" spans="1:8" x14ac:dyDescent="0.25">
      <c r="A160">
        <v>1209</v>
      </c>
      <c r="B160" t="s">
        <v>1017</v>
      </c>
      <c r="C160">
        <v>0.96</v>
      </c>
      <c r="D160" t="s">
        <v>3920</v>
      </c>
      <c r="E160">
        <v>2024</v>
      </c>
      <c r="F160" s="3">
        <v>45981.086926764787</v>
      </c>
      <c r="G160" t="s">
        <v>3921</v>
      </c>
      <c r="H160">
        <v>1591</v>
      </c>
    </row>
    <row r="161" spans="1:8" x14ac:dyDescent="0.25">
      <c r="A161">
        <v>1210</v>
      </c>
      <c r="B161" t="s">
        <v>1020</v>
      </c>
      <c r="C161">
        <v>0.98818181818181816</v>
      </c>
      <c r="D161" t="s">
        <v>3920</v>
      </c>
      <c r="E161">
        <v>2024</v>
      </c>
      <c r="F161" s="3">
        <v>45981.086926764787</v>
      </c>
      <c r="G161" t="s">
        <v>3921</v>
      </c>
      <c r="H161">
        <v>1087</v>
      </c>
    </row>
    <row r="162" spans="1:8" x14ac:dyDescent="0.25">
      <c r="A162">
        <v>1211</v>
      </c>
      <c r="B162" t="s">
        <v>1024</v>
      </c>
      <c r="C162">
        <v>0.99</v>
      </c>
      <c r="D162" t="s">
        <v>3920</v>
      </c>
      <c r="E162">
        <v>2024</v>
      </c>
      <c r="F162" s="3">
        <v>45981.086926764787</v>
      </c>
      <c r="G162" t="s">
        <v>3921</v>
      </c>
      <c r="H162">
        <v>1350</v>
      </c>
    </row>
    <row r="163" spans="1:8" x14ac:dyDescent="0.25">
      <c r="A163">
        <v>1212</v>
      </c>
      <c r="B163" t="s">
        <v>1028</v>
      </c>
      <c r="C163">
        <v>0</v>
      </c>
      <c r="D163" t="s">
        <v>3920</v>
      </c>
      <c r="E163">
        <v>2024</v>
      </c>
      <c r="F163" s="3">
        <v>45981.086926764787</v>
      </c>
      <c r="G163" t="s">
        <v>3921</v>
      </c>
      <c r="H163">
        <v>687.5</v>
      </c>
    </row>
    <row r="164" spans="1:8" x14ac:dyDescent="0.25">
      <c r="A164">
        <v>1213</v>
      </c>
      <c r="B164" t="s">
        <v>1031</v>
      </c>
      <c r="C164">
        <v>1</v>
      </c>
      <c r="D164" t="s">
        <v>3920</v>
      </c>
      <c r="E164">
        <v>2024</v>
      </c>
      <c r="F164" s="3">
        <v>45981.086926764787</v>
      </c>
      <c r="G164" t="s">
        <v>3921</v>
      </c>
      <c r="H164">
        <v>2200</v>
      </c>
    </row>
    <row r="165" spans="1:8" x14ac:dyDescent="0.25">
      <c r="A165">
        <v>1214</v>
      </c>
      <c r="B165" t="s">
        <v>1036</v>
      </c>
      <c r="C165">
        <v>1</v>
      </c>
      <c r="D165" t="s">
        <v>3920</v>
      </c>
      <c r="E165">
        <v>2024</v>
      </c>
      <c r="F165" s="3">
        <v>45981.086926764787</v>
      </c>
      <c r="G165" t="s">
        <v>3921</v>
      </c>
      <c r="H165">
        <v>1100</v>
      </c>
    </row>
    <row r="166" spans="1:8" x14ac:dyDescent="0.25">
      <c r="A166">
        <v>1215</v>
      </c>
      <c r="B166" t="s">
        <v>1039</v>
      </c>
      <c r="C166">
        <v>0.98818181818181816</v>
      </c>
      <c r="D166" t="s">
        <v>3920</v>
      </c>
      <c r="E166">
        <v>2024</v>
      </c>
      <c r="F166" s="3">
        <v>45981.086926764787</v>
      </c>
      <c r="G166" t="s">
        <v>3921</v>
      </c>
      <c r="H166">
        <v>1089</v>
      </c>
    </row>
    <row r="167" spans="1:8" x14ac:dyDescent="0.25">
      <c r="A167">
        <v>1216</v>
      </c>
      <c r="B167" t="s">
        <v>1046</v>
      </c>
      <c r="C167">
        <v>0.65</v>
      </c>
      <c r="D167" t="s">
        <v>3920</v>
      </c>
      <c r="E167">
        <v>2024</v>
      </c>
      <c r="F167" s="3">
        <v>45981.086926764787</v>
      </c>
      <c r="G167" t="s">
        <v>3921</v>
      </c>
      <c r="H167">
        <v>1439</v>
      </c>
    </row>
    <row r="168" spans="1:8" x14ac:dyDescent="0.25">
      <c r="A168">
        <v>1217</v>
      </c>
      <c r="B168" t="s">
        <v>1049</v>
      </c>
      <c r="C168">
        <v>0.62</v>
      </c>
      <c r="D168" t="s">
        <v>3920</v>
      </c>
      <c r="E168">
        <v>2024</v>
      </c>
      <c r="F168" s="3">
        <v>45981.086926764787</v>
      </c>
      <c r="G168" t="s">
        <v>3921</v>
      </c>
      <c r="H168">
        <v>679</v>
      </c>
    </row>
    <row r="169" spans="1:8" x14ac:dyDescent="0.25">
      <c r="A169">
        <v>1218</v>
      </c>
      <c r="B169" t="s">
        <v>1053</v>
      </c>
      <c r="C169">
        <v>1</v>
      </c>
      <c r="D169" t="s">
        <v>3920</v>
      </c>
      <c r="E169">
        <v>2024</v>
      </c>
      <c r="F169" s="3">
        <v>45981.086926764787</v>
      </c>
      <c r="G169" t="s">
        <v>3921</v>
      </c>
      <c r="H169">
        <v>1100</v>
      </c>
    </row>
    <row r="170" spans="1:8" x14ac:dyDescent="0.25">
      <c r="A170">
        <v>1219</v>
      </c>
      <c r="B170" t="s">
        <v>1056</v>
      </c>
      <c r="C170">
        <v>0.78</v>
      </c>
      <c r="D170" t="s">
        <v>3920</v>
      </c>
      <c r="E170">
        <v>2024</v>
      </c>
      <c r="F170" s="3">
        <v>45981.086926764787</v>
      </c>
      <c r="G170" t="s">
        <v>3921</v>
      </c>
      <c r="H170">
        <v>853</v>
      </c>
    </row>
    <row r="171" spans="1:8" x14ac:dyDescent="0.25">
      <c r="A171">
        <v>1220</v>
      </c>
      <c r="B171" t="s">
        <v>1060</v>
      </c>
      <c r="C171">
        <v>1</v>
      </c>
      <c r="D171" t="s">
        <v>3920</v>
      </c>
      <c r="E171">
        <v>2024</v>
      </c>
      <c r="F171" s="3">
        <v>45981.086926764787</v>
      </c>
      <c r="G171" t="s">
        <v>3921</v>
      </c>
      <c r="H171">
        <v>1100</v>
      </c>
    </row>
    <row r="172" spans="1:8" x14ac:dyDescent="0.25">
      <c r="A172">
        <v>1221</v>
      </c>
      <c r="B172" t="s">
        <v>1067</v>
      </c>
      <c r="C172">
        <v>0.98818181818181816</v>
      </c>
      <c r="D172" t="s">
        <v>3920</v>
      </c>
      <c r="E172">
        <v>2024</v>
      </c>
      <c r="F172" s="3">
        <v>45981.086926764787</v>
      </c>
      <c r="G172" t="s">
        <v>3921</v>
      </c>
      <c r="H172">
        <v>1090</v>
      </c>
    </row>
    <row r="173" spans="1:8" x14ac:dyDescent="0.25">
      <c r="A173">
        <v>1222</v>
      </c>
      <c r="B173" t="s">
        <v>1070</v>
      </c>
      <c r="C173">
        <v>0.95</v>
      </c>
      <c r="D173" t="s">
        <v>3920</v>
      </c>
      <c r="E173">
        <v>2024</v>
      </c>
      <c r="F173" s="3">
        <v>45981.086926764787</v>
      </c>
      <c r="G173" t="s">
        <v>3921</v>
      </c>
      <c r="H173">
        <v>1045</v>
      </c>
    </row>
    <row r="174" spans="1:8" x14ac:dyDescent="0.25">
      <c r="A174">
        <v>1223</v>
      </c>
      <c r="B174" t="s">
        <v>1073</v>
      </c>
      <c r="C174">
        <v>0.96</v>
      </c>
      <c r="D174" t="s">
        <v>3920</v>
      </c>
      <c r="E174">
        <v>2024</v>
      </c>
      <c r="F174" s="3">
        <v>45981.086926764787</v>
      </c>
      <c r="G174" t="s">
        <v>3921</v>
      </c>
      <c r="H174">
        <v>1043</v>
      </c>
    </row>
    <row r="175" spans="1:8" x14ac:dyDescent="0.25">
      <c r="A175">
        <v>1224</v>
      </c>
      <c r="B175" t="s">
        <v>1076</v>
      </c>
      <c r="C175">
        <v>0.96499999999999997</v>
      </c>
      <c r="D175" t="s">
        <v>3920</v>
      </c>
      <c r="E175">
        <v>2024</v>
      </c>
      <c r="F175" s="3">
        <v>45981.086926764787</v>
      </c>
      <c r="G175" t="s">
        <v>3921</v>
      </c>
      <c r="H175">
        <v>723.75</v>
      </c>
    </row>
    <row r="176" spans="1:8" x14ac:dyDescent="0.25">
      <c r="A176">
        <v>1225</v>
      </c>
      <c r="B176" t="s">
        <v>1079</v>
      </c>
      <c r="C176">
        <v>0.78</v>
      </c>
      <c r="D176" t="s">
        <v>3920</v>
      </c>
      <c r="E176">
        <v>2024</v>
      </c>
      <c r="F176" s="3">
        <v>45981.086926764787</v>
      </c>
      <c r="G176" t="s">
        <v>3921</v>
      </c>
      <c r="H176">
        <v>1718</v>
      </c>
    </row>
    <row r="177" spans="1:8" x14ac:dyDescent="0.25">
      <c r="A177">
        <v>1226</v>
      </c>
      <c r="B177" t="s">
        <v>1083</v>
      </c>
      <c r="C177">
        <v>0</v>
      </c>
      <c r="D177" t="s">
        <v>3920</v>
      </c>
      <c r="E177">
        <v>2024</v>
      </c>
      <c r="F177" s="3">
        <v>45981.086926764787</v>
      </c>
      <c r="G177" t="s">
        <v>3921</v>
      </c>
      <c r="H177">
        <v>792</v>
      </c>
    </row>
    <row r="178" spans="1:8" x14ac:dyDescent="0.25">
      <c r="A178">
        <v>1227</v>
      </c>
      <c r="B178" t="s">
        <v>1086</v>
      </c>
      <c r="C178">
        <v>1</v>
      </c>
      <c r="D178" t="s">
        <v>3920</v>
      </c>
      <c r="E178">
        <v>2024</v>
      </c>
      <c r="F178" s="3">
        <v>45981.086926764787</v>
      </c>
      <c r="G178" t="s">
        <v>3921</v>
      </c>
      <c r="H178">
        <v>2130</v>
      </c>
    </row>
    <row r="179" spans="1:8" x14ac:dyDescent="0.25">
      <c r="A179">
        <v>1228</v>
      </c>
      <c r="B179" t="s">
        <v>1089</v>
      </c>
      <c r="C179">
        <v>1</v>
      </c>
      <c r="D179" t="s">
        <v>3920</v>
      </c>
      <c r="E179">
        <v>2024</v>
      </c>
      <c r="F179" s="3">
        <v>45981.086926764787</v>
      </c>
      <c r="G179" t="s">
        <v>3921</v>
      </c>
      <c r="H179">
        <v>5300</v>
      </c>
    </row>
    <row r="180" spans="1:8" x14ac:dyDescent="0.25">
      <c r="A180">
        <v>1229</v>
      </c>
      <c r="B180" t="s">
        <v>1092</v>
      </c>
      <c r="C180">
        <v>0.2</v>
      </c>
      <c r="D180" t="s">
        <v>3920</v>
      </c>
      <c r="E180">
        <v>2024</v>
      </c>
      <c r="F180" s="3">
        <v>45981.086926764787</v>
      </c>
      <c r="G180" t="s">
        <v>3921</v>
      </c>
      <c r="H180">
        <v>220</v>
      </c>
    </row>
    <row r="181" spans="1:8" x14ac:dyDescent="0.25">
      <c r="A181">
        <v>1230</v>
      </c>
      <c r="B181" t="s">
        <v>1095</v>
      </c>
      <c r="C181">
        <v>0.98</v>
      </c>
      <c r="D181" t="s">
        <v>3920</v>
      </c>
      <c r="E181">
        <v>2024</v>
      </c>
      <c r="F181" s="3">
        <v>45981.086926764787</v>
      </c>
      <c r="G181" t="s">
        <v>3921</v>
      </c>
      <c r="H181">
        <v>3769</v>
      </c>
    </row>
    <row r="182" spans="1:8" x14ac:dyDescent="0.25">
      <c r="A182">
        <v>1231</v>
      </c>
      <c r="B182" t="s">
        <v>1098</v>
      </c>
      <c r="C182">
        <v>0.98</v>
      </c>
      <c r="D182" t="s">
        <v>3920</v>
      </c>
      <c r="E182">
        <v>2024</v>
      </c>
      <c r="F182" s="3">
        <v>45981.086926764787</v>
      </c>
      <c r="G182" t="s">
        <v>3921</v>
      </c>
      <c r="H182">
        <v>1579</v>
      </c>
    </row>
    <row r="183" spans="1:8" x14ac:dyDescent="0.25">
      <c r="A183">
        <v>1232</v>
      </c>
      <c r="B183" t="s">
        <v>1101</v>
      </c>
      <c r="C183">
        <v>0.82499999999999996</v>
      </c>
      <c r="D183" t="s">
        <v>3920</v>
      </c>
      <c r="E183">
        <v>2024</v>
      </c>
      <c r="F183" s="3">
        <v>45981.086926764787</v>
      </c>
      <c r="G183" t="s">
        <v>3921</v>
      </c>
      <c r="H183">
        <v>907.5</v>
      </c>
    </row>
    <row r="184" spans="1:8" x14ac:dyDescent="0.25">
      <c r="A184">
        <v>1233</v>
      </c>
      <c r="B184" t="s">
        <v>1104</v>
      </c>
      <c r="C184">
        <v>0.82499999999999996</v>
      </c>
      <c r="D184" t="s">
        <v>3920</v>
      </c>
      <c r="E184">
        <v>2024</v>
      </c>
      <c r="F184" s="3">
        <v>45981.086926764787</v>
      </c>
      <c r="G184" t="s">
        <v>3921</v>
      </c>
      <c r="H184">
        <v>1089</v>
      </c>
    </row>
    <row r="185" spans="1:8" x14ac:dyDescent="0.25">
      <c r="A185">
        <v>1234</v>
      </c>
      <c r="B185" t="s">
        <v>124</v>
      </c>
      <c r="C185">
        <v>0.89</v>
      </c>
      <c r="D185" t="s">
        <v>3920</v>
      </c>
      <c r="E185">
        <v>2024</v>
      </c>
      <c r="F185" s="3">
        <v>45981.086926764787</v>
      </c>
      <c r="G185" t="s">
        <v>3921</v>
      </c>
      <c r="H185">
        <v>1068</v>
      </c>
    </row>
    <row r="186" spans="1:8" x14ac:dyDescent="0.25">
      <c r="A186">
        <v>1235</v>
      </c>
      <c r="B186" t="s">
        <v>127</v>
      </c>
      <c r="C186">
        <v>0.83</v>
      </c>
      <c r="D186" t="s">
        <v>3920</v>
      </c>
      <c r="E186">
        <v>2024</v>
      </c>
      <c r="F186" s="3">
        <v>45981.086926764787</v>
      </c>
      <c r="G186" t="s">
        <v>3921</v>
      </c>
      <c r="H186">
        <v>4290</v>
      </c>
    </row>
    <row r="187" spans="1:8" x14ac:dyDescent="0.25">
      <c r="A187">
        <v>1236</v>
      </c>
      <c r="B187" t="s">
        <v>131</v>
      </c>
      <c r="C187">
        <v>0.95</v>
      </c>
      <c r="D187" t="s">
        <v>3920</v>
      </c>
      <c r="E187">
        <v>2024</v>
      </c>
      <c r="F187" s="3">
        <v>45981.086926764787</v>
      </c>
      <c r="G187" t="s">
        <v>3921</v>
      </c>
      <c r="H187">
        <v>3800</v>
      </c>
    </row>
    <row r="188" spans="1:8" x14ac:dyDescent="0.25">
      <c r="A188">
        <v>1237</v>
      </c>
      <c r="B188" t="s">
        <v>138</v>
      </c>
      <c r="C188">
        <v>0.53</v>
      </c>
      <c r="D188" t="s">
        <v>3920</v>
      </c>
      <c r="E188">
        <v>2024</v>
      </c>
      <c r="F188" s="3">
        <v>45981.086926764787</v>
      </c>
      <c r="G188" t="s">
        <v>3921</v>
      </c>
      <c r="H188">
        <v>371</v>
      </c>
    </row>
    <row r="189" spans="1:8" x14ac:dyDescent="0.25">
      <c r="A189">
        <v>1238</v>
      </c>
      <c r="B189" t="s">
        <v>142</v>
      </c>
      <c r="C189">
        <v>0.93</v>
      </c>
      <c r="D189" t="s">
        <v>3920</v>
      </c>
      <c r="E189">
        <v>2024</v>
      </c>
      <c r="F189" s="3">
        <v>45981.086926764787</v>
      </c>
      <c r="G189" t="s">
        <v>3921</v>
      </c>
      <c r="H189">
        <v>678.90000000000009</v>
      </c>
    </row>
    <row r="190" spans="1:8" x14ac:dyDescent="0.25">
      <c r="A190">
        <v>1239</v>
      </c>
      <c r="B190" t="s">
        <v>149</v>
      </c>
      <c r="C190">
        <v>0.7</v>
      </c>
      <c r="D190" t="s">
        <v>3920</v>
      </c>
      <c r="E190">
        <v>2024</v>
      </c>
      <c r="F190" s="3">
        <v>45981.086926764787</v>
      </c>
      <c r="G190" t="s">
        <v>3921</v>
      </c>
      <c r="H190">
        <v>2086</v>
      </c>
    </row>
    <row r="191" spans="1:8" x14ac:dyDescent="0.25">
      <c r="A191">
        <v>1240</v>
      </c>
      <c r="B191" t="s">
        <v>156</v>
      </c>
      <c r="C191">
        <v>0.59</v>
      </c>
      <c r="D191" t="s">
        <v>3920</v>
      </c>
      <c r="E191">
        <v>2024</v>
      </c>
      <c r="F191" s="3">
        <v>45981.086926764787</v>
      </c>
      <c r="G191" t="s">
        <v>3921</v>
      </c>
      <c r="H191">
        <v>590</v>
      </c>
    </row>
    <row r="192" spans="1:8" x14ac:dyDescent="0.25">
      <c r="A192">
        <v>1241</v>
      </c>
      <c r="B192" t="s">
        <v>159</v>
      </c>
      <c r="C192">
        <v>0.83</v>
      </c>
      <c r="D192" t="s">
        <v>3920</v>
      </c>
      <c r="E192">
        <v>2024</v>
      </c>
      <c r="F192" s="3">
        <v>45981.086926764787</v>
      </c>
      <c r="G192" t="s">
        <v>3921</v>
      </c>
      <c r="H192">
        <v>3735</v>
      </c>
    </row>
    <row r="193" spans="1:8" x14ac:dyDescent="0.25">
      <c r="A193">
        <v>1242</v>
      </c>
      <c r="B193" t="s">
        <v>162</v>
      </c>
      <c r="C193">
        <v>1</v>
      </c>
      <c r="D193" t="s">
        <v>3920</v>
      </c>
      <c r="E193">
        <v>2024</v>
      </c>
      <c r="F193" s="3">
        <v>45981.086926764787</v>
      </c>
      <c r="G193" t="s">
        <v>3921</v>
      </c>
      <c r="H193">
        <v>2000</v>
      </c>
    </row>
    <row r="194" spans="1:8" x14ac:dyDescent="0.25">
      <c r="A194">
        <v>1243</v>
      </c>
      <c r="B194" t="s">
        <v>166</v>
      </c>
      <c r="C194">
        <v>0.84899999999999998</v>
      </c>
      <c r="D194" t="s">
        <v>3920</v>
      </c>
      <c r="E194">
        <v>2024</v>
      </c>
      <c r="F194" s="3">
        <v>45981.086926764787</v>
      </c>
      <c r="G194" t="s">
        <v>3921</v>
      </c>
      <c r="H194">
        <v>1018.8</v>
      </c>
    </row>
    <row r="195" spans="1:8" x14ac:dyDescent="0.25">
      <c r="A195">
        <v>1244</v>
      </c>
      <c r="B195" t="s">
        <v>174</v>
      </c>
      <c r="C195">
        <v>0.67200000000000004</v>
      </c>
      <c r="D195" t="s">
        <v>3920</v>
      </c>
      <c r="E195">
        <v>2024</v>
      </c>
      <c r="F195" s="3">
        <v>45981.086926764787</v>
      </c>
      <c r="G195" t="s">
        <v>3921</v>
      </c>
      <c r="H195">
        <v>806.40000000000009</v>
      </c>
    </row>
    <row r="196" spans="1:8" x14ac:dyDescent="0.25">
      <c r="A196">
        <v>1245</v>
      </c>
      <c r="B196" t="s">
        <v>180</v>
      </c>
      <c r="C196">
        <v>0.95</v>
      </c>
      <c r="D196" t="s">
        <v>3920</v>
      </c>
      <c r="E196">
        <v>2024</v>
      </c>
      <c r="F196" s="3">
        <v>45981.086926764787</v>
      </c>
      <c r="G196" t="s">
        <v>3921</v>
      </c>
      <c r="H196">
        <v>1235</v>
      </c>
    </row>
    <row r="197" spans="1:8" x14ac:dyDescent="0.25">
      <c r="A197">
        <v>1246</v>
      </c>
      <c r="B197" t="s">
        <v>183</v>
      </c>
      <c r="C197">
        <v>0.85</v>
      </c>
      <c r="D197" t="s">
        <v>3920</v>
      </c>
      <c r="E197">
        <v>2024</v>
      </c>
      <c r="F197" s="3">
        <v>45981.086926764787</v>
      </c>
      <c r="G197" t="s">
        <v>3921</v>
      </c>
      <c r="H197">
        <v>2040</v>
      </c>
    </row>
    <row r="198" spans="1:8" x14ac:dyDescent="0.25">
      <c r="A198">
        <v>1247</v>
      </c>
      <c r="B198" t="s">
        <v>187</v>
      </c>
      <c r="C198">
        <v>0.95299999999999996</v>
      </c>
      <c r="D198" t="s">
        <v>3920</v>
      </c>
      <c r="E198">
        <v>2024</v>
      </c>
      <c r="F198" s="3">
        <v>45981.086926764787</v>
      </c>
      <c r="G198" t="s">
        <v>3921</v>
      </c>
      <c r="H198">
        <v>953</v>
      </c>
    </row>
    <row r="199" spans="1:8" x14ac:dyDescent="0.25">
      <c r="A199">
        <v>1248</v>
      </c>
      <c r="B199" t="s">
        <v>193</v>
      </c>
      <c r="C199">
        <v>0.45</v>
      </c>
      <c r="D199" t="s">
        <v>3920</v>
      </c>
      <c r="E199">
        <v>2024</v>
      </c>
      <c r="F199" s="3">
        <v>45981.086926764787</v>
      </c>
      <c r="G199" t="s">
        <v>3921</v>
      </c>
      <c r="H199">
        <v>450</v>
      </c>
    </row>
    <row r="200" spans="1:8" x14ac:dyDescent="0.25">
      <c r="A200">
        <v>1249</v>
      </c>
      <c r="B200" t="s">
        <v>196</v>
      </c>
      <c r="C200">
        <v>0.83</v>
      </c>
      <c r="D200" t="s">
        <v>3920</v>
      </c>
      <c r="E200">
        <v>2024</v>
      </c>
      <c r="F200" s="3">
        <v>45981.086926764787</v>
      </c>
      <c r="G200" t="s">
        <v>3921</v>
      </c>
      <c r="H200">
        <v>3300</v>
      </c>
    </row>
    <row r="201" spans="1:8" x14ac:dyDescent="0.25">
      <c r="A201">
        <v>1250</v>
      </c>
      <c r="B201" t="s">
        <v>200</v>
      </c>
      <c r="C201">
        <v>0.73</v>
      </c>
      <c r="D201" t="s">
        <v>3920</v>
      </c>
      <c r="E201">
        <v>2024</v>
      </c>
      <c r="F201" s="3">
        <v>45981.086926764787</v>
      </c>
      <c r="G201" t="s">
        <v>3921</v>
      </c>
      <c r="H201">
        <v>1460</v>
      </c>
    </row>
    <row r="202" spans="1:8" x14ac:dyDescent="0.25">
      <c r="A202">
        <v>1251</v>
      </c>
      <c r="B202" t="s">
        <v>203</v>
      </c>
      <c r="C202">
        <v>0.41</v>
      </c>
      <c r="D202" t="s">
        <v>3920</v>
      </c>
      <c r="E202">
        <v>2024</v>
      </c>
      <c r="F202" s="3">
        <v>45981.086926764787</v>
      </c>
      <c r="G202" t="s">
        <v>3921</v>
      </c>
      <c r="H202">
        <v>820</v>
      </c>
    </row>
    <row r="203" spans="1:8" x14ac:dyDescent="0.25">
      <c r="A203">
        <v>1252</v>
      </c>
      <c r="B203" t="s">
        <v>206</v>
      </c>
      <c r="C203">
        <v>0.61799999999999999</v>
      </c>
      <c r="D203" t="s">
        <v>3920</v>
      </c>
      <c r="E203">
        <v>2024</v>
      </c>
      <c r="F203" s="3">
        <v>45981.086926764787</v>
      </c>
      <c r="G203" t="s">
        <v>3921</v>
      </c>
      <c r="H203">
        <v>600</v>
      </c>
    </row>
    <row r="204" spans="1:8" x14ac:dyDescent="0.25">
      <c r="A204">
        <v>1253</v>
      </c>
      <c r="B204" t="s">
        <v>210</v>
      </c>
      <c r="C204">
        <v>0.78100000000000003</v>
      </c>
      <c r="D204" t="s">
        <v>3920</v>
      </c>
      <c r="E204">
        <v>2024</v>
      </c>
      <c r="F204" s="3">
        <v>45981.086926764787</v>
      </c>
      <c r="G204" t="s">
        <v>3921</v>
      </c>
      <c r="H204">
        <v>1562</v>
      </c>
    </row>
    <row r="205" spans="1:8" x14ac:dyDescent="0.25">
      <c r="A205">
        <v>1254</v>
      </c>
      <c r="B205" t="s">
        <v>213</v>
      </c>
      <c r="C205">
        <v>0.64300000000000002</v>
      </c>
      <c r="D205" t="s">
        <v>3920</v>
      </c>
      <c r="E205">
        <v>2024</v>
      </c>
      <c r="F205" s="3">
        <v>45981.086926764787</v>
      </c>
      <c r="G205" t="s">
        <v>3921</v>
      </c>
      <c r="H205">
        <v>321.5</v>
      </c>
    </row>
    <row r="206" spans="1:8" x14ac:dyDescent="0.25">
      <c r="A206">
        <v>1255</v>
      </c>
      <c r="B206" t="s">
        <v>214</v>
      </c>
      <c r="C206">
        <v>0.88500000000000001</v>
      </c>
      <c r="D206" t="s">
        <v>3920</v>
      </c>
      <c r="E206">
        <v>2024</v>
      </c>
      <c r="F206" s="3">
        <v>45981.086926764787</v>
      </c>
      <c r="G206" t="s">
        <v>3921</v>
      </c>
      <c r="H206">
        <v>1062</v>
      </c>
    </row>
    <row r="207" spans="1:8" x14ac:dyDescent="0.25">
      <c r="A207">
        <v>1256</v>
      </c>
      <c r="B207" t="s">
        <v>218</v>
      </c>
      <c r="C207">
        <v>0.71799999999999997</v>
      </c>
      <c r="D207" t="s">
        <v>3920</v>
      </c>
      <c r="E207">
        <v>2024</v>
      </c>
      <c r="F207" s="3">
        <v>45981.086926764787</v>
      </c>
      <c r="G207" t="s">
        <v>3921</v>
      </c>
      <c r="H207">
        <v>430.8</v>
      </c>
    </row>
    <row r="208" spans="1:8" x14ac:dyDescent="0.25">
      <c r="A208">
        <v>1257</v>
      </c>
      <c r="B208" t="s">
        <v>221</v>
      </c>
      <c r="C208">
        <v>0.24</v>
      </c>
      <c r="D208" t="s">
        <v>3920</v>
      </c>
      <c r="E208">
        <v>2024</v>
      </c>
      <c r="F208" s="3">
        <v>45981.086926764787</v>
      </c>
      <c r="G208" t="s">
        <v>3921</v>
      </c>
      <c r="H208">
        <v>240</v>
      </c>
    </row>
    <row r="209" spans="1:8" x14ac:dyDescent="0.25">
      <c r="A209">
        <v>1258</v>
      </c>
      <c r="B209" t="s">
        <v>225</v>
      </c>
      <c r="C209">
        <v>0.94699999999999995</v>
      </c>
      <c r="D209" t="s">
        <v>3920</v>
      </c>
      <c r="E209">
        <v>2024</v>
      </c>
      <c r="F209" s="3">
        <v>45981.086926764787</v>
      </c>
      <c r="G209" t="s">
        <v>3921</v>
      </c>
      <c r="H209">
        <v>1609.9</v>
      </c>
    </row>
    <row r="210" spans="1:8" x14ac:dyDescent="0.25">
      <c r="A210">
        <v>1259</v>
      </c>
      <c r="B210" t="s">
        <v>228</v>
      </c>
      <c r="C210">
        <v>0.82699999999999996</v>
      </c>
      <c r="D210" t="s">
        <v>3920</v>
      </c>
      <c r="E210">
        <v>2024</v>
      </c>
      <c r="F210" s="3">
        <v>45981.086926764787</v>
      </c>
      <c r="G210" t="s">
        <v>3921</v>
      </c>
      <c r="H210">
        <v>827</v>
      </c>
    </row>
    <row r="211" spans="1:8" x14ac:dyDescent="0.25">
      <c r="A211">
        <v>1260</v>
      </c>
      <c r="B211" t="s">
        <v>232</v>
      </c>
      <c r="C211">
        <v>0.95</v>
      </c>
      <c r="D211" t="s">
        <v>3920</v>
      </c>
      <c r="E211">
        <v>2024</v>
      </c>
      <c r="F211" s="3">
        <v>45981.086926764787</v>
      </c>
      <c r="G211" t="s">
        <v>3921</v>
      </c>
      <c r="H211">
        <v>1140</v>
      </c>
    </row>
    <row r="212" spans="1:8" x14ac:dyDescent="0.25">
      <c r="A212">
        <v>1261</v>
      </c>
      <c r="B212" t="s">
        <v>235</v>
      </c>
      <c r="C212">
        <v>0.75700000000000001</v>
      </c>
      <c r="D212" t="s">
        <v>3920</v>
      </c>
      <c r="E212">
        <v>2024</v>
      </c>
      <c r="F212" s="3">
        <v>45981.086926764787</v>
      </c>
      <c r="G212" t="s">
        <v>3921</v>
      </c>
      <c r="H212">
        <v>1514</v>
      </c>
    </row>
    <row r="213" spans="1:8" x14ac:dyDescent="0.25">
      <c r="A213">
        <v>1262</v>
      </c>
      <c r="B213" t="s">
        <v>238</v>
      </c>
      <c r="C213">
        <v>0.57999999999999996</v>
      </c>
      <c r="D213" t="s">
        <v>3920</v>
      </c>
      <c r="E213">
        <v>2024</v>
      </c>
      <c r="F213" s="3">
        <v>45981.086926764787</v>
      </c>
      <c r="G213" t="s">
        <v>3921</v>
      </c>
      <c r="H213">
        <v>580</v>
      </c>
    </row>
    <row r="214" spans="1:8" x14ac:dyDescent="0.25">
      <c r="A214">
        <v>1263</v>
      </c>
      <c r="B214" t="s">
        <v>414</v>
      </c>
      <c r="C214">
        <v>0.74</v>
      </c>
      <c r="D214" t="s">
        <v>3920</v>
      </c>
      <c r="E214">
        <v>2024</v>
      </c>
      <c r="F214" s="3">
        <v>45981.086926764787</v>
      </c>
      <c r="G214" t="s">
        <v>3921</v>
      </c>
      <c r="H214">
        <v>1472.0136</v>
      </c>
    </row>
    <row r="215" spans="1:8" x14ac:dyDescent="0.25">
      <c r="A215">
        <v>1264</v>
      </c>
      <c r="B215" t="s">
        <v>421</v>
      </c>
      <c r="C215">
        <v>0.93</v>
      </c>
      <c r="D215" t="s">
        <v>3920</v>
      </c>
      <c r="E215">
        <v>2024</v>
      </c>
      <c r="F215" s="3">
        <v>45981.086926764787</v>
      </c>
      <c r="G215" t="s">
        <v>3921</v>
      </c>
      <c r="H215">
        <v>7440</v>
      </c>
    </row>
    <row r="216" spans="1:8" x14ac:dyDescent="0.25">
      <c r="A216">
        <v>1265</v>
      </c>
      <c r="B216" t="s">
        <v>428</v>
      </c>
      <c r="C216">
        <v>0.34</v>
      </c>
      <c r="D216" t="s">
        <v>3920</v>
      </c>
      <c r="E216">
        <v>2024</v>
      </c>
      <c r="F216" s="3">
        <v>45981.086926764787</v>
      </c>
      <c r="G216" t="s">
        <v>3921</v>
      </c>
      <c r="H216">
        <v>493.79860173913039</v>
      </c>
    </row>
    <row r="217" spans="1:8" x14ac:dyDescent="0.25">
      <c r="A217">
        <v>1266</v>
      </c>
      <c r="B217" t="s">
        <v>435</v>
      </c>
      <c r="C217">
        <v>0.94099999999999995</v>
      </c>
      <c r="D217" t="s">
        <v>3920</v>
      </c>
      <c r="E217">
        <v>2024</v>
      </c>
      <c r="F217" s="3">
        <v>45981.086926764787</v>
      </c>
      <c r="G217" t="s">
        <v>3921</v>
      </c>
      <c r="H217">
        <v>2493.65</v>
      </c>
    </row>
    <row r="218" spans="1:8" x14ac:dyDescent="0.25">
      <c r="A218">
        <v>1267</v>
      </c>
      <c r="B218" t="s">
        <v>450</v>
      </c>
      <c r="C218">
        <v>0.31</v>
      </c>
      <c r="D218" t="s">
        <v>3920</v>
      </c>
      <c r="E218">
        <v>2024</v>
      </c>
      <c r="F218" s="3">
        <v>45981.086926764787</v>
      </c>
      <c r="G218" t="s">
        <v>3921</v>
      </c>
      <c r="H218">
        <v>882.16695000000004</v>
      </c>
    </row>
    <row r="219" spans="1:8" x14ac:dyDescent="0.25">
      <c r="A219">
        <v>1268</v>
      </c>
      <c r="B219" t="s">
        <v>453</v>
      </c>
      <c r="C219">
        <v>0.82858216683583918</v>
      </c>
      <c r="D219" t="s">
        <v>3920</v>
      </c>
      <c r="E219">
        <v>2024</v>
      </c>
      <c r="F219" s="3">
        <v>45981.086926764787</v>
      </c>
      <c r="G219" t="s">
        <v>3921</v>
      </c>
      <c r="H219">
        <v>4325.1989108830803</v>
      </c>
    </row>
    <row r="220" spans="1:8" x14ac:dyDescent="0.25">
      <c r="A220">
        <v>1269</v>
      </c>
      <c r="B220" t="s">
        <v>457</v>
      </c>
      <c r="C220">
        <v>0.93</v>
      </c>
      <c r="D220" t="s">
        <v>3920</v>
      </c>
      <c r="E220">
        <v>2024</v>
      </c>
      <c r="F220" s="3">
        <v>45981.086926764787</v>
      </c>
      <c r="G220" t="s">
        <v>3921</v>
      </c>
      <c r="H220">
        <v>6202.7640000000001</v>
      </c>
    </row>
    <row r="221" spans="1:8" x14ac:dyDescent="0.25">
      <c r="A221">
        <v>1270</v>
      </c>
      <c r="B221" t="s">
        <v>464</v>
      </c>
      <c r="C221">
        <v>0.81</v>
      </c>
      <c r="D221" t="s">
        <v>3920</v>
      </c>
      <c r="E221">
        <v>2024</v>
      </c>
      <c r="F221" s="3">
        <v>45981.086926764787</v>
      </c>
      <c r="G221" t="s">
        <v>3921</v>
      </c>
      <c r="H221">
        <v>5494.9999997083996</v>
      </c>
    </row>
    <row r="222" spans="1:8" x14ac:dyDescent="0.25">
      <c r="A222">
        <v>1271</v>
      </c>
      <c r="B222" t="s">
        <v>468</v>
      </c>
      <c r="C222">
        <v>0.75</v>
      </c>
      <c r="D222" t="s">
        <v>3920</v>
      </c>
      <c r="E222">
        <v>2024</v>
      </c>
      <c r="F222" s="3">
        <v>45981.086926764787</v>
      </c>
      <c r="G222" t="s">
        <v>3921</v>
      </c>
      <c r="H222">
        <v>750.14184</v>
      </c>
    </row>
    <row r="223" spans="1:8" x14ac:dyDescent="0.25">
      <c r="A223">
        <v>1272</v>
      </c>
      <c r="B223" t="s">
        <v>519</v>
      </c>
      <c r="C223">
        <v>0.95</v>
      </c>
      <c r="D223" t="s">
        <v>3920</v>
      </c>
      <c r="E223">
        <v>2024</v>
      </c>
      <c r="F223" s="3">
        <v>45981.086926764787</v>
      </c>
      <c r="G223" t="s">
        <v>3921</v>
      </c>
      <c r="H223">
        <v>1045</v>
      </c>
    </row>
    <row r="224" spans="1:8" x14ac:dyDescent="0.25">
      <c r="A224">
        <v>1273</v>
      </c>
      <c r="B224" t="s">
        <v>541</v>
      </c>
      <c r="C224">
        <v>0.34</v>
      </c>
      <c r="D224" t="s">
        <v>3920</v>
      </c>
      <c r="E224">
        <v>2024</v>
      </c>
      <c r="F224" s="3">
        <v>45981.086926764787</v>
      </c>
      <c r="G224" t="s">
        <v>3921</v>
      </c>
      <c r="H224">
        <v>4080</v>
      </c>
    </row>
    <row r="225" spans="1:8" x14ac:dyDescent="0.25">
      <c r="A225">
        <v>1274</v>
      </c>
      <c r="B225" t="s">
        <v>544</v>
      </c>
      <c r="C225">
        <v>0.66</v>
      </c>
      <c r="D225" t="s">
        <v>3920</v>
      </c>
      <c r="E225">
        <v>2024</v>
      </c>
      <c r="F225" s="3">
        <v>45981.086926764787</v>
      </c>
      <c r="G225" t="s">
        <v>3921</v>
      </c>
      <c r="H225">
        <v>1815</v>
      </c>
    </row>
    <row r="226" spans="1:8" x14ac:dyDescent="0.25">
      <c r="A226">
        <v>1275</v>
      </c>
      <c r="B226" t="s">
        <v>547</v>
      </c>
      <c r="C226">
        <v>0.64</v>
      </c>
      <c r="D226" t="s">
        <v>3920</v>
      </c>
      <c r="E226">
        <v>2024</v>
      </c>
      <c r="F226" s="3">
        <v>45981.086926764787</v>
      </c>
      <c r="G226" t="s">
        <v>3921</v>
      </c>
      <c r="H226">
        <v>2112</v>
      </c>
    </row>
    <row r="227" spans="1:8" x14ac:dyDescent="0.25">
      <c r="A227">
        <v>1276</v>
      </c>
      <c r="B227" t="s">
        <v>1000</v>
      </c>
      <c r="C227">
        <v>0.35181818181818181</v>
      </c>
      <c r="D227" t="s">
        <v>3920</v>
      </c>
      <c r="E227">
        <v>2024</v>
      </c>
      <c r="F227" s="3">
        <v>45981.086926764787</v>
      </c>
      <c r="G227" t="s">
        <v>3921</v>
      </c>
      <c r="H227">
        <v>386.99999999999989</v>
      </c>
    </row>
    <row r="228" spans="1:8" x14ac:dyDescent="0.25">
      <c r="A228">
        <v>1277</v>
      </c>
      <c r="B228" t="s">
        <v>1016</v>
      </c>
      <c r="C228">
        <v>0.96</v>
      </c>
      <c r="D228" t="s">
        <v>3920</v>
      </c>
      <c r="E228">
        <v>2024</v>
      </c>
      <c r="F228" s="3">
        <v>45981.086926764787</v>
      </c>
      <c r="G228" t="s">
        <v>3921</v>
      </c>
      <c r="H228">
        <v>1269</v>
      </c>
    </row>
    <row r="229" spans="1:8" x14ac:dyDescent="0.25">
      <c r="A229">
        <v>1278</v>
      </c>
      <c r="B229" t="s">
        <v>1124</v>
      </c>
      <c r="C229">
        <v>0.59791666666666665</v>
      </c>
      <c r="D229" t="s">
        <v>3920</v>
      </c>
      <c r="E229">
        <v>2024</v>
      </c>
      <c r="F229" s="3">
        <v>45981.086926764787</v>
      </c>
      <c r="G229" t="s">
        <v>3921</v>
      </c>
      <c r="H229">
        <v>538.125</v>
      </c>
    </row>
    <row r="230" spans="1:8" x14ac:dyDescent="0.25">
      <c r="A230">
        <v>1279</v>
      </c>
      <c r="B230" t="s">
        <v>1202</v>
      </c>
      <c r="C230">
        <v>0</v>
      </c>
      <c r="D230" t="s">
        <v>3920</v>
      </c>
      <c r="E230">
        <v>2024</v>
      </c>
      <c r="F230" s="3">
        <v>45981.086926764787</v>
      </c>
      <c r="G230" t="s">
        <v>3921</v>
      </c>
      <c r="H230">
        <v>0</v>
      </c>
    </row>
    <row r="231" spans="1:8" x14ac:dyDescent="0.25">
      <c r="A231">
        <v>1280</v>
      </c>
      <c r="B231" t="s">
        <v>1203</v>
      </c>
      <c r="C231">
        <v>0.88636363636363635</v>
      </c>
      <c r="D231" t="s">
        <v>3920</v>
      </c>
      <c r="E231">
        <v>2024</v>
      </c>
      <c r="F231" s="3">
        <v>45981.086926764787</v>
      </c>
      <c r="G231" t="s">
        <v>3921</v>
      </c>
      <c r="H231">
        <v>292.5</v>
      </c>
    </row>
    <row r="232" spans="1:8" x14ac:dyDescent="0.25">
      <c r="A232">
        <v>1281</v>
      </c>
      <c r="B232" t="s">
        <v>1208</v>
      </c>
      <c r="C232">
        <v>0</v>
      </c>
      <c r="D232" t="s">
        <v>3920</v>
      </c>
      <c r="E232">
        <v>2024</v>
      </c>
      <c r="F232" s="3">
        <v>45981.086926764787</v>
      </c>
      <c r="G232" t="s">
        <v>3921</v>
      </c>
      <c r="H232">
        <v>219.4444444444444</v>
      </c>
    </row>
    <row r="233" spans="1:8" x14ac:dyDescent="0.25">
      <c r="A233">
        <v>1282</v>
      </c>
      <c r="B233" t="s">
        <v>1117</v>
      </c>
      <c r="C233">
        <v>1.0999999999999999E-2</v>
      </c>
      <c r="D233" t="s">
        <v>3920</v>
      </c>
      <c r="E233">
        <v>2024</v>
      </c>
      <c r="F233" s="3">
        <v>45981.086926764787</v>
      </c>
      <c r="G233" t="s">
        <v>3921</v>
      </c>
      <c r="H233">
        <v>20</v>
      </c>
    </row>
    <row r="234" spans="1:8" x14ac:dyDescent="0.25">
      <c r="A234">
        <v>1283</v>
      </c>
      <c r="B234" t="s">
        <v>1121</v>
      </c>
      <c r="C234">
        <v>1</v>
      </c>
      <c r="D234" t="s">
        <v>3920</v>
      </c>
      <c r="E234">
        <v>2024</v>
      </c>
      <c r="F234" s="3">
        <v>45981.086926764787</v>
      </c>
      <c r="G234" t="s">
        <v>3921</v>
      </c>
      <c r="H234">
        <v>1100</v>
      </c>
    </row>
    <row r="235" spans="1:8" x14ac:dyDescent="0.25">
      <c r="A235">
        <v>1284</v>
      </c>
      <c r="B235" t="s">
        <v>1126</v>
      </c>
      <c r="C235">
        <v>0.83598053152784135</v>
      </c>
      <c r="D235" t="s">
        <v>3920</v>
      </c>
      <c r="E235">
        <v>2024</v>
      </c>
      <c r="F235" s="3">
        <v>45981.086926764787</v>
      </c>
      <c r="G235" t="s">
        <v>3921</v>
      </c>
      <c r="H235">
        <v>1287.410018552876</v>
      </c>
    </row>
    <row r="236" spans="1:8" x14ac:dyDescent="0.25">
      <c r="A236">
        <v>1285</v>
      </c>
      <c r="B236" t="s">
        <v>1129</v>
      </c>
      <c r="C236">
        <v>0.75911976911976908</v>
      </c>
      <c r="D236" t="s">
        <v>3920</v>
      </c>
      <c r="E236">
        <v>2024</v>
      </c>
      <c r="F236" s="3">
        <v>45981.086926764787</v>
      </c>
      <c r="G236" t="s">
        <v>3921</v>
      </c>
      <c r="H236">
        <v>835.03174603174602</v>
      </c>
    </row>
    <row r="237" spans="1:8" x14ac:dyDescent="0.25">
      <c r="A237">
        <v>1286</v>
      </c>
      <c r="B237" t="s">
        <v>1133</v>
      </c>
      <c r="C237">
        <v>0.9412066115702481</v>
      </c>
      <c r="D237" t="s">
        <v>3920</v>
      </c>
      <c r="E237">
        <v>2024</v>
      </c>
      <c r="F237" s="3">
        <v>45981.086926764787</v>
      </c>
      <c r="G237" t="s">
        <v>3921</v>
      </c>
      <c r="H237">
        <v>1035.3272727272731</v>
      </c>
    </row>
    <row r="238" spans="1:8" x14ac:dyDescent="0.25">
      <c r="A238">
        <v>1287</v>
      </c>
      <c r="B238" t="s">
        <v>1136</v>
      </c>
      <c r="C238">
        <v>0.62958758503401357</v>
      </c>
      <c r="D238" t="s">
        <v>3920</v>
      </c>
      <c r="E238">
        <v>2024</v>
      </c>
      <c r="F238" s="3">
        <v>45981.086926764787</v>
      </c>
      <c r="G238" t="s">
        <v>3921</v>
      </c>
      <c r="H238">
        <v>1762.8452380952381</v>
      </c>
    </row>
    <row r="239" spans="1:8" x14ac:dyDescent="0.25">
      <c r="A239">
        <v>1288</v>
      </c>
      <c r="B239" t="s">
        <v>1140</v>
      </c>
      <c r="C239">
        <v>0</v>
      </c>
      <c r="D239" t="s">
        <v>3920</v>
      </c>
      <c r="E239">
        <v>2024</v>
      </c>
      <c r="F239" s="3">
        <v>45981.086926764787</v>
      </c>
      <c r="G239" t="s">
        <v>3921</v>
      </c>
      <c r="H239">
        <v>412.84045584045577</v>
      </c>
    </row>
    <row r="240" spans="1:8" x14ac:dyDescent="0.25">
      <c r="A240">
        <v>1289</v>
      </c>
      <c r="B240" t="s">
        <v>1144</v>
      </c>
      <c r="C240">
        <v>0.28859595200692117</v>
      </c>
      <c r="D240" t="s">
        <v>3920</v>
      </c>
      <c r="E240">
        <v>2024</v>
      </c>
      <c r="F240" s="3">
        <v>45981.086926764787</v>
      </c>
      <c r="G240" t="s">
        <v>3921</v>
      </c>
      <c r="H240">
        <v>349.20110192837473</v>
      </c>
    </row>
    <row r="241" spans="1:8" x14ac:dyDescent="0.25">
      <c r="A241">
        <v>1290</v>
      </c>
      <c r="B241" t="s">
        <v>1148</v>
      </c>
      <c r="C241">
        <v>0.98090909090909095</v>
      </c>
      <c r="D241" t="s">
        <v>3920</v>
      </c>
      <c r="E241">
        <v>2024</v>
      </c>
      <c r="F241" s="3">
        <v>45981.086926764787</v>
      </c>
      <c r="G241" t="s">
        <v>3921</v>
      </c>
      <c r="H241">
        <v>1079</v>
      </c>
    </row>
    <row r="242" spans="1:8" x14ac:dyDescent="0.25">
      <c r="A242">
        <v>1291</v>
      </c>
      <c r="B242" t="s">
        <v>1152</v>
      </c>
      <c r="C242">
        <v>0.80335858585858588</v>
      </c>
      <c r="D242" t="s">
        <v>3920</v>
      </c>
      <c r="E242">
        <v>2024</v>
      </c>
      <c r="F242" s="3">
        <v>45981.086926764787</v>
      </c>
      <c r="G242" t="s">
        <v>3921</v>
      </c>
      <c r="H242">
        <v>883.69444444444446</v>
      </c>
    </row>
    <row r="243" spans="1:8" x14ac:dyDescent="0.25">
      <c r="A243">
        <v>1292</v>
      </c>
      <c r="B243" t="s">
        <v>1156</v>
      </c>
      <c r="C243">
        <v>0.90427328353464731</v>
      </c>
      <c r="D243" t="s">
        <v>3920</v>
      </c>
      <c r="E243">
        <v>2024</v>
      </c>
      <c r="F243" s="3">
        <v>45981.086926764787</v>
      </c>
      <c r="G243" t="s">
        <v>3921</v>
      </c>
      <c r="H243">
        <v>795.76048951048961</v>
      </c>
    </row>
    <row r="244" spans="1:8" x14ac:dyDescent="0.25">
      <c r="A244">
        <v>1293</v>
      </c>
      <c r="B244" t="s">
        <v>1160</v>
      </c>
      <c r="C244">
        <v>1</v>
      </c>
      <c r="D244" t="s">
        <v>3920</v>
      </c>
      <c r="E244">
        <v>2024</v>
      </c>
      <c r="F244" s="3">
        <v>45981.086926764787</v>
      </c>
      <c r="G244" t="s">
        <v>3921</v>
      </c>
      <c r="H244">
        <v>1100</v>
      </c>
    </row>
    <row r="245" spans="1:8" x14ac:dyDescent="0.25">
      <c r="A245">
        <v>1294</v>
      </c>
      <c r="B245" t="s">
        <v>1164</v>
      </c>
      <c r="C245">
        <v>0.98422238918106675</v>
      </c>
      <c r="D245" t="s">
        <v>3920</v>
      </c>
      <c r="E245">
        <v>2024</v>
      </c>
      <c r="F245" s="3">
        <v>45981.086926764787</v>
      </c>
      <c r="G245" t="s">
        <v>3921</v>
      </c>
      <c r="H245">
        <v>1190.909090909091</v>
      </c>
    </row>
    <row r="246" spans="1:8" x14ac:dyDescent="0.25">
      <c r="A246">
        <v>1295</v>
      </c>
      <c r="B246" t="s">
        <v>1168</v>
      </c>
      <c r="C246">
        <v>0.89767355371900837</v>
      </c>
      <c r="D246" t="s">
        <v>3920</v>
      </c>
      <c r="E246">
        <v>2024</v>
      </c>
      <c r="F246" s="3">
        <v>45981.086926764787</v>
      </c>
      <c r="G246" t="s">
        <v>3921</v>
      </c>
      <c r="H246">
        <v>987.44090909090926</v>
      </c>
    </row>
    <row r="247" spans="1:8" x14ac:dyDescent="0.25">
      <c r="A247">
        <v>1296</v>
      </c>
      <c r="B247" t="s">
        <v>1175</v>
      </c>
      <c r="C247">
        <v>0.95415977961432497</v>
      </c>
      <c r="D247" t="s">
        <v>3920</v>
      </c>
      <c r="E247">
        <v>2024</v>
      </c>
      <c r="F247" s="3">
        <v>45981.086926764787</v>
      </c>
      <c r="G247" t="s">
        <v>3921</v>
      </c>
      <c r="H247">
        <v>1049.575757575758</v>
      </c>
    </row>
    <row r="248" spans="1:8" x14ac:dyDescent="0.25">
      <c r="A248">
        <v>1297</v>
      </c>
      <c r="B248" t="s">
        <v>1179</v>
      </c>
      <c r="C248">
        <v>0</v>
      </c>
      <c r="D248" t="s">
        <v>3920</v>
      </c>
      <c r="E248">
        <v>2024</v>
      </c>
      <c r="F248" s="3">
        <v>45981.086926764787</v>
      </c>
      <c r="G248" t="s">
        <v>3921</v>
      </c>
      <c r="H248">
        <v>0</v>
      </c>
    </row>
    <row r="249" spans="1:8" x14ac:dyDescent="0.25">
      <c r="A249">
        <v>1298</v>
      </c>
      <c r="B249" t="s">
        <v>1182</v>
      </c>
      <c r="C249">
        <v>0</v>
      </c>
      <c r="D249" t="s">
        <v>3920</v>
      </c>
      <c r="E249">
        <v>2024</v>
      </c>
      <c r="F249" s="3">
        <v>45981.086926764787</v>
      </c>
      <c r="G249" t="s">
        <v>3921</v>
      </c>
      <c r="H249">
        <v>0</v>
      </c>
    </row>
    <row r="250" spans="1:8" x14ac:dyDescent="0.25">
      <c r="A250">
        <v>1299</v>
      </c>
      <c r="B250" t="s">
        <v>1186</v>
      </c>
      <c r="C250">
        <v>1</v>
      </c>
      <c r="D250" t="s">
        <v>3920</v>
      </c>
      <c r="E250">
        <v>2024</v>
      </c>
      <c r="F250" s="3">
        <v>45981.086926764787</v>
      </c>
      <c r="G250" t="s">
        <v>3921</v>
      </c>
      <c r="H250">
        <v>1100</v>
      </c>
    </row>
    <row r="251" spans="1:8" x14ac:dyDescent="0.25">
      <c r="A251">
        <v>1300</v>
      </c>
      <c r="B251" t="s">
        <v>1190</v>
      </c>
      <c r="C251">
        <v>1</v>
      </c>
      <c r="D251" t="s">
        <v>3920</v>
      </c>
      <c r="E251">
        <v>2024</v>
      </c>
      <c r="F251" s="3">
        <v>45981.086926764787</v>
      </c>
      <c r="G251" t="s">
        <v>3921</v>
      </c>
      <c r="H251">
        <v>1100</v>
      </c>
    </row>
    <row r="252" spans="1:8" x14ac:dyDescent="0.25">
      <c r="A252">
        <v>1301</v>
      </c>
      <c r="B252" t="s">
        <v>1194</v>
      </c>
      <c r="C252">
        <v>1</v>
      </c>
      <c r="D252" t="s">
        <v>3920</v>
      </c>
      <c r="E252">
        <v>2024</v>
      </c>
      <c r="F252" s="3">
        <v>45981.086926764787</v>
      </c>
      <c r="G252" t="s">
        <v>3921</v>
      </c>
      <c r="H252">
        <v>1145</v>
      </c>
    </row>
    <row r="253" spans="1:8" x14ac:dyDescent="0.25">
      <c r="A253">
        <v>1302</v>
      </c>
      <c r="B253" t="s">
        <v>1198</v>
      </c>
      <c r="C253">
        <v>0.88691470650561566</v>
      </c>
      <c r="D253" t="s">
        <v>3920</v>
      </c>
      <c r="E253">
        <v>2024</v>
      </c>
      <c r="F253" s="3">
        <v>45981.086926764787</v>
      </c>
      <c r="G253" t="s">
        <v>3921</v>
      </c>
      <c r="H253">
        <v>975.60617715617718</v>
      </c>
    </row>
    <row r="254" spans="1:8" x14ac:dyDescent="0.25">
      <c r="A254">
        <v>1303</v>
      </c>
      <c r="B254" t="s">
        <v>1204</v>
      </c>
      <c r="C254">
        <v>1</v>
      </c>
      <c r="D254" t="s">
        <v>3920</v>
      </c>
      <c r="E254">
        <v>2024</v>
      </c>
      <c r="F254" s="3">
        <v>45981.086926764787</v>
      </c>
      <c r="G254" t="s">
        <v>3921</v>
      </c>
      <c r="H254">
        <v>1980</v>
      </c>
    </row>
    <row r="255" spans="1:8" x14ac:dyDescent="0.25">
      <c r="A255">
        <v>1304</v>
      </c>
      <c r="B255" t="s">
        <v>1209</v>
      </c>
      <c r="C255">
        <v>0.4554595429822702</v>
      </c>
      <c r="D255" t="s">
        <v>3920</v>
      </c>
      <c r="E255">
        <v>2024</v>
      </c>
      <c r="F255" s="3">
        <v>45981.086926764787</v>
      </c>
      <c r="G255" t="s">
        <v>3921</v>
      </c>
      <c r="H255">
        <v>601.20659673659668</v>
      </c>
    </row>
    <row r="256" spans="1:8" x14ac:dyDescent="0.25">
      <c r="A256">
        <v>1305</v>
      </c>
      <c r="B256" t="s">
        <v>1213</v>
      </c>
      <c r="C256">
        <v>0.99066942148760306</v>
      </c>
      <c r="D256" t="s">
        <v>3920</v>
      </c>
      <c r="E256">
        <v>2024</v>
      </c>
      <c r="F256" s="3">
        <v>45981.086926764787</v>
      </c>
      <c r="G256" t="s">
        <v>3921</v>
      </c>
      <c r="H256">
        <v>1089.736363636363</v>
      </c>
    </row>
    <row r="257" spans="1:8" x14ac:dyDescent="0.25">
      <c r="A257">
        <v>1306</v>
      </c>
      <c r="B257" t="s">
        <v>1220</v>
      </c>
      <c r="C257">
        <v>0.85214989190487611</v>
      </c>
      <c r="D257" t="s">
        <v>3920</v>
      </c>
      <c r="E257">
        <v>2024</v>
      </c>
      <c r="F257" s="3">
        <v>45981.086926764787</v>
      </c>
      <c r="G257" t="s">
        <v>3921</v>
      </c>
      <c r="H257">
        <v>3084.782608695652</v>
      </c>
    </row>
    <row r="258" spans="1:8" x14ac:dyDescent="0.25">
      <c r="A258">
        <v>1307</v>
      </c>
      <c r="B258" t="s">
        <v>1224</v>
      </c>
      <c r="C258">
        <v>0.5412396694214876</v>
      </c>
      <c r="D258" t="s">
        <v>3920</v>
      </c>
      <c r="E258">
        <v>2024</v>
      </c>
      <c r="F258" s="3">
        <v>45981.086926764787</v>
      </c>
      <c r="G258" t="s">
        <v>3921</v>
      </c>
      <c r="H258">
        <v>595.36363636363637</v>
      </c>
    </row>
    <row r="259" spans="1:8" x14ac:dyDescent="0.25">
      <c r="A259">
        <v>1308</v>
      </c>
      <c r="B259" t="s">
        <v>1228</v>
      </c>
      <c r="C259">
        <v>0</v>
      </c>
      <c r="D259" t="s">
        <v>3920</v>
      </c>
      <c r="E259">
        <v>2024</v>
      </c>
      <c r="F259" s="3">
        <v>45981.086926764787</v>
      </c>
      <c r="G259" t="s">
        <v>3921</v>
      </c>
      <c r="H259">
        <v>0</v>
      </c>
    </row>
    <row r="260" spans="1:8" x14ac:dyDescent="0.25">
      <c r="A260">
        <v>1309</v>
      </c>
      <c r="B260" t="s">
        <v>1232</v>
      </c>
      <c r="C260">
        <v>0.96896969696969704</v>
      </c>
      <c r="D260" t="s">
        <v>3920</v>
      </c>
      <c r="E260">
        <v>2024</v>
      </c>
      <c r="F260" s="3">
        <v>45981.086926764787</v>
      </c>
      <c r="G260" t="s">
        <v>3921</v>
      </c>
      <c r="H260">
        <v>1065.866666666667</v>
      </c>
    </row>
    <row r="261" spans="1:8" x14ac:dyDescent="0.25">
      <c r="A261">
        <v>1310</v>
      </c>
      <c r="B261" t="s">
        <v>1235</v>
      </c>
      <c r="C261">
        <v>0.94881118881118898</v>
      </c>
      <c r="D261" t="s">
        <v>3920</v>
      </c>
      <c r="E261">
        <v>2024</v>
      </c>
      <c r="F261" s="3">
        <v>45981.086926764787</v>
      </c>
      <c r="G261" t="s">
        <v>3921</v>
      </c>
      <c r="H261">
        <v>622</v>
      </c>
    </row>
    <row r="262" spans="1:8" x14ac:dyDescent="0.25">
      <c r="A262">
        <v>1311</v>
      </c>
      <c r="B262" t="s">
        <v>241</v>
      </c>
      <c r="C262">
        <v>0</v>
      </c>
      <c r="D262" t="s">
        <v>3920</v>
      </c>
      <c r="E262">
        <v>2024</v>
      </c>
      <c r="F262" s="3">
        <v>45981.086926764787</v>
      </c>
      <c r="G262" t="s">
        <v>3921</v>
      </c>
      <c r="H262">
        <v>1000</v>
      </c>
    </row>
    <row r="263" spans="1:8" x14ac:dyDescent="0.25">
      <c r="A263">
        <v>1312</v>
      </c>
      <c r="B263" t="s">
        <v>245</v>
      </c>
      <c r="C263">
        <v>0</v>
      </c>
      <c r="D263" t="s">
        <v>3920</v>
      </c>
      <c r="E263">
        <v>2024</v>
      </c>
      <c r="F263" s="3">
        <v>45981.086926764787</v>
      </c>
      <c r="G263" t="s">
        <v>3921</v>
      </c>
      <c r="H263">
        <v>650</v>
      </c>
    </row>
    <row r="264" spans="1:8" x14ac:dyDescent="0.25">
      <c r="A264">
        <v>1313</v>
      </c>
      <c r="B264" t="s">
        <v>249</v>
      </c>
      <c r="C264">
        <v>0.98</v>
      </c>
      <c r="D264" t="s">
        <v>3920</v>
      </c>
      <c r="E264">
        <v>2024</v>
      </c>
      <c r="F264" s="3">
        <v>45981.086926764787</v>
      </c>
      <c r="G264" t="s">
        <v>3921</v>
      </c>
      <c r="H264">
        <v>978</v>
      </c>
    </row>
    <row r="265" spans="1:8" x14ac:dyDescent="0.25">
      <c r="A265">
        <v>1314</v>
      </c>
      <c r="B265" t="s">
        <v>252</v>
      </c>
      <c r="C265">
        <v>0.88</v>
      </c>
      <c r="D265" t="s">
        <v>3920</v>
      </c>
      <c r="E265">
        <v>2024</v>
      </c>
      <c r="F265" s="3">
        <v>45981.086926764787</v>
      </c>
      <c r="G265" t="s">
        <v>3921</v>
      </c>
      <c r="H265">
        <v>1521</v>
      </c>
    </row>
    <row r="266" spans="1:8" x14ac:dyDescent="0.25">
      <c r="A266">
        <v>1315</v>
      </c>
      <c r="B266" t="s">
        <v>256</v>
      </c>
      <c r="C266">
        <v>0.79738117283950627</v>
      </c>
      <c r="D266" t="s">
        <v>3920</v>
      </c>
      <c r="E266">
        <v>2024</v>
      </c>
      <c r="F266" s="3">
        <v>45981.086926764787</v>
      </c>
      <c r="G266" t="s">
        <v>3921</v>
      </c>
      <c r="H266">
        <v>797.38117283950623</v>
      </c>
    </row>
    <row r="267" spans="1:8" x14ac:dyDescent="0.25">
      <c r="A267">
        <v>1316</v>
      </c>
      <c r="B267" t="s">
        <v>259</v>
      </c>
      <c r="C267">
        <v>0.95</v>
      </c>
      <c r="D267" t="s">
        <v>3920</v>
      </c>
      <c r="E267">
        <v>2024</v>
      </c>
      <c r="F267" s="3">
        <v>45981.086926764787</v>
      </c>
      <c r="G267" t="s">
        <v>3921</v>
      </c>
      <c r="H267">
        <v>950</v>
      </c>
    </row>
    <row r="268" spans="1:8" x14ac:dyDescent="0.25">
      <c r="A268">
        <v>1317</v>
      </c>
      <c r="B268" t="s">
        <v>262</v>
      </c>
      <c r="C268">
        <v>0.93</v>
      </c>
      <c r="D268" t="s">
        <v>3920</v>
      </c>
      <c r="E268">
        <v>2024</v>
      </c>
      <c r="F268" s="3">
        <v>45981.086926764787</v>
      </c>
      <c r="G268" t="s">
        <v>3921</v>
      </c>
      <c r="H268">
        <v>2674</v>
      </c>
    </row>
    <row r="269" spans="1:8" x14ac:dyDescent="0.25">
      <c r="A269">
        <v>1318</v>
      </c>
      <c r="B269" t="s">
        <v>265</v>
      </c>
      <c r="C269">
        <v>0.91214444444444442</v>
      </c>
      <c r="D269" t="s">
        <v>3920</v>
      </c>
      <c r="E269">
        <v>2024</v>
      </c>
      <c r="F269" s="3">
        <v>45981.086926764787</v>
      </c>
      <c r="G269" t="s">
        <v>3921</v>
      </c>
      <c r="H269">
        <v>912.14444444444439</v>
      </c>
    </row>
    <row r="270" spans="1:8" x14ac:dyDescent="0.25">
      <c r="A270">
        <v>1319</v>
      </c>
      <c r="B270" t="s">
        <v>308</v>
      </c>
      <c r="C270">
        <v>0.89531611111111109</v>
      </c>
      <c r="D270" t="s">
        <v>3920</v>
      </c>
      <c r="E270">
        <v>2024</v>
      </c>
      <c r="F270" s="3">
        <v>45981.086926764787</v>
      </c>
      <c r="G270" t="s">
        <v>3921</v>
      </c>
      <c r="H270">
        <v>895.31611111111113</v>
      </c>
    </row>
    <row r="271" spans="1:8" x14ac:dyDescent="0.25">
      <c r="A271">
        <v>1320</v>
      </c>
      <c r="B271" t="s">
        <v>472</v>
      </c>
      <c r="C271">
        <v>0.47639943192307688</v>
      </c>
      <c r="D271" t="s">
        <v>3920</v>
      </c>
      <c r="E271">
        <v>2024</v>
      </c>
      <c r="F271" s="3">
        <v>45981.086926764787</v>
      </c>
      <c r="G271" t="s">
        <v>3921</v>
      </c>
      <c r="H271">
        <v>952.79886384615372</v>
      </c>
    </row>
    <row r="272" spans="1:8" x14ac:dyDescent="0.25">
      <c r="A272">
        <v>1321</v>
      </c>
      <c r="B272" t="s">
        <v>495</v>
      </c>
      <c r="C272">
        <v>0.79658714839778522</v>
      </c>
      <c r="D272" t="s">
        <v>3920</v>
      </c>
      <c r="E272">
        <v>2024</v>
      </c>
      <c r="F272" s="3">
        <v>45981.086926764787</v>
      </c>
      <c r="G272" t="s">
        <v>3921</v>
      </c>
      <c r="H272">
        <v>3023.0482281695949</v>
      </c>
    </row>
    <row r="273" spans="1:8" x14ac:dyDescent="0.25">
      <c r="A273">
        <v>1322</v>
      </c>
      <c r="B273" t="s">
        <v>497</v>
      </c>
      <c r="C273">
        <v>0.9735441137123747</v>
      </c>
      <c r="D273" t="s">
        <v>3920</v>
      </c>
      <c r="E273">
        <v>2024</v>
      </c>
      <c r="F273" s="3">
        <v>45981.086926764787</v>
      </c>
      <c r="G273" t="s">
        <v>3921</v>
      </c>
      <c r="H273">
        <v>671.74543846153858</v>
      </c>
    </row>
    <row r="274" spans="1:8" x14ac:dyDescent="0.25">
      <c r="A274">
        <v>1323</v>
      </c>
      <c r="B274" t="s">
        <v>471</v>
      </c>
      <c r="C274">
        <v>0.63782465185185189</v>
      </c>
      <c r="D274" t="s">
        <v>3920</v>
      </c>
      <c r="E274">
        <v>2024</v>
      </c>
      <c r="F274" s="3">
        <v>45981.086926764787</v>
      </c>
      <c r="G274" t="s">
        <v>3921</v>
      </c>
      <c r="H274">
        <v>2583.18984</v>
      </c>
    </row>
    <row r="275" spans="1:8" x14ac:dyDescent="0.25">
      <c r="A275">
        <v>1324</v>
      </c>
      <c r="B275" t="s">
        <v>479</v>
      </c>
      <c r="C275">
        <v>0</v>
      </c>
      <c r="D275" t="s">
        <v>3920</v>
      </c>
      <c r="E275">
        <v>2024</v>
      </c>
      <c r="F275" s="3">
        <v>45981.086926764787</v>
      </c>
      <c r="G275" t="s">
        <v>3921</v>
      </c>
      <c r="H275">
        <v>0</v>
      </c>
    </row>
    <row r="276" spans="1:8" x14ac:dyDescent="0.25">
      <c r="A276">
        <v>1325</v>
      </c>
      <c r="B276" t="s">
        <v>480</v>
      </c>
      <c r="C276">
        <v>0.40309903807890218</v>
      </c>
      <c r="D276" t="s">
        <v>3920</v>
      </c>
      <c r="E276">
        <v>2024</v>
      </c>
      <c r="F276" s="3">
        <v>45981.086926764787</v>
      </c>
      <c r="G276" t="s">
        <v>3921</v>
      </c>
      <c r="H276">
        <v>1068.2124509090911</v>
      </c>
    </row>
    <row r="277" spans="1:8" x14ac:dyDescent="0.25">
      <c r="A277">
        <v>1326</v>
      </c>
      <c r="B277" t="s">
        <v>456</v>
      </c>
      <c r="C277">
        <v>0.82858216683583918</v>
      </c>
      <c r="D277" t="s">
        <v>3920</v>
      </c>
      <c r="E277">
        <v>2024</v>
      </c>
      <c r="F277" s="3">
        <v>45981.086926764787</v>
      </c>
      <c r="G277" t="s">
        <v>3921</v>
      </c>
      <c r="H277">
        <v>1187.3582450757581</v>
      </c>
    </row>
    <row r="278" spans="1:8" x14ac:dyDescent="0.25">
      <c r="A278">
        <v>1327</v>
      </c>
      <c r="B278" t="s">
        <v>496</v>
      </c>
      <c r="C278">
        <v>0</v>
      </c>
      <c r="D278" t="s">
        <v>3920</v>
      </c>
      <c r="E278">
        <v>2024</v>
      </c>
      <c r="F278" s="3">
        <v>45981.086926764787</v>
      </c>
      <c r="G278" t="s">
        <v>3921</v>
      </c>
      <c r="H278">
        <v>1339.2833622958431</v>
      </c>
    </row>
    <row r="279" spans="1:8" x14ac:dyDescent="0.25">
      <c r="A279">
        <v>1328</v>
      </c>
      <c r="B279" t="s">
        <v>473</v>
      </c>
      <c r="C279">
        <v>0.42</v>
      </c>
      <c r="D279" t="s">
        <v>3920</v>
      </c>
      <c r="E279">
        <v>2024</v>
      </c>
      <c r="F279" s="3">
        <v>45981.086926764787</v>
      </c>
      <c r="G279" t="s">
        <v>3921</v>
      </c>
      <c r="H279">
        <v>7560</v>
      </c>
    </row>
    <row r="280" spans="1:8" x14ac:dyDescent="0.25">
      <c r="A280">
        <v>1329</v>
      </c>
      <c r="B280" t="s">
        <v>481</v>
      </c>
      <c r="C280">
        <v>0.88318954662680671</v>
      </c>
      <c r="D280" t="s">
        <v>3920</v>
      </c>
      <c r="E280">
        <v>2024</v>
      </c>
      <c r="F280" s="3">
        <v>45981.086926764787</v>
      </c>
      <c r="G280" t="s">
        <v>3921</v>
      </c>
      <c r="H280">
        <v>883.18954662680676</v>
      </c>
    </row>
    <row r="281" spans="1:8" x14ac:dyDescent="0.25">
      <c r="A281">
        <v>1330</v>
      </c>
      <c r="B281" t="s">
        <v>484</v>
      </c>
      <c r="C281">
        <v>0.89730003125000013</v>
      </c>
      <c r="D281" t="s">
        <v>3920</v>
      </c>
      <c r="E281">
        <v>2024</v>
      </c>
      <c r="F281" s="3">
        <v>45981.086926764787</v>
      </c>
      <c r="G281" t="s">
        <v>3921</v>
      </c>
      <c r="H281">
        <v>897.30003125000007</v>
      </c>
    </row>
    <row r="282" spans="1:8" x14ac:dyDescent="0.25">
      <c r="A282">
        <v>1331</v>
      </c>
      <c r="B282" t="s">
        <v>488</v>
      </c>
      <c r="C282">
        <v>0.99556028895768844</v>
      </c>
      <c r="D282" t="s">
        <v>3920</v>
      </c>
      <c r="E282">
        <v>2024</v>
      </c>
      <c r="F282" s="3">
        <v>45981.086926764787</v>
      </c>
      <c r="G282" t="s">
        <v>3921</v>
      </c>
      <c r="H282">
        <v>2894.0937600000002</v>
      </c>
    </row>
    <row r="283" spans="1:8" x14ac:dyDescent="0.25">
      <c r="A283">
        <v>1332</v>
      </c>
      <c r="B283" t="s">
        <v>492</v>
      </c>
      <c r="C283">
        <v>0.3</v>
      </c>
      <c r="D283" t="s">
        <v>3920</v>
      </c>
      <c r="E283">
        <v>2024</v>
      </c>
      <c r="F283" s="3">
        <v>45981.086926764787</v>
      </c>
      <c r="G283" t="s">
        <v>3921</v>
      </c>
      <c r="H283">
        <v>350.18677871208791</v>
      </c>
    </row>
    <row r="284" spans="1:8" x14ac:dyDescent="0.25">
      <c r="A284">
        <v>1333</v>
      </c>
      <c r="B284" t="s">
        <v>512</v>
      </c>
      <c r="C284">
        <v>0</v>
      </c>
      <c r="D284" t="s">
        <v>3920</v>
      </c>
      <c r="E284">
        <v>2024</v>
      </c>
      <c r="F284" s="3">
        <v>45981.086926764787</v>
      </c>
      <c r="G284" t="s">
        <v>3921</v>
      </c>
      <c r="H284">
        <v>1089</v>
      </c>
    </row>
    <row r="285" spans="1:8" x14ac:dyDescent="0.25">
      <c r="A285">
        <v>1334</v>
      </c>
      <c r="B285" t="s">
        <v>530</v>
      </c>
      <c r="C285">
        <v>0.75180051860701436</v>
      </c>
      <c r="D285" t="s">
        <v>3920</v>
      </c>
      <c r="E285">
        <v>2024</v>
      </c>
      <c r="F285" s="3">
        <v>45981.086926764787</v>
      </c>
      <c r="G285" t="s">
        <v>3921</v>
      </c>
      <c r="H285">
        <v>2067.4514261692889</v>
      </c>
    </row>
    <row r="286" spans="1:8" x14ac:dyDescent="0.25">
      <c r="A286">
        <v>1335</v>
      </c>
      <c r="B286" t="s">
        <v>569</v>
      </c>
      <c r="C286">
        <v>0</v>
      </c>
      <c r="D286" t="s">
        <v>3920</v>
      </c>
      <c r="E286">
        <v>2024</v>
      </c>
      <c r="F286" s="3">
        <v>45981.086926764787</v>
      </c>
      <c r="G286" t="s">
        <v>3921</v>
      </c>
      <c r="H286">
        <v>1371.293918506514</v>
      </c>
    </row>
    <row r="287" spans="1:8" x14ac:dyDescent="0.25">
      <c r="A287">
        <v>1336</v>
      </c>
      <c r="B287" t="s">
        <v>572</v>
      </c>
      <c r="C287">
        <v>0.98381437317028064</v>
      </c>
      <c r="D287" t="s">
        <v>3920</v>
      </c>
      <c r="E287">
        <v>2024</v>
      </c>
      <c r="F287" s="3">
        <v>45981.086926764787</v>
      </c>
      <c r="G287" t="s">
        <v>3921</v>
      </c>
      <c r="H287">
        <v>2705.4895262182722</v>
      </c>
    </row>
    <row r="288" spans="1:8" x14ac:dyDescent="0.25">
      <c r="A288">
        <v>1337</v>
      </c>
      <c r="B288" t="s">
        <v>575</v>
      </c>
      <c r="C288">
        <v>0.76766132076147975</v>
      </c>
      <c r="D288" t="s">
        <v>3920</v>
      </c>
      <c r="E288">
        <v>2024</v>
      </c>
      <c r="F288" s="3">
        <v>45981.086926764787</v>
      </c>
      <c r="G288" t="s">
        <v>3921</v>
      </c>
      <c r="H288">
        <v>1688.8549056752549</v>
      </c>
    </row>
    <row r="289" spans="1:8" x14ac:dyDescent="0.25">
      <c r="A289">
        <v>1338</v>
      </c>
      <c r="B289" t="s">
        <v>578</v>
      </c>
      <c r="C289">
        <v>0</v>
      </c>
      <c r="D289" t="s">
        <v>3920</v>
      </c>
      <c r="E289">
        <v>2024</v>
      </c>
      <c r="F289" s="3">
        <v>45981.086926764787</v>
      </c>
      <c r="G289" t="s">
        <v>3921</v>
      </c>
      <c r="H289">
        <v>1045</v>
      </c>
    </row>
    <row r="290" spans="1:8" x14ac:dyDescent="0.25">
      <c r="A290">
        <v>1339</v>
      </c>
      <c r="B290" t="s">
        <v>582</v>
      </c>
      <c r="C290">
        <v>0</v>
      </c>
      <c r="D290" t="s">
        <v>3920</v>
      </c>
      <c r="E290">
        <v>2024</v>
      </c>
      <c r="F290" s="3">
        <v>45981.086926764787</v>
      </c>
      <c r="G290" t="s">
        <v>3921</v>
      </c>
      <c r="H290">
        <v>386.81399751307782</v>
      </c>
    </row>
    <row r="291" spans="1:8" x14ac:dyDescent="0.25">
      <c r="A291">
        <v>1340</v>
      </c>
      <c r="B291" t="s">
        <v>326</v>
      </c>
      <c r="C291">
        <v>0</v>
      </c>
      <c r="D291" t="s">
        <v>3920</v>
      </c>
      <c r="E291">
        <v>2024</v>
      </c>
      <c r="F291" s="3">
        <v>45981.086926764787</v>
      </c>
      <c r="G291" t="s">
        <v>3921</v>
      </c>
      <c r="H291">
        <v>0</v>
      </c>
    </row>
    <row r="292" spans="1:8" x14ac:dyDescent="0.25">
      <c r="A292">
        <v>1341</v>
      </c>
      <c r="B292" t="s">
        <v>1259</v>
      </c>
      <c r="C292">
        <v>0</v>
      </c>
      <c r="D292" t="s">
        <v>3920</v>
      </c>
      <c r="E292">
        <v>2024</v>
      </c>
      <c r="F292" s="3">
        <v>45981.086926764787</v>
      </c>
      <c r="G292" t="s">
        <v>3921</v>
      </c>
      <c r="H292">
        <v>1100</v>
      </c>
    </row>
    <row r="293" spans="1:8" x14ac:dyDescent="0.25">
      <c r="A293">
        <v>1342</v>
      </c>
      <c r="B293" t="s">
        <v>1241</v>
      </c>
      <c r="C293">
        <v>0</v>
      </c>
      <c r="D293" t="s">
        <v>3920</v>
      </c>
      <c r="E293">
        <v>2024</v>
      </c>
      <c r="F293" s="3">
        <v>45981.086926764787</v>
      </c>
      <c r="G293" t="s">
        <v>3921</v>
      </c>
      <c r="H293">
        <v>0</v>
      </c>
    </row>
    <row r="294" spans="1:8" x14ac:dyDescent="0.25">
      <c r="A294">
        <v>1343</v>
      </c>
      <c r="B294" t="s">
        <v>1242</v>
      </c>
      <c r="C294">
        <v>1</v>
      </c>
      <c r="D294" t="s">
        <v>3920</v>
      </c>
      <c r="E294">
        <v>2024</v>
      </c>
      <c r="F294" s="3">
        <v>45981.086926764787</v>
      </c>
      <c r="G294" t="s">
        <v>3921</v>
      </c>
      <c r="H294">
        <v>1100</v>
      </c>
    </row>
    <row r="295" spans="1:8" x14ac:dyDescent="0.25">
      <c r="A295">
        <v>1344</v>
      </c>
      <c r="B295" t="s">
        <v>1255</v>
      </c>
      <c r="C295">
        <v>0.5</v>
      </c>
      <c r="D295" t="s">
        <v>3920</v>
      </c>
      <c r="E295">
        <v>2024</v>
      </c>
      <c r="F295" s="3">
        <v>45981.086926764787</v>
      </c>
      <c r="G295" t="s">
        <v>3921</v>
      </c>
      <c r="H295">
        <v>2200</v>
      </c>
    </row>
    <row r="296" spans="1:8" x14ac:dyDescent="0.25">
      <c r="A296">
        <v>1345</v>
      </c>
      <c r="B296" t="s">
        <v>1270</v>
      </c>
      <c r="C296">
        <v>0.73</v>
      </c>
      <c r="D296" t="s">
        <v>3920</v>
      </c>
      <c r="E296">
        <v>2024</v>
      </c>
      <c r="F296" s="3">
        <v>45981.086926764787</v>
      </c>
      <c r="G296" t="s">
        <v>3921</v>
      </c>
      <c r="H296">
        <v>399</v>
      </c>
    </row>
    <row r="297" spans="1:8" x14ac:dyDescent="0.25">
      <c r="A297">
        <v>1346</v>
      </c>
      <c r="B297" t="s">
        <v>1271</v>
      </c>
      <c r="C297">
        <v>0.06</v>
      </c>
      <c r="D297" t="s">
        <v>3920</v>
      </c>
      <c r="E297">
        <v>2024</v>
      </c>
      <c r="F297" s="3">
        <v>45981.086926764787</v>
      </c>
      <c r="G297" t="s">
        <v>3921</v>
      </c>
      <c r="H297">
        <v>66</v>
      </c>
    </row>
    <row r="298" spans="1:8" x14ac:dyDescent="0.25">
      <c r="A298">
        <v>1347</v>
      </c>
      <c r="B298" t="s">
        <v>1238</v>
      </c>
      <c r="C298">
        <v>0.94299999999999995</v>
      </c>
      <c r="D298" t="s">
        <v>3920</v>
      </c>
      <c r="E298">
        <v>2024</v>
      </c>
      <c r="F298" s="3">
        <v>45981.086926764787</v>
      </c>
      <c r="G298" t="s">
        <v>3921</v>
      </c>
      <c r="H298">
        <v>1244.76</v>
      </c>
    </row>
    <row r="299" spans="1:8" x14ac:dyDescent="0.25">
      <c r="A299">
        <v>1348</v>
      </c>
      <c r="B299" t="s">
        <v>1243</v>
      </c>
      <c r="C299">
        <v>0.98</v>
      </c>
      <c r="D299" t="s">
        <v>3920</v>
      </c>
      <c r="E299">
        <v>2024</v>
      </c>
      <c r="F299" s="3">
        <v>45981.086926764787</v>
      </c>
      <c r="G299" t="s">
        <v>3921</v>
      </c>
      <c r="H299">
        <v>3737</v>
      </c>
    </row>
    <row r="300" spans="1:8" x14ac:dyDescent="0.25">
      <c r="A300">
        <v>1349</v>
      </c>
      <c r="B300" t="s">
        <v>1246</v>
      </c>
      <c r="C300">
        <v>0.98</v>
      </c>
      <c r="D300" t="s">
        <v>3920</v>
      </c>
      <c r="E300">
        <v>2024</v>
      </c>
      <c r="F300" s="3">
        <v>45981.086926764787</v>
      </c>
      <c r="G300" t="s">
        <v>3921</v>
      </c>
      <c r="H300">
        <v>1073</v>
      </c>
    </row>
    <row r="301" spans="1:8" x14ac:dyDescent="0.25">
      <c r="A301">
        <v>1350</v>
      </c>
      <c r="B301" t="s">
        <v>1249</v>
      </c>
      <c r="C301">
        <v>0</v>
      </c>
      <c r="D301" t="s">
        <v>3920</v>
      </c>
      <c r="E301">
        <v>2024</v>
      </c>
      <c r="F301" s="3">
        <v>45981.086926764787</v>
      </c>
      <c r="G301" t="s">
        <v>3921</v>
      </c>
      <c r="H301">
        <v>0</v>
      </c>
    </row>
    <row r="302" spans="1:8" x14ac:dyDescent="0.25">
      <c r="A302">
        <v>1351</v>
      </c>
      <c r="B302" t="s">
        <v>1252</v>
      </c>
      <c r="C302">
        <v>0.67</v>
      </c>
      <c r="D302" t="s">
        <v>3920</v>
      </c>
      <c r="E302">
        <v>2024</v>
      </c>
      <c r="F302" s="3">
        <v>45981.086926764787</v>
      </c>
      <c r="G302" t="s">
        <v>3921</v>
      </c>
      <c r="H302">
        <v>739</v>
      </c>
    </row>
    <row r="303" spans="1:8" x14ac:dyDescent="0.25">
      <c r="A303">
        <v>1352</v>
      </c>
      <c r="B303" t="s">
        <v>1256</v>
      </c>
      <c r="C303">
        <v>0</v>
      </c>
      <c r="D303" t="s">
        <v>3920</v>
      </c>
      <c r="E303">
        <v>2024</v>
      </c>
      <c r="F303" s="3">
        <v>45981.086926764787</v>
      </c>
      <c r="G303" t="s">
        <v>3921</v>
      </c>
      <c r="H303">
        <v>1112</v>
      </c>
    </row>
    <row r="304" spans="1:8" x14ac:dyDescent="0.25">
      <c r="A304">
        <v>1353</v>
      </c>
      <c r="B304" t="s">
        <v>1260</v>
      </c>
      <c r="C304">
        <v>0</v>
      </c>
      <c r="D304" t="s">
        <v>3920</v>
      </c>
      <c r="E304">
        <v>2024</v>
      </c>
      <c r="F304" s="3">
        <v>45981.086926764787</v>
      </c>
      <c r="G304" t="s">
        <v>3921</v>
      </c>
      <c r="H304">
        <v>1100</v>
      </c>
    </row>
    <row r="305" spans="1:8" x14ac:dyDescent="0.25">
      <c r="A305">
        <v>1354</v>
      </c>
      <c r="B305" t="s">
        <v>1264</v>
      </c>
      <c r="C305">
        <v>0.41</v>
      </c>
      <c r="D305" t="s">
        <v>3920</v>
      </c>
      <c r="E305">
        <v>2024</v>
      </c>
      <c r="F305" s="3">
        <v>45981.086926764787</v>
      </c>
      <c r="G305" t="s">
        <v>3921</v>
      </c>
      <c r="H305">
        <v>909</v>
      </c>
    </row>
    <row r="306" spans="1:8" x14ac:dyDescent="0.25">
      <c r="A306">
        <v>1355</v>
      </c>
      <c r="B306" t="s">
        <v>1267</v>
      </c>
      <c r="C306">
        <v>1</v>
      </c>
      <c r="D306" t="s">
        <v>3920</v>
      </c>
      <c r="E306">
        <v>2024</v>
      </c>
      <c r="F306" s="3">
        <v>45981.086926764787</v>
      </c>
      <c r="G306" t="s">
        <v>3921</v>
      </c>
      <c r="H306">
        <v>1980</v>
      </c>
    </row>
    <row r="307" spans="1:8" x14ac:dyDescent="0.25">
      <c r="A307">
        <v>1356</v>
      </c>
      <c r="B307" t="s">
        <v>1272</v>
      </c>
      <c r="C307">
        <v>0.66</v>
      </c>
      <c r="D307" t="s">
        <v>3920</v>
      </c>
      <c r="E307">
        <v>2024</v>
      </c>
      <c r="F307" s="3">
        <v>45981.086926764787</v>
      </c>
      <c r="G307" t="s">
        <v>3921</v>
      </c>
      <c r="H307">
        <v>726</v>
      </c>
    </row>
    <row r="308" spans="1:8" x14ac:dyDescent="0.25">
      <c r="A308">
        <v>1357</v>
      </c>
      <c r="B308" t="s">
        <v>1275</v>
      </c>
      <c r="C308">
        <v>1</v>
      </c>
      <c r="D308" t="s">
        <v>3920</v>
      </c>
      <c r="E308">
        <v>2024</v>
      </c>
      <c r="F308" s="3">
        <v>45981.086926764787</v>
      </c>
      <c r="G308" t="s">
        <v>3921</v>
      </c>
      <c r="H308">
        <v>1100</v>
      </c>
    </row>
    <row r="309" spans="1:8" x14ac:dyDescent="0.25">
      <c r="A309">
        <v>1358</v>
      </c>
      <c r="B309" t="s">
        <v>329</v>
      </c>
      <c r="C309">
        <v>0.98</v>
      </c>
      <c r="D309" t="s">
        <v>3920</v>
      </c>
      <c r="E309">
        <v>2024</v>
      </c>
      <c r="F309" s="3">
        <v>45981.086926764787</v>
      </c>
      <c r="G309" t="s">
        <v>3921</v>
      </c>
      <c r="H309">
        <v>982</v>
      </c>
    </row>
    <row r="310" spans="1:8" x14ac:dyDescent="0.25">
      <c r="A310">
        <v>1359</v>
      </c>
      <c r="B310" t="s">
        <v>333</v>
      </c>
      <c r="C310">
        <v>1</v>
      </c>
      <c r="D310" t="s">
        <v>3920</v>
      </c>
      <c r="E310">
        <v>2024</v>
      </c>
      <c r="F310" s="3">
        <v>45981.086926764787</v>
      </c>
      <c r="G310" t="s">
        <v>3921</v>
      </c>
      <c r="H310">
        <v>2000</v>
      </c>
    </row>
    <row r="311" spans="1:8" x14ac:dyDescent="0.25">
      <c r="A311">
        <v>1360</v>
      </c>
      <c r="B311" t="s">
        <v>502</v>
      </c>
      <c r="C311">
        <v>0.85499999999999998</v>
      </c>
      <c r="D311" t="s">
        <v>3920</v>
      </c>
      <c r="E311">
        <v>2024</v>
      </c>
      <c r="F311" s="3">
        <v>45981.086926764787</v>
      </c>
      <c r="G311" t="s">
        <v>3921</v>
      </c>
      <c r="H311">
        <v>3420</v>
      </c>
    </row>
    <row r="312" spans="1:8" x14ac:dyDescent="0.25">
      <c r="A312">
        <v>1361</v>
      </c>
      <c r="B312" t="s">
        <v>503</v>
      </c>
      <c r="C312">
        <v>0.97599999999999998</v>
      </c>
      <c r="D312" t="s">
        <v>3920</v>
      </c>
      <c r="E312">
        <v>2024</v>
      </c>
      <c r="F312" s="3">
        <v>45981.086926764787</v>
      </c>
      <c r="G312" t="s">
        <v>3921</v>
      </c>
      <c r="H312">
        <v>1952</v>
      </c>
    </row>
    <row r="313" spans="1:8" x14ac:dyDescent="0.25">
      <c r="A313">
        <v>1362</v>
      </c>
      <c r="B313" t="s">
        <v>477</v>
      </c>
      <c r="C313">
        <v>0.82</v>
      </c>
      <c r="D313" t="s">
        <v>3920</v>
      </c>
      <c r="E313">
        <v>2024</v>
      </c>
      <c r="F313" s="3">
        <v>45981.086926764787</v>
      </c>
      <c r="G313" t="s">
        <v>3921</v>
      </c>
      <c r="H313">
        <v>16810</v>
      </c>
    </row>
    <row r="314" spans="1:8" x14ac:dyDescent="0.25">
      <c r="A314">
        <v>1363</v>
      </c>
      <c r="B314" t="s">
        <v>498</v>
      </c>
      <c r="C314">
        <v>0.93500000000000005</v>
      </c>
      <c r="D314" t="s">
        <v>3920</v>
      </c>
      <c r="E314">
        <v>2024</v>
      </c>
      <c r="F314" s="3">
        <v>45981.086926764787</v>
      </c>
      <c r="G314" t="s">
        <v>3921</v>
      </c>
      <c r="H314">
        <v>935</v>
      </c>
    </row>
    <row r="315" spans="1:8" x14ac:dyDescent="0.25">
      <c r="A315">
        <v>1364</v>
      </c>
      <c r="B315" t="s">
        <v>586</v>
      </c>
      <c r="C315">
        <v>0.94299999999999995</v>
      </c>
      <c r="D315" t="s">
        <v>3920</v>
      </c>
      <c r="E315">
        <v>2024</v>
      </c>
      <c r="F315" s="3">
        <v>45981.086926764787</v>
      </c>
      <c r="G315" t="s">
        <v>3921</v>
      </c>
      <c r="H315">
        <v>2593.25</v>
      </c>
    </row>
    <row r="316" spans="1:8" x14ac:dyDescent="0.25">
      <c r="A316">
        <v>1365</v>
      </c>
      <c r="B316" t="s">
        <v>589</v>
      </c>
      <c r="C316">
        <v>0.97699999999999998</v>
      </c>
      <c r="D316" t="s">
        <v>3920</v>
      </c>
      <c r="E316">
        <v>2024</v>
      </c>
      <c r="F316" s="3">
        <v>45981.086926764787</v>
      </c>
      <c r="G316" t="s">
        <v>3921</v>
      </c>
      <c r="H316">
        <v>2686.75</v>
      </c>
    </row>
    <row r="317" spans="1:8" x14ac:dyDescent="0.25">
      <c r="A317">
        <v>1366</v>
      </c>
      <c r="B317" t="s">
        <v>592</v>
      </c>
      <c r="C317">
        <v>0.96199999999999997</v>
      </c>
      <c r="D317" t="s">
        <v>3920</v>
      </c>
      <c r="E317">
        <v>2024</v>
      </c>
      <c r="F317" s="3">
        <v>45981.086926764787</v>
      </c>
      <c r="G317" t="s">
        <v>3921</v>
      </c>
      <c r="H317">
        <v>2645.5</v>
      </c>
    </row>
    <row r="318" spans="1:8" x14ac:dyDescent="0.25">
      <c r="A318">
        <v>1367</v>
      </c>
      <c r="B318" t="s">
        <v>595</v>
      </c>
      <c r="C318">
        <v>0.80800000000000005</v>
      </c>
      <c r="D318" t="s">
        <v>3920</v>
      </c>
      <c r="E318">
        <v>2024</v>
      </c>
      <c r="F318" s="3">
        <v>45981.086926764787</v>
      </c>
      <c r="G318" t="s">
        <v>3921</v>
      </c>
      <c r="H318">
        <v>4524.8</v>
      </c>
    </row>
    <row r="319" spans="1:8" x14ac:dyDescent="0.25">
      <c r="A319">
        <v>1368</v>
      </c>
      <c r="B319" t="s">
        <v>598</v>
      </c>
      <c r="C319">
        <v>0.246</v>
      </c>
      <c r="D319" t="s">
        <v>3920</v>
      </c>
      <c r="E319">
        <v>2024</v>
      </c>
      <c r="F319" s="3">
        <v>45981.086926764787</v>
      </c>
      <c r="G319" t="s">
        <v>3921</v>
      </c>
      <c r="H319">
        <v>541.20000000000005</v>
      </c>
    </row>
    <row r="320" spans="1:8" x14ac:dyDescent="0.25">
      <c r="A320">
        <v>1369</v>
      </c>
      <c r="B320" t="s">
        <v>602</v>
      </c>
      <c r="C320">
        <v>0.97199999999999998</v>
      </c>
      <c r="D320" t="s">
        <v>3920</v>
      </c>
      <c r="E320">
        <v>2024</v>
      </c>
      <c r="F320" s="3">
        <v>45981.086926764787</v>
      </c>
      <c r="G320" t="s">
        <v>3921</v>
      </c>
      <c r="H320">
        <v>2673</v>
      </c>
    </row>
    <row r="321" spans="1:8" x14ac:dyDescent="0.25">
      <c r="A321">
        <v>1370</v>
      </c>
      <c r="B321" t="s">
        <v>605</v>
      </c>
      <c r="C321">
        <v>0.88200000000000001</v>
      </c>
      <c r="D321" t="s">
        <v>3920</v>
      </c>
      <c r="E321">
        <v>2024</v>
      </c>
      <c r="F321" s="3">
        <v>45981.086926764787</v>
      </c>
      <c r="G321" t="s">
        <v>3921</v>
      </c>
      <c r="H321">
        <v>2425.5</v>
      </c>
    </row>
    <row r="322" spans="1:8" x14ac:dyDescent="0.25">
      <c r="A322">
        <v>1371</v>
      </c>
      <c r="B322" t="s">
        <v>608</v>
      </c>
      <c r="C322">
        <v>0.93899999999999995</v>
      </c>
      <c r="D322" t="s">
        <v>3920</v>
      </c>
      <c r="E322">
        <v>2024</v>
      </c>
      <c r="F322" s="3">
        <v>45981.086926764787</v>
      </c>
      <c r="G322" t="s">
        <v>3921</v>
      </c>
      <c r="H322">
        <v>4428.3239999999996</v>
      </c>
    </row>
    <row r="323" spans="1:8" x14ac:dyDescent="0.25">
      <c r="A323">
        <v>1372</v>
      </c>
      <c r="B323" t="s">
        <v>611</v>
      </c>
      <c r="C323">
        <v>0</v>
      </c>
      <c r="D323" t="s">
        <v>3920</v>
      </c>
      <c r="E323">
        <v>2024</v>
      </c>
      <c r="F323" s="3">
        <v>45981.086926764787</v>
      </c>
      <c r="G323" t="s">
        <v>3921</v>
      </c>
      <c r="H323">
        <v>0</v>
      </c>
    </row>
    <row r="324" spans="1:8" x14ac:dyDescent="0.25">
      <c r="A324">
        <v>1373</v>
      </c>
      <c r="B324" t="s">
        <v>614</v>
      </c>
      <c r="C324">
        <v>0.93</v>
      </c>
      <c r="D324" t="s">
        <v>3920</v>
      </c>
      <c r="E324">
        <v>2024</v>
      </c>
      <c r="F324" s="3">
        <v>45981.086926764787</v>
      </c>
      <c r="G324" t="s">
        <v>3921</v>
      </c>
      <c r="H324">
        <v>2046</v>
      </c>
    </row>
    <row r="325" spans="1:8" x14ac:dyDescent="0.25">
      <c r="A325">
        <v>1374</v>
      </c>
      <c r="B325" t="s">
        <v>617</v>
      </c>
      <c r="C325">
        <v>0.66</v>
      </c>
      <c r="D325" t="s">
        <v>3920</v>
      </c>
      <c r="E325">
        <v>2024</v>
      </c>
      <c r="F325" s="3">
        <v>45981.086926764787</v>
      </c>
      <c r="G325" t="s">
        <v>3921</v>
      </c>
      <c r="H325">
        <v>1815</v>
      </c>
    </row>
    <row r="326" spans="1:8" x14ac:dyDescent="0.25">
      <c r="A326">
        <v>1375</v>
      </c>
      <c r="B326" t="s">
        <v>620</v>
      </c>
      <c r="C326">
        <v>0.12</v>
      </c>
      <c r="D326" t="s">
        <v>3920</v>
      </c>
      <c r="E326">
        <v>2024</v>
      </c>
      <c r="F326" s="3">
        <v>45981.086926764787</v>
      </c>
      <c r="G326" t="s">
        <v>3921</v>
      </c>
      <c r="H326">
        <v>330</v>
      </c>
    </row>
    <row r="327" spans="1:8" x14ac:dyDescent="0.25">
      <c r="A327">
        <v>1376</v>
      </c>
      <c r="B327" t="s">
        <v>336</v>
      </c>
      <c r="C327">
        <v>1</v>
      </c>
      <c r="D327" t="s">
        <v>3920</v>
      </c>
      <c r="E327">
        <v>2024</v>
      </c>
      <c r="F327" s="3">
        <v>45981.086926764787</v>
      </c>
      <c r="G327" t="s">
        <v>3921</v>
      </c>
      <c r="H327">
        <v>1000</v>
      </c>
    </row>
    <row r="328" spans="1:8" x14ac:dyDescent="0.25">
      <c r="A328">
        <v>1377</v>
      </c>
      <c r="B328" t="s">
        <v>1297</v>
      </c>
      <c r="C328">
        <v>1</v>
      </c>
      <c r="D328" t="s">
        <v>3920</v>
      </c>
      <c r="E328">
        <v>2024</v>
      </c>
      <c r="F328" s="3">
        <v>45981.086926764787</v>
      </c>
      <c r="G328" t="s">
        <v>3921</v>
      </c>
      <c r="H328">
        <v>1100</v>
      </c>
    </row>
    <row r="329" spans="1:8" x14ac:dyDescent="0.25">
      <c r="A329">
        <v>1378</v>
      </c>
      <c r="B329" t="s">
        <v>1298</v>
      </c>
      <c r="C329">
        <v>0.5</v>
      </c>
      <c r="D329" t="s">
        <v>3920</v>
      </c>
      <c r="E329">
        <v>2024</v>
      </c>
      <c r="F329" s="3">
        <v>45981.086926764787</v>
      </c>
      <c r="G329" t="s">
        <v>3921</v>
      </c>
      <c r="H329">
        <v>550</v>
      </c>
    </row>
    <row r="330" spans="1:8" x14ac:dyDescent="0.25">
      <c r="A330">
        <v>1379</v>
      </c>
      <c r="B330" t="s">
        <v>1288</v>
      </c>
      <c r="C330">
        <v>1</v>
      </c>
      <c r="D330" t="s">
        <v>3920</v>
      </c>
      <c r="E330">
        <v>2024</v>
      </c>
      <c r="F330" s="3">
        <v>45981.086926764787</v>
      </c>
      <c r="G330" t="s">
        <v>3921</v>
      </c>
      <c r="H330">
        <v>1100</v>
      </c>
    </row>
    <row r="331" spans="1:8" x14ac:dyDescent="0.25">
      <c r="A331">
        <v>1380</v>
      </c>
      <c r="B331" t="s">
        <v>1299</v>
      </c>
      <c r="C331">
        <v>1</v>
      </c>
      <c r="D331" t="s">
        <v>3920</v>
      </c>
      <c r="E331">
        <v>2024</v>
      </c>
      <c r="F331" s="3">
        <v>45981.086926764787</v>
      </c>
      <c r="G331" t="s">
        <v>3921</v>
      </c>
      <c r="H331">
        <v>1430</v>
      </c>
    </row>
    <row r="332" spans="1:8" x14ac:dyDescent="0.25">
      <c r="A332">
        <v>1381</v>
      </c>
      <c r="B332" t="s">
        <v>1278</v>
      </c>
      <c r="C332">
        <v>1</v>
      </c>
      <c r="D332" t="s">
        <v>3920</v>
      </c>
      <c r="E332">
        <v>2024</v>
      </c>
      <c r="F332" s="3">
        <v>45981.086926764787</v>
      </c>
      <c r="G332" t="s">
        <v>3921</v>
      </c>
      <c r="H332">
        <v>1650</v>
      </c>
    </row>
    <row r="333" spans="1:8" x14ac:dyDescent="0.25">
      <c r="A333">
        <v>1382</v>
      </c>
      <c r="B333" t="s">
        <v>1281</v>
      </c>
      <c r="C333">
        <v>1</v>
      </c>
      <c r="D333" t="s">
        <v>3920</v>
      </c>
      <c r="E333">
        <v>2024</v>
      </c>
      <c r="F333" s="3">
        <v>45981.086926764787</v>
      </c>
      <c r="G333" t="s">
        <v>3921</v>
      </c>
      <c r="H333">
        <v>2800</v>
      </c>
    </row>
    <row r="334" spans="1:8" x14ac:dyDescent="0.25">
      <c r="A334">
        <v>1383</v>
      </c>
      <c r="B334" t="s">
        <v>1285</v>
      </c>
      <c r="C334">
        <v>1</v>
      </c>
      <c r="D334" t="s">
        <v>3920</v>
      </c>
      <c r="E334">
        <v>2024</v>
      </c>
      <c r="F334" s="3">
        <v>45981.086926764787</v>
      </c>
      <c r="G334" t="s">
        <v>3921</v>
      </c>
      <c r="H334">
        <v>1320</v>
      </c>
    </row>
    <row r="335" spans="1:8" x14ac:dyDescent="0.25">
      <c r="A335">
        <v>1384</v>
      </c>
      <c r="B335" t="s">
        <v>1289</v>
      </c>
      <c r="C335">
        <v>1</v>
      </c>
      <c r="D335" t="s">
        <v>3920</v>
      </c>
      <c r="E335">
        <v>2024</v>
      </c>
      <c r="F335" s="3">
        <v>45981.086926764787</v>
      </c>
      <c r="G335" t="s">
        <v>3921</v>
      </c>
      <c r="H335">
        <v>1760</v>
      </c>
    </row>
    <row r="336" spans="1:8" x14ac:dyDescent="0.25">
      <c r="A336">
        <v>1385</v>
      </c>
      <c r="B336" t="s">
        <v>1293</v>
      </c>
      <c r="C336">
        <v>1</v>
      </c>
      <c r="D336" t="s">
        <v>3920</v>
      </c>
      <c r="E336">
        <v>2024</v>
      </c>
      <c r="F336" s="3">
        <v>45981.086926764787</v>
      </c>
      <c r="G336" t="s">
        <v>3921</v>
      </c>
      <c r="H336">
        <v>2200</v>
      </c>
    </row>
    <row r="337" spans="1:8" x14ac:dyDescent="0.25">
      <c r="A337">
        <v>1386</v>
      </c>
      <c r="B337" t="s">
        <v>1300</v>
      </c>
      <c r="C337">
        <v>1</v>
      </c>
      <c r="D337" t="s">
        <v>3920</v>
      </c>
      <c r="E337">
        <v>2024</v>
      </c>
      <c r="F337" s="3">
        <v>45981.086926764787</v>
      </c>
      <c r="G337" t="s">
        <v>3921</v>
      </c>
      <c r="H337">
        <v>2750</v>
      </c>
    </row>
    <row r="338" spans="1:8" x14ac:dyDescent="0.25">
      <c r="A338">
        <v>1387</v>
      </c>
      <c r="B338" t="s">
        <v>340</v>
      </c>
      <c r="C338">
        <v>1</v>
      </c>
      <c r="D338" t="s">
        <v>3920</v>
      </c>
      <c r="E338">
        <v>2024</v>
      </c>
      <c r="F338" s="3">
        <v>45981.086926764787</v>
      </c>
      <c r="G338" t="s">
        <v>3921</v>
      </c>
      <c r="H338">
        <v>1700</v>
      </c>
    </row>
    <row r="339" spans="1:8" x14ac:dyDescent="0.25">
      <c r="A339">
        <v>1388</v>
      </c>
      <c r="B339" t="s">
        <v>344</v>
      </c>
      <c r="C339">
        <v>0.95</v>
      </c>
      <c r="D339" t="s">
        <v>3920</v>
      </c>
      <c r="E339">
        <v>2024</v>
      </c>
      <c r="F339" s="3">
        <v>45981.086926764787</v>
      </c>
      <c r="G339" t="s">
        <v>3921</v>
      </c>
      <c r="H339">
        <v>1144</v>
      </c>
    </row>
    <row r="340" spans="1:8" x14ac:dyDescent="0.25">
      <c r="A340">
        <v>1389</v>
      </c>
      <c r="B340" t="s">
        <v>348</v>
      </c>
      <c r="C340">
        <v>1</v>
      </c>
      <c r="D340" t="s">
        <v>3920</v>
      </c>
      <c r="E340">
        <v>2024</v>
      </c>
      <c r="F340" s="3">
        <v>45981.086926764787</v>
      </c>
      <c r="G340" t="s">
        <v>3921</v>
      </c>
      <c r="H340">
        <v>2000</v>
      </c>
    </row>
    <row r="341" spans="1:8" x14ac:dyDescent="0.25">
      <c r="A341">
        <v>1390</v>
      </c>
      <c r="B341" t="s">
        <v>352</v>
      </c>
      <c r="C341">
        <v>0.93</v>
      </c>
      <c r="D341" t="s">
        <v>3920</v>
      </c>
      <c r="E341">
        <v>2024</v>
      </c>
      <c r="F341" s="3">
        <v>45981.086926764787</v>
      </c>
      <c r="G341" t="s">
        <v>3921</v>
      </c>
      <c r="H341">
        <v>1862</v>
      </c>
    </row>
    <row r="342" spans="1:8" x14ac:dyDescent="0.25">
      <c r="A342">
        <v>1391</v>
      </c>
      <c r="B342" t="s">
        <v>356</v>
      </c>
      <c r="C342">
        <v>1</v>
      </c>
      <c r="D342" t="s">
        <v>3920</v>
      </c>
      <c r="E342">
        <v>2024</v>
      </c>
      <c r="F342" s="3">
        <v>45981.086926764787</v>
      </c>
      <c r="G342" t="s">
        <v>3921</v>
      </c>
      <c r="H342">
        <v>2400</v>
      </c>
    </row>
    <row r="343" spans="1:8" x14ac:dyDescent="0.25">
      <c r="A343">
        <v>1392</v>
      </c>
      <c r="B343" t="s">
        <v>504</v>
      </c>
      <c r="C343">
        <v>0.86</v>
      </c>
      <c r="D343" t="s">
        <v>3920</v>
      </c>
      <c r="E343">
        <v>2024</v>
      </c>
      <c r="F343" s="3">
        <v>45981.086926764787</v>
      </c>
      <c r="G343" t="s">
        <v>3921</v>
      </c>
      <c r="H343">
        <v>855</v>
      </c>
    </row>
    <row r="344" spans="1:8" x14ac:dyDescent="0.25">
      <c r="A344">
        <v>1393</v>
      </c>
      <c r="B344" t="s">
        <v>478</v>
      </c>
      <c r="C344">
        <v>1</v>
      </c>
      <c r="D344" t="s">
        <v>3920</v>
      </c>
      <c r="E344">
        <v>2024</v>
      </c>
      <c r="F344" s="3">
        <v>45981.086926764787</v>
      </c>
      <c r="G344" t="s">
        <v>3921</v>
      </c>
      <c r="H344">
        <v>9420</v>
      </c>
    </row>
    <row r="345" spans="1:8" x14ac:dyDescent="0.25">
      <c r="A345">
        <v>1394</v>
      </c>
      <c r="B345" t="s">
        <v>505</v>
      </c>
      <c r="C345">
        <v>0.73</v>
      </c>
      <c r="D345" t="s">
        <v>3920</v>
      </c>
      <c r="E345">
        <v>2024</v>
      </c>
      <c r="F345" s="3">
        <v>45981.086926764787</v>
      </c>
      <c r="G345" t="s">
        <v>3921</v>
      </c>
      <c r="H345">
        <v>1194</v>
      </c>
    </row>
    <row r="346" spans="1:8" x14ac:dyDescent="0.25">
      <c r="A346">
        <v>1395</v>
      </c>
      <c r="B346" t="s">
        <v>636</v>
      </c>
      <c r="C346">
        <v>1</v>
      </c>
      <c r="D346" t="s">
        <v>3920</v>
      </c>
      <c r="E346">
        <v>2024</v>
      </c>
      <c r="F346" s="3">
        <v>45981.086926764787</v>
      </c>
      <c r="G346" t="s">
        <v>3921</v>
      </c>
      <c r="H346">
        <v>1100</v>
      </c>
    </row>
    <row r="347" spans="1:8" x14ac:dyDescent="0.25">
      <c r="A347">
        <v>1396</v>
      </c>
      <c r="B347" t="s">
        <v>637</v>
      </c>
      <c r="C347">
        <v>1</v>
      </c>
      <c r="D347" t="s">
        <v>3920</v>
      </c>
      <c r="E347">
        <v>2024</v>
      </c>
      <c r="F347" s="3">
        <v>45981.086926764787</v>
      </c>
      <c r="G347" t="s">
        <v>3921</v>
      </c>
      <c r="H347">
        <v>1100</v>
      </c>
    </row>
    <row r="348" spans="1:8" x14ac:dyDescent="0.25">
      <c r="A348">
        <v>1397</v>
      </c>
      <c r="B348" t="s">
        <v>650</v>
      </c>
      <c r="C348">
        <v>1</v>
      </c>
      <c r="D348" t="s">
        <v>3920</v>
      </c>
      <c r="E348">
        <v>2024</v>
      </c>
      <c r="F348" s="3">
        <v>45981.086926764787</v>
      </c>
      <c r="G348" t="s">
        <v>3921</v>
      </c>
      <c r="H348">
        <v>1650</v>
      </c>
    </row>
    <row r="349" spans="1:8" x14ac:dyDescent="0.25">
      <c r="A349">
        <v>1398</v>
      </c>
      <c r="B349" t="s">
        <v>657</v>
      </c>
      <c r="C349">
        <v>1</v>
      </c>
      <c r="D349" t="s">
        <v>3920</v>
      </c>
      <c r="E349">
        <v>2024</v>
      </c>
      <c r="F349" s="3">
        <v>45981.086926764787</v>
      </c>
      <c r="G349" t="s">
        <v>3921</v>
      </c>
      <c r="H349">
        <v>11000</v>
      </c>
    </row>
    <row r="350" spans="1:8" x14ac:dyDescent="0.25">
      <c r="A350">
        <v>1399</v>
      </c>
      <c r="B350" t="s">
        <v>623</v>
      </c>
      <c r="C350">
        <v>1</v>
      </c>
      <c r="D350" t="s">
        <v>3920</v>
      </c>
      <c r="E350">
        <v>2024</v>
      </c>
      <c r="F350" s="3">
        <v>45981.086926764787</v>
      </c>
      <c r="G350" t="s">
        <v>3921</v>
      </c>
      <c r="H350">
        <v>2750</v>
      </c>
    </row>
    <row r="351" spans="1:8" x14ac:dyDescent="0.25">
      <c r="A351">
        <v>1400</v>
      </c>
      <c r="B351" t="s">
        <v>626</v>
      </c>
      <c r="C351">
        <v>1</v>
      </c>
      <c r="D351" t="s">
        <v>3920</v>
      </c>
      <c r="E351">
        <v>2024</v>
      </c>
      <c r="F351" s="3">
        <v>45981.086926764787</v>
      </c>
      <c r="G351" t="s">
        <v>3921</v>
      </c>
      <c r="H351">
        <v>2800</v>
      </c>
    </row>
    <row r="352" spans="1:8" x14ac:dyDescent="0.25">
      <c r="A352">
        <v>1401</v>
      </c>
      <c r="B352" t="s">
        <v>629</v>
      </c>
      <c r="C352">
        <v>1</v>
      </c>
      <c r="D352" t="s">
        <v>3920</v>
      </c>
      <c r="E352">
        <v>2024</v>
      </c>
      <c r="F352" s="3">
        <v>45981.086926764787</v>
      </c>
      <c r="G352" t="s">
        <v>3921</v>
      </c>
      <c r="H352">
        <v>2750</v>
      </c>
    </row>
    <row r="353" spans="1:8" x14ac:dyDescent="0.25">
      <c r="A353">
        <v>1402</v>
      </c>
      <c r="B353" t="s">
        <v>638</v>
      </c>
      <c r="C353">
        <v>1</v>
      </c>
      <c r="D353" t="s">
        <v>3920</v>
      </c>
      <c r="E353">
        <v>2024</v>
      </c>
      <c r="F353" s="3">
        <v>45981.086926764787</v>
      </c>
      <c r="G353" t="s">
        <v>3921</v>
      </c>
      <c r="H353">
        <v>2750</v>
      </c>
    </row>
    <row r="354" spans="1:8" x14ac:dyDescent="0.25">
      <c r="A354">
        <v>1403</v>
      </c>
      <c r="B354" t="s">
        <v>644</v>
      </c>
      <c r="C354">
        <v>1</v>
      </c>
      <c r="D354" t="s">
        <v>3920</v>
      </c>
      <c r="E354">
        <v>2024</v>
      </c>
      <c r="F354" s="3">
        <v>45981.086926764787</v>
      </c>
      <c r="G354" t="s">
        <v>3921</v>
      </c>
      <c r="H354">
        <v>1100</v>
      </c>
    </row>
    <row r="355" spans="1:8" x14ac:dyDescent="0.25">
      <c r="A355">
        <v>1404</v>
      </c>
      <c r="B355" t="s">
        <v>647</v>
      </c>
      <c r="C355">
        <v>1</v>
      </c>
      <c r="D355" t="s">
        <v>3920</v>
      </c>
      <c r="E355">
        <v>2024</v>
      </c>
      <c r="F355" s="3">
        <v>45981.086926764787</v>
      </c>
      <c r="G355" t="s">
        <v>3921</v>
      </c>
      <c r="H355">
        <v>2650</v>
      </c>
    </row>
    <row r="356" spans="1:8" x14ac:dyDescent="0.25">
      <c r="A356">
        <v>1405</v>
      </c>
      <c r="B356" t="s">
        <v>651</v>
      </c>
      <c r="C356">
        <v>1</v>
      </c>
      <c r="D356" t="s">
        <v>3920</v>
      </c>
      <c r="E356">
        <v>2024</v>
      </c>
      <c r="F356" s="3">
        <v>45981.086926764787</v>
      </c>
      <c r="G356" t="s">
        <v>3921</v>
      </c>
      <c r="H356">
        <v>1650</v>
      </c>
    </row>
    <row r="357" spans="1:8" x14ac:dyDescent="0.25">
      <c r="A357">
        <v>1406</v>
      </c>
      <c r="B357" t="s">
        <v>654</v>
      </c>
      <c r="C357">
        <v>1</v>
      </c>
      <c r="D357" t="s">
        <v>3920</v>
      </c>
      <c r="E357">
        <v>2024</v>
      </c>
      <c r="F357" s="3">
        <v>45981.086926764787</v>
      </c>
      <c r="G357" t="s">
        <v>3921</v>
      </c>
      <c r="H357">
        <v>2750</v>
      </c>
    </row>
    <row r="358" spans="1:8" x14ac:dyDescent="0.25">
      <c r="A358">
        <v>1407</v>
      </c>
      <c r="B358" t="s">
        <v>658</v>
      </c>
      <c r="C358">
        <v>1</v>
      </c>
      <c r="D358" t="s">
        <v>3920</v>
      </c>
      <c r="E358">
        <v>2024</v>
      </c>
      <c r="F358" s="3">
        <v>45981.086926764787</v>
      </c>
      <c r="G358" t="s">
        <v>3921</v>
      </c>
      <c r="H358">
        <v>2750</v>
      </c>
    </row>
    <row r="359" spans="1:8" x14ac:dyDescent="0.25">
      <c r="A359">
        <v>1408</v>
      </c>
      <c r="B359" t="s">
        <v>359</v>
      </c>
      <c r="C359">
        <v>1</v>
      </c>
      <c r="D359" t="s">
        <v>3920</v>
      </c>
      <c r="E359">
        <v>2024</v>
      </c>
      <c r="F359" s="3">
        <v>45981.086926764787</v>
      </c>
      <c r="G359" t="s">
        <v>3921</v>
      </c>
      <c r="H359">
        <v>1200</v>
      </c>
    </row>
    <row r="360" spans="1:8" x14ac:dyDescent="0.25">
      <c r="A360">
        <v>1409</v>
      </c>
      <c r="B360" t="s">
        <v>1303</v>
      </c>
      <c r="C360">
        <v>1</v>
      </c>
      <c r="D360" t="s">
        <v>3920</v>
      </c>
      <c r="E360">
        <v>2024</v>
      </c>
      <c r="F360" s="3">
        <v>45981.086926764787</v>
      </c>
      <c r="G360" t="s">
        <v>3921</v>
      </c>
      <c r="H360">
        <v>1320</v>
      </c>
    </row>
    <row r="361" spans="1:8" x14ac:dyDescent="0.25">
      <c r="A361">
        <v>1410</v>
      </c>
      <c r="B361" t="s">
        <v>1327</v>
      </c>
      <c r="C361">
        <v>1</v>
      </c>
      <c r="D361" t="s">
        <v>3920</v>
      </c>
      <c r="E361">
        <v>2024</v>
      </c>
      <c r="F361" s="3">
        <v>45981.086926764787</v>
      </c>
      <c r="G361" t="s">
        <v>3921</v>
      </c>
      <c r="H361">
        <v>2200</v>
      </c>
    </row>
    <row r="362" spans="1:8" x14ac:dyDescent="0.25">
      <c r="A362">
        <v>1411</v>
      </c>
      <c r="B362" t="s">
        <v>1325</v>
      </c>
      <c r="C362">
        <v>1</v>
      </c>
      <c r="D362" t="s">
        <v>3920</v>
      </c>
      <c r="E362">
        <v>2024</v>
      </c>
      <c r="F362" s="3">
        <v>45981.086926764787</v>
      </c>
      <c r="G362" t="s">
        <v>3921</v>
      </c>
      <c r="H362">
        <v>1100</v>
      </c>
    </row>
    <row r="363" spans="1:8" x14ac:dyDescent="0.25">
      <c r="A363">
        <v>1412</v>
      </c>
      <c r="B363" t="s">
        <v>1315</v>
      </c>
      <c r="C363">
        <v>1</v>
      </c>
      <c r="D363" t="s">
        <v>3920</v>
      </c>
      <c r="E363">
        <v>2024</v>
      </c>
      <c r="F363" s="3">
        <v>45981.086926764787</v>
      </c>
      <c r="G363" t="s">
        <v>3921</v>
      </c>
      <c r="H363">
        <v>660</v>
      </c>
    </row>
    <row r="364" spans="1:8" x14ac:dyDescent="0.25">
      <c r="A364">
        <v>1413</v>
      </c>
      <c r="B364" t="s">
        <v>1326</v>
      </c>
      <c r="C364">
        <v>0.95238095238095233</v>
      </c>
      <c r="D364" t="s">
        <v>3920</v>
      </c>
      <c r="E364">
        <v>2024</v>
      </c>
      <c r="F364" s="3">
        <v>45981.086926764787</v>
      </c>
      <c r="G364" t="s">
        <v>3921</v>
      </c>
      <c r="H364">
        <v>2200</v>
      </c>
    </row>
    <row r="365" spans="1:8" x14ac:dyDescent="0.25">
      <c r="A365">
        <v>1414</v>
      </c>
      <c r="B365" t="s">
        <v>1304</v>
      </c>
      <c r="C365">
        <v>1</v>
      </c>
      <c r="D365" t="s">
        <v>3920</v>
      </c>
      <c r="E365">
        <v>2024</v>
      </c>
      <c r="F365" s="3">
        <v>45981.086926764787</v>
      </c>
      <c r="G365" t="s">
        <v>3921</v>
      </c>
      <c r="H365">
        <v>4400</v>
      </c>
    </row>
    <row r="366" spans="1:8" x14ac:dyDescent="0.25">
      <c r="A366">
        <v>1415</v>
      </c>
      <c r="B366" t="s">
        <v>1308</v>
      </c>
      <c r="C366">
        <v>1</v>
      </c>
      <c r="D366" t="s">
        <v>3920</v>
      </c>
      <c r="E366">
        <v>2024</v>
      </c>
      <c r="F366" s="3">
        <v>45981.086926764787</v>
      </c>
      <c r="G366" t="s">
        <v>3921</v>
      </c>
      <c r="H366">
        <v>1100</v>
      </c>
    </row>
    <row r="367" spans="1:8" x14ac:dyDescent="0.25">
      <c r="A367">
        <v>1416</v>
      </c>
      <c r="B367" t="s">
        <v>1311</v>
      </c>
      <c r="C367">
        <v>1</v>
      </c>
      <c r="D367" t="s">
        <v>3920</v>
      </c>
      <c r="E367">
        <v>2024</v>
      </c>
      <c r="F367" s="3">
        <v>45981.086926764787</v>
      </c>
      <c r="G367" t="s">
        <v>3921</v>
      </c>
      <c r="H367">
        <v>1100</v>
      </c>
    </row>
    <row r="368" spans="1:8" x14ac:dyDescent="0.25">
      <c r="A368">
        <v>1417</v>
      </c>
      <c r="B368" t="s">
        <v>1316</v>
      </c>
      <c r="C368">
        <v>1</v>
      </c>
      <c r="D368" t="s">
        <v>3920</v>
      </c>
      <c r="E368">
        <v>2024</v>
      </c>
      <c r="F368" s="3">
        <v>45981.086926764787</v>
      </c>
      <c r="G368" t="s">
        <v>3921</v>
      </c>
      <c r="H368">
        <v>1100</v>
      </c>
    </row>
    <row r="369" spans="1:8" x14ac:dyDescent="0.25">
      <c r="A369">
        <v>1418</v>
      </c>
      <c r="B369" t="s">
        <v>1319</v>
      </c>
      <c r="C369">
        <v>1</v>
      </c>
      <c r="D369" t="s">
        <v>3920</v>
      </c>
      <c r="E369">
        <v>2024</v>
      </c>
      <c r="F369" s="3">
        <v>45981.086926764787</v>
      </c>
      <c r="G369" t="s">
        <v>3921</v>
      </c>
      <c r="H369">
        <v>1700</v>
      </c>
    </row>
    <row r="370" spans="1:8" x14ac:dyDescent="0.25">
      <c r="A370">
        <v>1419</v>
      </c>
      <c r="B370" t="s">
        <v>1322</v>
      </c>
      <c r="C370">
        <v>0.3</v>
      </c>
      <c r="D370" t="s">
        <v>3920</v>
      </c>
      <c r="E370">
        <v>2024</v>
      </c>
      <c r="F370" s="3">
        <v>45981.086926764787</v>
      </c>
      <c r="G370" t="s">
        <v>3921</v>
      </c>
      <c r="H370">
        <v>561</v>
      </c>
    </row>
    <row r="371" spans="1:8" x14ac:dyDescent="0.25">
      <c r="A371">
        <v>1420</v>
      </c>
      <c r="B371" t="s">
        <v>362</v>
      </c>
      <c r="C371">
        <v>1</v>
      </c>
      <c r="D371" t="s">
        <v>3920</v>
      </c>
      <c r="E371">
        <v>2024</v>
      </c>
      <c r="F371" s="3">
        <v>45981.086926764787</v>
      </c>
      <c r="G371" t="s">
        <v>3921</v>
      </c>
      <c r="H371">
        <v>1200</v>
      </c>
    </row>
    <row r="372" spans="1:8" x14ac:dyDescent="0.25">
      <c r="A372">
        <v>1421</v>
      </c>
      <c r="B372" t="s">
        <v>365</v>
      </c>
      <c r="C372">
        <v>1</v>
      </c>
      <c r="D372" t="s">
        <v>3920</v>
      </c>
      <c r="E372">
        <v>2024</v>
      </c>
      <c r="F372" s="3">
        <v>45981.086926764787</v>
      </c>
      <c r="G372" t="s">
        <v>3921</v>
      </c>
      <c r="H372">
        <v>1200</v>
      </c>
    </row>
    <row r="373" spans="1:8" x14ac:dyDescent="0.25">
      <c r="A373">
        <v>1422</v>
      </c>
      <c r="B373" t="s">
        <v>369</v>
      </c>
      <c r="C373">
        <v>1</v>
      </c>
      <c r="D373" t="s">
        <v>3920</v>
      </c>
      <c r="E373">
        <v>2024</v>
      </c>
      <c r="F373" s="3">
        <v>45981.086926764787</v>
      </c>
      <c r="G373" t="s">
        <v>3921</v>
      </c>
      <c r="H373">
        <v>1800</v>
      </c>
    </row>
    <row r="374" spans="1:8" x14ac:dyDescent="0.25">
      <c r="A374">
        <v>1423</v>
      </c>
      <c r="B374" t="s">
        <v>372</v>
      </c>
      <c r="C374">
        <v>1</v>
      </c>
      <c r="D374" t="s">
        <v>3920</v>
      </c>
      <c r="E374">
        <v>2024</v>
      </c>
      <c r="F374" s="3">
        <v>45981.086926764787</v>
      </c>
      <c r="G374" t="s">
        <v>3921</v>
      </c>
      <c r="H374">
        <v>800</v>
      </c>
    </row>
    <row r="375" spans="1:8" x14ac:dyDescent="0.25">
      <c r="A375">
        <v>1424</v>
      </c>
      <c r="B375" t="s">
        <v>373</v>
      </c>
      <c r="C375">
        <v>1</v>
      </c>
      <c r="D375" t="s">
        <v>3920</v>
      </c>
      <c r="E375">
        <v>2024</v>
      </c>
      <c r="F375" s="3">
        <v>45981.086926764787</v>
      </c>
      <c r="G375" t="s">
        <v>3921</v>
      </c>
      <c r="H375">
        <v>2400</v>
      </c>
    </row>
    <row r="376" spans="1:8" x14ac:dyDescent="0.25">
      <c r="A376">
        <v>1425</v>
      </c>
      <c r="B376" t="s">
        <v>750</v>
      </c>
      <c r="C376">
        <v>1</v>
      </c>
      <c r="D376" t="s">
        <v>3920</v>
      </c>
      <c r="E376">
        <v>2024</v>
      </c>
      <c r="F376" s="3">
        <v>45981.086926764787</v>
      </c>
      <c r="G376" t="s">
        <v>3921</v>
      </c>
      <c r="H376">
        <v>550</v>
      </c>
    </row>
    <row r="377" spans="1:8" x14ac:dyDescent="0.25">
      <c r="A377">
        <v>1426</v>
      </c>
      <c r="B377" t="s">
        <v>661</v>
      </c>
      <c r="C377">
        <v>1</v>
      </c>
      <c r="D377" t="s">
        <v>3920</v>
      </c>
      <c r="E377">
        <v>2024</v>
      </c>
      <c r="F377" s="3">
        <v>45981.086926764787</v>
      </c>
      <c r="G377" t="s">
        <v>3921</v>
      </c>
      <c r="H377">
        <v>550</v>
      </c>
    </row>
    <row r="378" spans="1:8" x14ac:dyDescent="0.25">
      <c r="A378">
        <v>1427</v>
      </c>
      <c r="B378" t="s">
        <v>664</v>
      </c>
      <c r="C378">
        <v>1</v>
      </c>
      <c r="D378" t="s">
        <v>3920</v>
      </c>
      <c r="E378">
        <v>2024</v>
      </c>
      <c r="F378" s="3">
        <v>45981.086926764787</v>
      </c>
      <c r="G378" t="s">
        <v>3921</v>
      </c>
      <c r="H378">
        <v>550</v>
      </c>
    </row>
    <row r="379" spans="1:8" x14ac:dyDescent="0.25">
      <c r="A379">
        <v>1428</v>
      </c>
      <c r="B379" t="s">
        <v>667</v>
      </c>
      <c r="C379">
        <v>1</v>
      </c>
      <c r="D379" t="s">
        <v>3920</v>
      </c>
      <c r="E379">
        <v>2024</v>
      </c>
      <c r="F379" s="3">
        <v>45981.086926764787</v>
      </c>
      <c r="G379" t="s">
        <v>3921</v>
      </c>
      <c r="H379">
        <v>1100</v>
      </c>
    </row>
    <row r="380" spans="1:8" x14ac:dyDescent="0.25">
      <c r="A380">
        <v>1429</v>
      </c>
      <c r="B380" t="s">
        <v>671</v>
      </c>
      <c r="C380">
        <v>1</v>
      </c>
      <c r="D380" t="s">
        <v>3920</v>
      </c>
      <c r="E380">
        <v>2024</v>
      </c>
      <c r="F380" s="3">
        <v>45981.086926764787</v>
      </c>
      <c r="G380" t="s">
        <v>3921</v>
      </c>
      <c r="H380">
        <v>550</v>
      </c>
    </row>
    <row r="381" spans="1:8" x14ac:dyDescent="0.25">
      <c r="A381">
        <v>1430</v>
      </c>
      <c r="B381" t="s">
        <v>674</v>
      </c>
      <c r="C381">
        <v>1</v>
      </c>
      <c r="D381" t="s">
        <v>3920</v>
      </c>
      <c r="E381">
        <v>2024</v>
      </c>
      <c r="F381" s="3">
        <v>45981.086926764787</v>
      </c>
      <c r="G381" t="s">
        <v>3921</v>
      </c>
      <c r="H381">
        <v>550</v>
      </c>
    </row>
    <row r="382" spans="1:8" x14ac:dyDescent="0.25">
      <c r="A382">
        <v>1431</v>
      </c>
      <c r="B382" t="s">
        <v>677</v>
      </c>
      <c r="C382">
        <v>1</v>
      </c>
      <c r="D382" t="s">
        <v>3920</v>
      </c>
      <c r="E382">
        <v>2024</v>
      </c>
      <c r="F382" s="3">
        <v>45981.086926764787</v>
      </c>
      <c r="G382" t="s">
        <v>3921</v>
      </c>
      <c r="H382">
        <v>550</v>
      </c>
    </row>
    <row r="383" spans="1:8" x14ac:dyDescent="0.25">
      <c r="A383">
        <v>1432</v>
      </c>
      <c r="B383" t="s">
        <v>680</v>
      </c>
      <c r="C383">
        <v>1</v>
      </c>
      <c r="D383" t="s">
        <v>3920</v>
      </c>
      <c r="E383">
        <v>2024</v>
      </c>
      <c r="F383" s="3">
        <v>45981.086926764787</v>
      </c>
      <c r="G383" t="s">
        <v>3921</v>
      </c>
      <c r="H383">
        <v>550</v>
      </c>
    </row>
    <row r="384" spans="1:8" x14ac:dyDescent="0.25">
      <c r="A384">
        <v>1433</v>
      </c>
      <c r="B384" t="s">
        <v>683</v>
      </c>
      <c r="C384">
        <v>1</v>
      </c>
      <c r="D384" t="s">
        <v>3920</v>
      </c>
      <c r="E384">
        <v>2024</v>
      </c>
      <c r="F384" s="3">
        <v>45981.086926764787</v>
      </c>
      <c r="G384" t="s">
        <v>3921</v>
      </c>
      <c r="H384">
        <v>1820</v>
      </c>
    </row>
    <row r="385" spans="1:8" x14ac:dyDescent="0.25">
      <c r="A385">
        <v>1434</v>
      </c>
      <c r="B385" t="s">
        <v>684</v>
      </c>
      <c r="C385">
        <v>1</v>
      </c>
      <c r="D385" t="s">
        <v>3920</v>
      </c>
      <c r="E385">
        <v>2024</v>
      </c>
      <c r="F385" s="3">
        <v>45981.086926764787</v>
      </c>
      <c r="G385" t="s">
        <v>3921</v>
      </c>
      <c r="H385">
        <v>1100</v>
      </c>
    </row>
    <row r="386" spans="1:8" x14ac:dyDescent="0.25">
      <c r="A386">
        <v>1435</v>
      </c>
      <c r="B386" t="s">
        <v>686</v>
      </c>
      <c r="C386">
        <v>1</v>
      </c>
      <c r="D386" t="s">
        <v>3920</v>
      </c>
      <c r="E386">
        <v>2024</v>
      </c>
      <c r="F386" s="3">
        <v>45981.086926764787</v>
      </c>
      <c r="G386" t="s">
        <v>3921</v>
      </c>
      <c r="H386">
        <v>550</v>
      </c>
    </row>
    <row r="387" spans="1:8" x14ac:dyDescent="0.25">
      <c r="A387">
        <v>1436</v>
      </c>
      <c r="B387" t="s">
        <v>690</v>
      </c>
      <c r="C387">
        <v>1</v>
      </c>
      <c r="D387" t="s">
        <v>3920</v>
      </c>
      <c r="E387">
        <v>2024</v>
      </c>
      <c r="F387" s="3">
        <v>45981.086926764787</v>
      </c>
      <c r="G387" t="s">
        <v>3921</v>
      </c>
      <c r="H387">
        <v>550</v>
      </c>
    </row>
    <row r="388" spans="1:8" x14ac:dyDescent="0.25">
      <c r="A388">
        <v>1437</v>
      </c>
      <c r="B388" t="s">
        <v>693</v>
      </c>
      <c r="C388">
        <v>0.4</v>
      </c>
      <c r="D388" t="s">
        <v>3920</v>
      </c>
      <c r="E388">
        <v>2024</v>
      </c>
      <c r="F388" s="3">
        <v>45981.086926764787</v>
      </c>
      <c r="G388" t="s">
        <v>3921</v>
      </c>
      <c r="H388">
        <v>440</v>
      </c>
    </row>
    <row r="389" spans="1:8" x14ac:dyDescent="0.25">
      <c r="A389">
        <v>1438</v>
      </c>
      <c r="B389" t="s">
        <v>694</v>
      </c>
      <c r="C389">
        <v>1</v>
      </c>
      <c r="D389" t="s">
        <v>3920</v>
      </c>
      <c r="E389">
        <v>2024</v>
      </c>
      <c r="F389" s="3">
        <v>45981.086926764787</v>
      </c>
      <c r="G389" t="s">
        <v>3921</v>
      </c>
      <c r="H389">
        <v>550</v>
      </c>
    </row>
    <row r="390" spans="1:8" x14ac:dyDescent="0.25">
      <c r="A390">
        <v>1439</v>
      </c>
      <c r="B390" t="s">
        <v>697</v>
      </c>
      <c r="C390">
        <v>1</v>
      </c>
      <c r="D390" t="s">
        <v>3920</v>
      </c>
      <c r="E390">
        <v>2024</v>
      </c>
      <c r="F390" s="3">
        <v>45981.086926764787</v>
      </c>
      <c r="G390" t="s">
        <v>3921</v>
      </c>
      <c r="H390">
        <v>550</v>
      </c>
    </row>
    <row r="391" spans="1:8" x14ac:dyDescent="0.25">
      <c r="A391">
        <v>1440</v>
      </c>
      <c r="B391" t="s">
        <v>700</v>
      </c>
      <c r="C391">
        <v>1</v>
      </c>
      <c r="D391" t="s">
        <v>3920</v>
      </c>
      <c r="E391">
        <v>2024</v>
      </c>
      <c r="F391" s="3">
        <v>45981.086926764787</v>
      </c>
      <c r="G391" t="s">
        <v>3921</v>
      </c>
      <c r="H391">
        <v>1100</v>
      </c>
    </row>
    <row r="392" spans="1:8" x14ac:dyDescent="0.25">
      <c r="A392">
        <v>1441</v>
      </c>
      <c r="B392" t="s">
        <v>703</v>
      </c>
      <c r="C392">
        <v>1</v>
      </c>
      <c r="D392" t="s">
        <v>3920</v>
      </c>
      <c r="E392">
        <v>2024</v>
      </c>
      <c r="F392" s="3">
        <v>45981.086926764787</v>
      </c>
      <c r="G392" t="s">
        <v>3921</v>
      </c>
      <c r="H392">
        <v>550</v>
      </c>
    </row>
    <row r="393" spans="1:8" x14ac:dyDescent="0.25">
      <c r="A393">
        <v>1442</v>
      </c>
      <c r="B393" t="s">
        <v>706</v>
      </c>
      <c r="C393">
        <v>1</v>
      </c>
      <c r="D393" t="s">
        <v>3920</v>
      </c>
      <c r="E393">
        <v>2024</v>
      </c>
      <c r="F393" s="3">
        <v>45981.086926764787</v>
      </c>
      <c r="G393" t="s">
        <v>3921</v>
      </c>
      <c r="H393">
        <v>1100</v>
      </c>
    </row>
    <row r="394" spans="1:8" x14ac:dyDescent="0.25">
      <c r="A394">
        <v>1443</v>
      </c>
      <c r="B394" t="s">
        <v>707</v>
      </c>
      <c r="C394">
        <v>1</v>
      </c>
      <c r="D394" t="s">
        <v>3920</v>
      </c>
      <c r="E394">
        <v>2024</v>
      </c>
      <c r="F394" s="3">
        <v>45981.086926764787</v>
      </c>
      <c r="G394" t="s">
        <v>3921</v>
      </c>
      <c r="H394">
        <v>1100</v>
      </c>
    </row>
    <row r="395" spans="1:8" x14ac:dyDescent="0.25">
      <c r="A395">
        <v>1444</v>
      </c>
      <c r="B395" t="s">
        <v>710</v>
      </c>
      <c r="C395">
        <v>0.66666666666666663</v>
      </c>
      <c r="D395" t="s">
        <v>3920</v>
      </c>
      <c r="E395">
        <v>2024</v>
      </c>
      <c r="F395" s="3">
        <v>45981.086926764787</v>
      </c>
      <c r="G395" t="s">
        <v>3921</v>
      </c>
      <c r="H395">
        <v>550</v>
      </c>
    </row>
    <row r="396" spans="1:8" x14ac:dyDescent="0.25">
      <c r="A396">
        <v>1445</v>
      </c>
      <c r="B396" t="s">
        <v>713</v>
      </c>
      <c r="C396">
        <v>1</v>
      </c>
      <c r="D396" t="s">
        <v>3920</v>
      </c>
      <c r="E396">
        <v>2024</v>
      </c>
      <c r="F396" s="3">
        <v>45981.086926764787</v>
      </c>
      <c r="G396" t="s">
        <v>3921</v>
      </c>
      <c r="H396">
        <v>1100</v>
      </c>
    </row>
    <row r="397" spans="1:8" x14ac:dyDescent="0.25">
      <c r="A397">
        <v>1446</v>
      </c>
      <c r="B397" t="s">
        <v>716</v>
      </c>
      <c r="C397">
        <v>1</v>
      </c>
      <c r="D397" t="s">
        <v>3920</v>
      </c>
      <c r="E397">
        <v>2024</v>
      </c>
      <c r="F397" s="3">
        <v>45981.086926764787</v>
      </c>
      <c r="G397" t="s">
        <v>3921</v>
      </c>
      <c r="H397">
        <v>550</v>
      </c>
    </row>
    <row r="398" spans="1:8" x14ac:dyDescent="0.25">
      <c r="A398">
        <v>1447</v>
      </c>
      <c r="B398" t="s">
        <v>717</v>
      </c>
      <c r="C398">
        <v>1</v>
      </c>
      <c r="D398" t="s">
        <v>3920</v>
      </c>
      <c r="E398">
        <v>2024</v>
      </c>
      <c r="F398" s="3">
        <v>45981.086926764787</v>
      </c>
      <c r="G398" t="s">
        <v>3921</v>
      </c>
      <c r="H398">
        <v>1100</v>
      </c>
    </row>
    <row r="399" spans="1:8" x14ac:dyDescent="0.25">
      <c r="A399">
        <v>1448</v>
      </c>
      <c r="B399" t="s">
        <v>720</v>
      </c>
      <c r="C399">
        <v>1</v>
      </c>
      <c r="D399" t="s">
        <v>3920</v>
      </c>
      <c r="E399">
        <v>2024</v>
      </c>
      <c r="F399" s="3">
        <v>45981.086926764787</v>
      </c>
      <c r="G399" t="s">
        <v>3921</v>
      </c>
      <c r="H399">
        <v>550</v>
      </c>
    </row>
    <row r="400" spans="1:8" x14ac:dyDescent="0.25">
      <c r="A400">
        <v>1449</v>
      </c>
      <c r="B400" t="s">
        <v>723</v>
      </c>
      <c r="C400">
        <v>1</v>
      </c>
      <c r="D400" t="s">
        <v>3920</v>
      </c>
      <c r="E400">
        <v>2024</v>
      </c>
      <c r="F400" s="3">
        <v>45981.086926764787</v>
      </c>
      <c r="G400" t="s">
        <v>3921</v>
      </c>
      <c r="H400">
        <v>550</v>
      </c>
    </row>
    <row r="401" spans="1:8" x14ac:dyDescent="0.25">
      <c r="A401">
        <v>1450</v>
      </c>
      <c r="B401" t="s">
        <v>726</v>
      </c>
      <c r="C401">
        <v>1</v>
      </c>
      <c r="D401" t="s">
        <v>3920</v>
      </c>
      <c r="E401">
        <v>2024</v>
      </c>
      <c r="F401" s="3">
        <v>45981.086926764787</v>
      </c>
      <c r="G401" t="s">
        <v>3921</v>
      </c>
      <c r="H401">
        <v>1650</v>
      </c>
    </row>
    <row r="402" spans="1:8" x14ac:dyDescent="0.25">
      <c r="A402">
        <v>1451</v>
      </c>
      <c r="B402" t="s">
        <v>730</v>
      </c>
      <c r="C402">
        <v>1</v>
      </c>
      <c r="D402" t="s">
        <v>3920</v>
      </c>
      <c r="E402">
        <v>2024</v>
      </c>
      <c r="F402" s="3">
        <v>45981.086926764787</v>
      </c>
      <c r="G402" t="s">
        <v>3921</v>
      </c>
      <c r="H402">
        <v>5500</v>
      </c>
    </row>
    <row r="403" spans="1:8" x14ac:dyDescent="0.25">
      <c r="A403">
        <v>1452</v>
      </c>
      <c r="B403" t="s">
        <v>733</v>
      </c>
      <c r="C403">
        <v>1</v>
      </c>
      <c r="D403" t="s">
        <v>3920</v>
      </c>
      <c r="E403">
        <v>2024</v>
      </c>
      <c r="F403" s="3">
        <v>45981.086926764787</v>
      </c>
      <c r="G403" t="s">
        <v>3921</v>
      </c>
      <c r="H403">
        <v>2200</v>
      </c>
    </row>
    <row r="404" spans="1:8" x14ac:dyDescent="0.25">
      <c r="A404">
        <v>1453</v>
      </c>
      <c r="B404" t="s">
        <v>736</v>
      </c>
      <c r="C404">
        <v>1</v>
      </c>
      <c r="D404" t="s">
        <v>3920</v>
      </c>
      <c r="E404">
        <v>2024</v>
      </c>
      <c r="F404" s="3">
        <v>45981.086926764787</v>
      </c>
      <c r="G404" t="s">
        <v>3921</v>
      </c>
      <c r="H404">
        <v>2750</v>
      </c>
    </row>
    <row r="405" spans="1:8" x14ac:dyDescent="0.25">
      <c r="A405">
        <v>1454</v>
      </c>
      <c r="B405" t="s">
        <v>740</v>
      </c>
      <c r="C405">
        <v>1</v>
      </c>
      <c r="D405" t="s">
        <v>3920</v>
      </c>
      <c r="E405">
        <v>2024</v>
      </c>
      <c r="F405" s="3">
        <v>45981.086926764787</v>
      </c>
      <c r="G405" t="s">
        <v>3921</v>
      </c>
      <c r="H405">
        <v>2200</v>
      </c>
    </row>
    <row r="406" spans="1:8" x14ac:dyDescent="0.25">
      <c r="A406">
        <v>1455</v>
      </c>
      <c r="B406" t="s">
        <v>743</v>
      </c>
      <c r="C406">
        <v>1</v>
      </c>
      <c r="D406" t="s">
        <v>3920</v>
      </c>
      <c r="E406">
        <v>2024</v>
      </c>
      <c r="F406" s="3">
        <v>45981.086926764787</v>
      </c>
      <c r="G406" t="s">
        <v>3921</v>
      </c>
      <c r="H406">
        <v>1100</v>
      </c>
    </row>
    <row r="407" spans="1:8" x14ac:dyDescent="0.25">
      <c r="A407">
        <v>1456</v>
      </c>
      <c r="B407" t="s">
        <v>746</v>
      </c>
      <c r="C407">
        <v>1</v>
      </c>
      <c r="D407" t="s">
        <v>3920</v>
      </c>
      <c r="E407">
        <v>2024</v>
      </c>
      <c r="F407" s="3">
        <v>45981.086926764787</v>
      </c>
      <c r="G407" t="s">
        <v>3921</v>
      </c>
      <c r="H407">
        <v>2750</v>
      </c>
    </row>
    <row r="408" spans="1:8" x14ac:dyDescent="0.25">
      <c r="A408">
        <v>1457</v>
      </c>
      <c r="B408" t="s">
        <v>751</v>
      </c>
      <c r="C408">
        <v>1</v>
      </c>
      <c r="D408" t="s">
        <v>3920</v>
      </c>
      <c r="E408">
        <v>2024</v>
      </c>
      <c r="F408" s="3">
        <v>45981.086926764787</v>
      </c>
      <c r="G408" t="s">
        <v>3921</v>
      </c>
      <c r="H408">
        <v>1100</v>
      </c>
    </row>
    <row r="409" spans="1:8" x14ac:dyDescent="0.25">
      <c r="A409">
        <v>1458</v>
      </c>
      <c r="B409" t="s">
        <v>755</v>
      </c>
      <c r="C409">
        <v>1</v>
      </c>
      <c r="D409" t="s">
        <v>3920</v>
      </c>
      <c r="E409">
        <v>2024</v>
      </c>
      <c r="F409" s="3">
        <v>45981.086926764787</v>
      </c>
      <c r="G409" t="s">
        <v>3921</v>
      </c>
      <c r="H409">
        <v>1100</v>
      </c>
    </row>
    <row r="410" spans="1:8" x14ac:dyDescent="0.25">
      <c r="A410">
        <v>1459</v>
      </c>
      <c r="B410" t="s">
        <v>758</v>
      </c>
      <c r="C410">
        <v>0.63</v>
      </c>
      <c r="D410" t="s">
        <v>3920</v>
      </c>
      <c r="E410">
        <v>2024</v>
      </c>
      <c r="F410" s="3">
        <v>45981.086926764787</v>
      </c>
      <c r="G410" t="s">
        <v>3921</v>
      </c>
      <c r="H410">
        <v>1380</v>
      </c>
    </row>
    <row r="411" spans="1:8" x14ac:dyDescent="0.25">
      <c r="A411">
        <v>1460</v>
      </c>
      <c r="B411" t="s">
        <v>761</v>
      </c>
      <c r="C411">
        <v>0.4</v>
      </c>
      <c r="D411" t="s">
        <v>3920</v>
      </c>
      <c r="E411">
        <v>2024</v>
      </c>
      <c r="F411" s="3">
        <v>45981.086926764787</v>
      </c>
      <c r="G411" t="s">
        <v>3921</v>
      </c>
      <c r="H411">
        <v>1000</v>
      </c>
    </row>
    <row r="412" spans="1:8" x14ac:dyDescent="0.25">
      <c r="A412">
        <v>1461</v>
      </c>
      <c r="B412" t="s">
        <v>764</v>
      </c>
      <c r="C412">
        <v>1</v>
      </c>
      <c r="D412" t="s">
        <v>3920</v>
      </c>
      <c r="E412">
        <v>2024</v>
      </c>
      <c r="F412" s="3">
        <v>45981.086926764787</v>
      </c>
      <c r="G412" t="s">
        <v>3921</v>
      </c>
      <c r="H412">
        <v>550</v>
      </c>
    </row>
    <row r="413" spans="1:8" x14ac:dyDescent="0.25">
      <c r="A413">
        <v>1462</v>
      </c>
      <c r="B413" t="s">
        <v>767</v>
      </c>
      <c r="C413">
        <v>1</v>
      </c>
      <c r="D413" t="s">
        <v>3920</v>
      </c>
      <c r="E413">
        <v>2024</v>
      </c>
      <c r="F413" s="3">
        <v>45981.086926764787</v>
      </c>
      <c r="G413" t="s">
        <v>3921</v>
      </c>
      <c r="H413">
        <v>1100</v>
      </c>
    </row>
    <row r="414" spans="1:8" x14ac:dyDescent="0.25">
      <c r="A414">
        <v>1463</v>
      </c>
      <c r="B414" t="s">
        <v>770</v>
      </c>
      <c r="C414">
        <v>1</v>
      </c>
      <c r="D414" t="s">
        <v>3920</v>
      </c>
      <c r="E414">
        <v>2024</v>
      </c>
      <c r="F414" s="3">
        <v>45981.086926764787</v>
      </c>
      <c r="G414" t="s">
        <v>3921</v>
      </c>
      <c r="H414">
        <v>1650</v>
      </c>
    </row>
    <row r="415" spans="1:8" x14ac:dyDescent="0.25">
      <c r="A415">
        <v>1464</v>
      </c>
      <c r="B415" t="s">
        <v>773</v>
      </c>
      <c r="C415">
        <v>0.61</v>
      </c>
      <c r="D415" t="s">
        <v>3920</v>
      </c>
      <c r="E415">
        <v>2024</v>
      </c>
      <c r="F415" s="3">
        <v>45981.086926764787</v>
      </c>
      <c r="G415" t="s">
        <v>3921</v>
      </c>
      <c r="H415">
        <v>1000</v>
      </c>
    </row>
    <row r="416" spans="1:8" x14ac:dyDescent="0.25">
      <c r="A416">
        <v>1465</v>
      </c>
      <c r="B416" t="s">
        <v>776</v>
      </c>
      <c r="C416">
        <v>0.76363636363636367</v>
      </c>
      <c r="D416" t="s">
        <v>3920</v>
      </c>
      <c r="E416">
        <v>2024</v>
      </c>
      <c r="F416" s="3">
        <v>45981.086926764787</v>
      </c>
      <c r="G416" t="s">
        <v>3921</v>
      </c>
      <c r="H416">
        <v>1260</v>
      </c>
    </row>
    <row r="417" spans="1:8" x14ac:dyDescent="0.25">
      <c r="A417">
        <v>1466</v>
      </c>
      <c r="B417" t="s">
        <v>779</v>
      </c>
      <c r="C417">
        <v>0.91</v>
      </c>
      <c r="D417" t="s">
        <v>3920</v>
      </c>
      <c r="E417">
        <v>2024</v>
      </c>
      <c r="F417" s="3">
        <v>45981.086926764787</v>
      </c>
      <c r="G417" t="s">
        <v>3921</v>
      </c>
      <c r="H417">
        <v>1496</v>
      </c>
    </row>
    <row r="418" spans="1:8" x14ac:dyDescent="0.25">
      <c r="A418">
        <v>1467</v>
      </c>
      <c r="B418" t="s">
        <v>782</v>
      </c>
      <c r="C418">
        <v>1</v>
      </c>
      <c r="D418" t="s">
        <v>3920</v>
      </c>
      <c r="E418">
        <v>2024</v>
      </c>
      <c r="F418" s="3">
        <v>45981.086926764787</v>
      </c>
      <c r="G418" t="s">
        <v>3921</v>
      </c>
      <c r="H418">
        <v>550</v>
      </c>
    </row>
    <row r="419" spans="1:8" x14ac:dyDescent="0.25">
      <c r="A419">
        <v>1468</v>
      </c>
      <c r="B419" t="s">
        <v>785</v>
      </c>
      <c r="C419">
        <v>1</v>
      </c>
      <c r="D419" t="s">
        <v>3920</v>
      </c>
      <c r="E419">
        <v>2024</v>
      </c>
      <c r="F419" s="3">
        <v>45981.086926764787</v>
      </c>
      <c r="G419" t="s">
        <v>3921</v>
      </c>
      <c r="H419">
        <v>2750</v>
      </c>
    </row>
    <row r="420" spans="1:8" x14ac:dyDescent="0.25">
      <c r="A420">
        <v>1469</v>
      </c>
      <c r="B420" t="s">
        <v>786</v>
      </c>
      <c r="C420">
        <v>1</v>
      </c>
      <c r="D420" t="s">
        <v>3920</v>
      </c>
      <c r="E420">
        <v>2024</v>
      </c>
      <c r="F420" s="3">
        <v>45981.086926764787</v>
      </c>
      <c r="G420" t="s">
        <v>3921</v>
      </c>
      <c r="H420">
        <v>550</v>
      </c>
    </row>
    <row r="421" spans="1:8" x14ac:dyDescent="0.25">
      <c r="A421">
        <v>1470</v>
      </c>
      <c r="B421" t="s">
        <v>789</v>
      </c>
      <c r="C421">
        <v>1</v>
      </c>
      <c r="D421" t="s">
        <v>3920</v>
      </c>
      <c r="E421">
        <v>2024</v>
      </c>
      <c r="F421" s="3">
        <v>45981.086926764787</v>
      </c>
      <c r="G421" t="s">
        <v>3921</v>
      </c>
      <c r="H421">
        <v>1650</v>
      </c>
    </row>
    <row r="422" spans="1:8" x14ac:dyDescent="0.25">
      <c r="A422">
        <v>1471</v>
      </c>
      <c r="B422" t="s">
        <v>792</v>
      </c>
      <c r="D422" t="s">
        <v>3920</v>
      </c>
      <c r="E422">
        <v>2024</v>
      </c>
      <c r="F422" s="3">
        <v>45981.086926764787</v>
      </c>
      <c r="G422" t="s">
        <v>3921</v>
      </c>
      <c r="H422">
        <v>0</v>
      </c>
    </row>
    <row r="423" spans="1:8" x14ac:dyDescent="0.25">
      <c r="A423">
        <v>1472</v>
      </c>
      <c r="B423" t="s">
        <v>945</v>
      </c>
      <c r="C423">
        <v>0.93548387096774199</v>
      </c>
      <c r="D423" t="s">
        <v>3920</v>
      </c>
      <c r="E423">
        <v>2024</v>
      </c>
      <c r="F423" s="3">
        <v>45981.086926764787</v>
      </c>
      <c r="G423" t="s">
        <v>3921</v>
      </c>
      <c r="H423">
        <v>1090.7741935483871</v>
      </c>
    </row>
    <row r="424" spans="1:8" x14ac:dyDescent="0.25">
      <c r="A424">
        <v>1473</v>
      </c>
      <c r="B424" t="s">
        <v>26</v>
      </c>
      <c r="C424">
        <v>0</v>
      </c>
      <c r="D424" t="s">
        <v>3920</v>
      </c>
      <c r="E424">
        <v>2024</v>
      </c>
      <c r="F424" s="3">
        <v>45981.086926764787</v>
      </c>
      <c r="G424" t="s">
        <v>3921</v>
      </c>
      <c r="H42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B839-941C-400C-B0B6-0410A5265192}">
  <dimension ref="A1:P454"/>
  <sheetViews>
    <sheetView tabSelected="1" workbookViewId="0">
      <selection activeCell="F1" sqref="F1"/>
    </sheetView>
  </sheetViews>
  <sheetFormatPr baseColWidth="10" defaultRowHeight="15" x14ac:dyDescent="0.25"/>
  <cols>
    <col min="1" max="1" width="15.5703125" customWidth="1"/>
    <col min="2" max="2" width="17.42578125" customWidth="1"/>
    <col min="3" max="3" width="11.5703125" customWidth="1"/>
    <col min="4" max="4" width="13.7109375" customWidth="1"/>
    <col min="5" max="5" width="18.28515625" customWidth="1"/>
    <col min="6" max="6" width="12.28515625" customWidth="1"/>
    <col min="7" max="7" width="17.42578125" customWidth="1"/>
    <col min="8" max="8" width="11.5703125" customWidth="1"/>
    <col min="9" max="9" width="13.7109375" customWidth="1"/>
    <col min="10" max="10" width="18.28515625" customWidth="1"/>
    <col min="11" max="11" width="12.28515625" customWidth="1"/>
    <col min="12" max="12" width="17.42578125" customWidth="1"/>
    <col min="13" max="13" width="11.5703125" customWidth="1"/>
    <col min="14" max="14" width="13.7109375" customWidth="1"/>
    <col min="15" max="15" width="18.28515625" customWidth="1"/>
    <col min="16" max="16" width="12.28515625" customWidth="1"/>
  </cols>
  <sheetData>
    <row r="1" spans="1:16" x14ac:dyDescent="0.25">
      <c r="A1" t="s">
        <v>4027</v>
      </c>
      <c r="B1" t="s">
        <v>4026</v>
      </c>
      <c r="C1" t="s">
        <v>4028</v>
      </c>
      <c r="D1" t="s">
        <v>4029</v>
      </c>
      <c r="E1" t="s">
        <v>4030</v>
      </c>
      <c r="F1" t="s">
        <v>4031</v>
      </c>
      <c r="G1" t="s">
        <v>4032</v>
      </c>
      <c r="H1" t="s">
        <v>4036</v>
      </c>
      <c r="I1" t="s">
        <v>4033</v>
      </c>
      <c r="J1" t="s">
        <v>4034</v>
      </c>
      <c r="K1" t="s">
        <v>4035</v>
      </c>
      <c r="L1" t="s">
        <v>4037</v>
      </c>
      <c r="M1" t="s">
        <v>4038</v>
      </c>
      <c r="N1" t="s">
        <v>4039</v>
      </c>
      <c r="O1" t="s">
        <v>4040</v>
      </c>
      <c r="P1" t="s">
        <v>4041</v>
      </c>
    </row>
    <row r="2" spans="1:16" x14ac:dyDescent="0.25">
      <c r="A2" t="s">
        <v>187</v>
      </c>
      <c r="B2">
        <v>2024</v>
      </c>
      <c r="C2">
        <v>0</v>
      </c>
      <c r="D2">
        <v>4.66</v>
      </c>
      <c r="E2">
        <v>19.510000000000002</v>
      </c>
      <c r="F2">
        <v>2.02</v>
      </c>
      <c r="G2">
        <v>2028</v>
      </c>
      <c r="H2" t="s">
        <v>4042</v>
      </c>
      <c r="I2" t="s">
        <v>4042</v>
      </c>
      <c r="J2" t="s">
        <v>4042</v>
      </c>
      <c r="K2" t="s">
        <v>4042</v>
      </c>
      <c r="L2">
        <v>2031</v>
      </c>
      <c r="M2" t="s">
        <v>4045</v>
      </c>
      <c r="N2" t="s">
        <v>4045</v>
      </c>
      <c r="O2" t="s">
        <v>4045</v>
      </c>
      <c r="P2" t="s">
        <v>4045</v>
      </c>
    </row>
    <row r="3" spans="1:16" x14ac:dyDescent="0.25">
      <c r="A3" t="s">
        <v>578</v>
      </c>
      <c r="B3">
        <v>2022</v>
      </c>
      <c r="C3">
        <v>0</v>
      </c>
      <c r="D3">
        <v>0</v>
      </c>
      <c r="E3">
        <v>0</v>
      </c>
      <c r="F3">
        <v>0</v>
      </c>
      <c r="G3">
        <v>2029</v>
      </c>
      <c r="H3" t="s">
        <v>4043</v>
      </c>
      <c r="I3" t="s">
        <v>4043</v>
      </c>
      <c r="J3" t="s">
        <v>4043</v>
      </c>
      <c r="K3" t="s">
        <v>4043</v>
      </c>
      <c r="L3">
        <v>2032</v>
      </c>
      <c r="M3" t="s">
        <v>4047</v>
      </c>
      <c r="N3" t="s">
        <v>4047</v>
      </c>
      <c r="O3" t="s">
        <v>4047</v>
      </c>
      <c r="P3" t="s">
        <v>4047</v>
      </c>
    </row>
    <row r="4" spans="1:16" x14ac:dyDescent="0.25">
      <c r="A4" t="s">
        <v>1325</v>
      </c>
      <c r="B4">
        <v>2025</v>
      </c>
      <c r="C4">
        <v>0.03</v>
      </c>
      <c r="D4" t="s">
        <v>3347</v>
      </c>
      <c r="E4">
        <v>0.5</v>
      </c>
      <c r="F4" t="s">
        <v>3347</v>
      </c>
      <c r="G4">
        <v>2032</v>
      </c>
      <c r="H4" t="s">
        <v>4047</v>
      </c>
      <c r="I4" t="s">
        <v>4047</v>
      </c>
      <c r="J4" t="s">
        <v>4047</v>
      </c>
      <c r="K4" t="s">
        <v>4047</v>
      </c>
      <c r="L4">
        <v>2035</v>
      </c>
      <c r="M4" t="s">
        <v>4049</v>
      </c>
      <c r="N4" t="s">
        <v>4049</v>
      </c>
      <c r="O4" t="s">
        <v>4049</v>
      </c>
      <c r="P4" t="s">
        <v>4049</v>
      </c>
    </row>
    <row r="5" spans="1:16" x14ac:dyDescent="0.25">
      <c r="A5" t="s">
        <v>620</v>
      </c>
      <c r="B5">
        <v>2024</v>
      </c>
      <c r="C5">
        <v>0.11</v>
      </c>
      <c r="D5" t="s">
        <v>3347</v>
      </c>
      <c r="E5" t="s">
        <v>3347</v>
      </c>
      <c r="F5" t="s">
        <v>3347</v>
      </c>
      <c r="G5">
        <v>2030</v>
      </c>
      <c r="H5" t="s">
        <v>4044</v>
      </c>
      <c r="I5" t="s">
        <v>4044</v>
      </c>
      <c r="J5" t="s">
        <v>4044</v>
      </c>
      <c r="K5" t="s">
        <v>4044</v>
      </c>
      <c r="L5">
        <v>2033</v>
      </c>
      <c r="M5" t="s">
        <v>4048</v>
      </c>
      <c r="N5" t="s">
        <v>4048</v>
      </c>
      <c r="O5" t="s">
        <v>4048</v>
      </c>
      <c r="P5" t="s">
        <v>4048</v>
      </c>
    </row>
    <row r="6" spans="1:16" x14ac:dyDescent="0.25">
      <c r="A6" t="s">
        <v>582</v>
      </c>
      <c r="B6">
        <v>2022</v>
      </c>
      <c r="C6">
        <v>0.13</v>
      </c>
      <c r="D6">
        <v>0</v>
      </c>
      <c r="E6">
        <v>0</v>
      </c>
      <c r="F6">
        <v>0.53</v>
      </c>
      <c r="G6">
        <v>2029</v>
      </c>
      <c r="H6" t="s">
        <v>4043</v>
      </c>
      <c r="I6" t="s">
        <v>4043</v>
      </c>
      <c r="J6" t="s">
        <v>4043</v>
      </c>
      <c r="K6" t="s">
        <v>4043</v>
      </c>
      <c r="L6">
        <v>2032</v>
      </c>
      <c r="M6" t="s">
        <v>4047</v>
      </c>
      <c r="N6" t="s">
        <v>4047</v>
      </c>
      <c r="O6" t="s">
        <v>4047</v>
      </c>
      <c r="P6" t="s">
        <v>4047</v>
      </c>
    </row>
    <row r="7" spans="1:16" x14ac:dyDescent="0.25">
      <c r="A7" t="s">
        <v>1092</v>
      </c>
      <c r="B7">
        <v>2024</v>
      </c>
      <c r="C7">
        <v>0.2</v>
      </c>
      <c r="D7">
        <v>2.4</v>
      </c>
      <c r="E7">
        <v>11.45</v>
      </c>
      <c r="F7">
        <v>2.97</v>
      </c>
      <c r="G7">
        <v>2028</v>
      </c>
      <c r="H7" t="s">
        <v>4042</v>
      </c>
      <c r="I7" t="s">
        <v>4042</v>
      </c>
      <c r="J7" t="s">
        <v>4042</v>
      </c>
      <c r="K7" t="s">
        <v>4042</v>
      </c>
      <c r="L7">
        <v>2031</v>
      </c>
      <c r="M7" t="s">
        <v>4045</v>
      </c>
      <c r="N7" t="s">
        <v>4045</v>
      </c>
      <c r="O7" t="s">
        <v>4045</v>
      </c>
      <c r="P7" t="s">
        <v>4045</v>
      </c>
    </row>
    <row r="8" spans="1:16" x14ac:dyDescent="0.25">
      <c r="A8" t="s">
        <v>1322</v>
      </c>
      <c r="B8">
        <v>2025</v>
      </c>
      <c r="C8">
        <v>0.2</v>
      </c>
      <c r="D8">
        <v>0.5</v>
      </c>
      <c r="E8" t="s">
        <v>3347</v>
      </c>
      <c r="F8">
        <v>1.55</v>
      </c>
      <c r="G8">
        <v>2032</v>
      </c>
      <c r="H8" t="s">
        <v>4047</v>
      </c>
      <c r="I8" t="s">
        <v>4047</v>
      </c>
      <c r="J8" t="s">
        <v>4047</v>
      </c>
      <c r="K8" t="s">
        <v>4047</v>
      </c>
      <c r="L8">
        <v>2035</v>
      </c>
      <c r="M8" t="s">
        <v>4049</v>
      </c>
      <c r="N8" t="s">
        <v>4049</v>
      </c>
      <c r="O8" t="s">
        <v>4049</v>
      </c>
      <c r="P8" t="s">
        <v>4049</v>
      </c>
    </row>
    <row r="9" spans="1:16" x14ac:dyDescent="0.25">
      <c r="A9" t="s">
        <v>598</v>
      </c>
      <c r="B9">
        <v>2024</v>
      </c>
      <c r="C9">
        <v>0.24</v>
      </c>
      <c r="D9" t="s">
        <v>3347</v>
      </c>
      <c r="E9" t="s">
        <v>3347</v>
      </c>
      <c r="F9" t="s">
        <v>3347</v>
      </c>
      <c r="G9">
        <v>2030</v>
      </c>
      <c r="H9" t="s">
        <v>4044</v>
      </c>
      <c r="I9" t="s">
        <v>4044</v>
      </c>
      <c r="J9" t="s">
        <v>4044</v>
      </c>
      <c r="K9" t="s">
        <v>4044</v>
      </c>
      <c r="L9">
        <v>2033</v>
      </c>
      <c r="M9" t="s">
        <v>4048</v>
      </c>
      <c r="N9" t="s">
        <v>4048</v>
      </c>
      <c r="O9" t="s">
        <v>4048</v>
      </c>
      <c r="P9" t="s">
        <v>4048</v>
      </c>
    </row>
    <row r="10" spans="1:16" x14ac:dyDescent="0.25">
      <c r="A10" t="s">
        <v>626</v>
      </c>
      <c r="B10">
        <v>2025</v>
      </c>
      <c r="C10">
        <v>0.24</v>
      </c>
      <c r="D10">
        <v>2.04</v>
      </c>
      <c r="E10" t="s">
        <v>3347</v>
      </c>
      <c r="F10">
        <v>3.51</v>
      </c>
      <c r="G10">
        <v>2031</v>
      </c>
      <c r="H10" t="s">
        <v>4045</v>
      </c>
      <c r="I10" t="s">
        <v>4045</v>
      </c>
      <c r="J10" t="s">
        <v>4045</v>
      </c>
      <c r="K10" t="s">
        <v>4045</v>
      </c>
      <c r="L10">
        <v>2034</v>
      </c>
      <c r="M10" t="s">
        <v>4050</v>
      </c>
      <c r="N10" t="s">
        <v>4050</v>
      </c>
      <c r="O10" t="s">
        <v>4050</v>
      </c>
      <c r="P10" t="s">
        <v>4050</v>
      </c>
    </row>
    <row r="11" spans="1:16" x14ac:dyDescent="0.25">
      <c r="A11" t="s">
        <v>110</v>
      </c>
      <c r="B11">
        <v>2021</v>
      </c>
      <c r="C11">
        <v>0.25</v>
      </c>
      <c r="D11">
        <v>0.34</v>
      </c>
      <c r="E11" t="s">
        <v>3347</v>
      </c>
      <c r="F11">
        <v>12.6</v>
      </c>
      <c r="G11">
        <v>2025</v>
      </c>
      <c r="H11">
        <v>0.62</v>
      </c>
      <c r="I11">
        <v>4.95</v>
      </c>
      <c r="J11">
        <v>9.23</v>
      </c>
      <c r="K11">
        <v>4.3499999999999996</v>
      </c>
      <c r="L11">
        <v>2029</v>
      </c>
      <c r="M11" t="s">
        <v>4043</v>
      </c>
      <c r="N11" t="s">
        <v>4043</v>
      </c>
      <c r="O11" t="s">
        <v>4043</v>
      </c>
      <c r="P11" t="s">
        <v>4043</v>
      </c>
    </row>
    <row r="12" spans="1:16" x14ac:dyDescent="0.25">
      <c r="A12" t="s">
        <v>1124</v>
      </c>
      <c r="B12">
        <v>2021</v>
      </c>
      <c r="C12">
        <v>0.27</v>
      </c>
      <c r="D12" t="s">
        <v>3347</v>
      </c>
      <c r="E12" t="s">
        <v>3347</v>
      </c>
      <c r="F12" t="s">
        <v>3347</v>
      </c>
      <c r="G12">
        <v>2025</v>
      </c>
      <c r="H12">
        <v>0.69</v>
      </c>
      <c r="I12">
        <v>2.0299999999999998</v>
      </c>
      <c r="J12">
        <v>9.11</v>
      </c>
      <c r="K12">
        <v>2.81</v>
      </c>
      <c r="L12">
        <v>2032</v>
      </c>
      <c r="M12" t="s">
        <v>4047</v>
      </c>
      <c r="N12" t="s">
        <v>4047</v>
      </c>
      <c r="O12" t="s">
        <v>4047</v>
      </c>
      <c r="P12" t="s">
        <v>4047</v>
      </c>
    </row>
    <row r="13" spans="1:16" x14ac:dyDescent="0.25">
      <c r="A13" t="s">
        <v>917</v>
      </c>
      <c r="B13">
        <v>2021</v>
      </c>
      <c r="C13">
        <v>0.31</v>
      </c>
      <c r="D13">
        <v>2.79</v>
      </c>
      <c r="E13">
        <v>9.67</v>
      </c>
      <c r="F13">
        <v>2.2799999999999998</v>
      </c>
      <c r="G13">
        <v>2024</v>
      </c>
      <c r="H13">
        <v>0.37</v>
      </c>
      <c r="I13">
        <v>8.19</v>
      </c>
      <c r="J13">
        <v>9.69</v>
      </c>
      <c r="K13">
        <v>31.81</v>
      </c>
      <c r="L13">
        <v>2025</v>
      </c>
      <c r="M13">
        <v>0.26</v>
      </c>
      <c r="N13">
        <v>8.7100000000000009</v>
      </c>
      <c r="O13">
        <v>9.08</v>
      </c>
      <c r="P13">
        <v>36.44</v>
      </c>
    </row>
    <row r="14" spans="1:16" x14ac:dyDescent="0.25">
      <c r="A14" t="s">
        <v>1144</v>
      </c>
      <c r="B14">
        <v>2021</v>
      </c>
      <c r="C14">
        <v>0.36</v>
      </c>
      <c r="D14" t="s">
        <v>3347</v>
      </c>
      <c r="E14" t="s">
        <v>3347</v>
      </c>
      <c r="F14" t="s">
        <v>3347</v>
      </c>
      <c r="G14">
        <v>2025</v>
      </c>
      <c r="H14">
        <v>0.28999999999999998</v>
      </c>
      <c r="I14">
        <v>3.03</v>
      </c>
      <c r="J14">
        <v>6.18</v>
      </c>
      <c r="K14">
        <v>5.88</v>
      </c>
      <c r="L14">
        <v>2032</v>
      </c>
      <c r="M14" t="s">
        <v>4047</v>
      </c>
      <c r="N14" t="s">
        <v>4047</v>
      </c>
      <c r="O14" t="s">
        <v>4047</v>
      </c>
      <c r="P14" t="s">
        <v>4047</v>
      </c>
    </row>
    <row r="15" spans="1:16" x14ac:dyDescent="0.25">
      <c r="A15" t="s">
        <v>881</v>
      </c>
      <c r="B15">
        <v>2021</v>
      </c>
      <c r="C15">
        <v>0.37</v>
      </c>
      <c r="D15">
        <v>4.8600000000000003</v>
      </c>
      <c r="E15">
        <v>10.51</v>
      </c>
      <c r="F15">
        <v>3.72</v>
      </c>
      <c r="G15">
        <v>2022</v>
      </c>
      <c r="H15">
        <v>0.62</v>
      </c>
      <c r="I15">
        <v>6.23</v>
      </c>
      <c r="J15">
        <v>11.25</v>
      </c>
      <c r="K15">
        <v>11.91</v>
      </c>
      <c r="L15">
        <v>2027</v>
      </c>
      <c r="M15" t="s">
        <v>4046</v>
      </c>
      <c r="N15" t="s">
        <v>4046</v>
      </c>
      <c r="O15" t="s">
        <v>4046</v>
      </c>
      <c r="P15" t="s">
        <v>4046</v>
      </c>
    </row>
    <row r="16" spans="1:16" x14ac:dyDescent="0.25">
      <c r="A16" t="s">
        <v>1035</v>
      </c>
      <c r="B16">
        <v>2024</v>
      </c>
      <c r="C16">
        <v>0.4</v>
      </c>
      <c r="D16">
        <v>2.2599999999999998</v>
      </c>
      <c r="E16">
        <v>12.37</v>
      </c>
      <c r="F16">
        <v>2.39</v>
      </c>
      <c r="G16">
        <v>2028</v>
      </c>
      <c r="H16" t="s">
        <v>4042</v>
      </c>
      <c r="I16" t="s">
        <v>4042</v>
      </c>
      <c r="J16" t="s">
        <v>4042</v>
      </c>
      <c r="K16" t="s">
        <v>4042</v>
      </c>
      <c r="L16">
        <v>2031</v>
      </c>
      <c r="M16" t="s">
        <v>4045</v>
      </c>
      <c r="N16" t="s">
        <v>4045</v>
      </c>
      <c r="O16" t="s">
        <v>4045</v>
      </c>
      <c r="P16" t="s">
        <v>4045</v>
      </c>
    </row>
    <row r="17" spans="1:16" x14ac:dyDescent="0.25">
      <c r="A17" t="s">
        <v>865</v>
      </c>
      <c r="B17">
        <v>2021</v>
      </c>
      <c r="C17">
        <v>0.4</v>
      </c>
      <c r="D17">
        <v>1.1599999999999999</v>
      </c>
      <c r="E17" t="s">
        <v>3347</v>
      </c>
      <c r="F17">
        <v>3.95</v>
      </c>
      <c r="G17">
        <v>2022</v>
      </c>
      <c r="H17">
        <v>0.49</v>
      </c>
      <c r="I17">
        <v>1.54</v>
      </c>
      <c r="J17" t="s">
        <v>3347</v>
      </c>
      <c r="K17">
        <v>3</v>
      </c>
      <c r="L17">
        <v>2025</v>
      </c>
      <c r="M17">
        <v>0.42</v>
      </c>
      <c r="N17">
        <v>6.2</v>
      </c>
      <c r="O17">
        <v>8.98</v>
      </c>
      <c r="P17">
        <v>17.989999999999998</v>
      </c>
    </row>
    <row r="18" spans="1:16" x14ac:dyDescent="0.25">
      <c r="A18" t="s">
        <v>1260</v>
      </c>
      <c r="B18">
        <v>2022</v>
      </c>
      <c r="C18">
        <v>0.43</v>
      </c>
      <c r="D18" t="s">
        <v>3347</v>
      </c>
      <c r="E18" t="s">
        <v>3347</v>
      </c>
      <c r="F18" t="s">
        <v>3347</v>
      </c>
      <c r="G18">
        <v>2030</v>
      </c>
      <c r="H18" t="s">
        <v>4044</v>
      </c>
      <c r="I18" t="s">
        <v>4044</v>
      </c>
      <c r="J18" t="s">
        <v>4044</v>
      </c>
      <c r="K18" t="s">
        <v>4044</v>
      </c>
      <c r="L18">
        <v>2033</v>
      </c>
      <c r="M18" t="s">
        <v>4048</v>
      </c>
      <c r="N18" t="s">
        <v>4048</v>
      </c>
      <c r="O18" t="s">
        <v>4048</v>
      </c>
      <c r="P18" t="s">
        <v>4048</v>
      </c>
    </row>
    <row r="19" spans="1:16" x14ac:dyDescent="0.25">
      <c r="A19" t="s">
        <v>174</v>
      </c>
      <c r="B19">
        <v>2024</v>
      </c>
      <c r="C19">
        <v>0.43</v>
      </c>
      <c r="D19">
        <v>3.53</v>
      </c>
      <c r="E19">
        <v>15.47</v>
      </c>
      <c r="F19">
        <v>1.29</v>
      </c>
      <c r="G19">
        <v>2028</v>
      </c>
      <c r="H19" t="s">
        <v>4042</v>
      </c>
      <c r="I19" t="s">
        <v>4042</v>
      </c>
      <c r="J19" t="s">
        <v>4042</v>
      </c>
      <c r="K19" t="s">
        <v>4042</v>
      </c>
      <c r="L19">
        <v>2031</v>
      </c>
      <c r="M19" t="s">
        <v>4045</v>
      </c>
      <c r="N19" t="s">
        <v>4045</v>
      </c>
      <c r="O19" t="s">
        <v>4045</v>
      </c>
      <c r="P19" t="s">
        <v>4045</v>
      </c>
    </row>
    <row r="20" spans="1:16" x14ac:dyDescent="0.25">
      <c r="A20" t="s">
        <v>1179</v>
      </c>
      <c r="B20">
        <v>2021</v>
      </c>
      <c r="C20">
        <v>0.45</v>
      </c>
      <c r="D20" t="s">
        <v>3347</v>
      </c>
      <c r="E20" t="s">
        <v>3347</v>
      </c>
      <c r="F20" t="s">
        <v>3347</v>
      </c>
      <c r="G20">
        <v>2022</v>
      </c>
      <c r="H20">
        <v>0.41</v>
      </c>
      <c r="I20" t="s">
        <v>3347</v>
      </c>
      <c r="J20" t="s">
        <v>3347</v>
      </c>
      <c r="K20" t="s">
        <v>3347</v>
      </c>
      <c r="L20">
        <v>2032</v>
      </c>
      <c r="M20" t="s">
        <v>4047</v>
      </c>
      <c r="N20" t="s">
        <v>4047</v>
      </c>
      <c r="O20" t="s">
        <v>4047</v>
      </c>
      <c r="P20" t="s">
        <v>4047</v>
      </c>
    </row>
    <row r="21" spans="1:16" x14ac:dyDescent="0.25">
      <c r="A21" t="s">
        <v>569</v>
      </c>
      <c r="B21">
        <v>2022</v>
      </c>
      <c r="C21">
        <v>0.45</v>
      </c>
      <c r="D21">
        <v>0</v>
      </c>
      <c r="E21">
        <v>0</v>
      </c>
      <c r="F21">
        <v>2.23</v>
      </c>
      <c r="G21">
        <v>2029</v>
      </c>
      <c r="H21" t="s">
        <v>4043</v>
      </c>
      <c r="I21" t="s">
        <v>4043</v>
      </c>
      <c r="J21" t="s">
        <v>4043</v>
      </c>
      <c r="K21" t="s">
        <v>4043</v>
      </c>
      <c r="L21">
        <v>2032</v>
      </c>
      <c r="M21" t="s">
        <v>4047</v>
      </c>
      <c r="N21" t="s">
        <v>4047</v>
      </c>
      <c r="O21" t="s">
        <v>4047</v>
      </c>
      <c r="P21" t="s">
        <v>4047</v>
      </c>
    </row>
    <row r="22" spans="1:16" x14ac:dyDescent="0.25">
      <c r="A22" t="s">
        <v>1209</v>
      </c>
      <c r="B22">
        <v>2021</v>
      </c>
      <c r="C22">
        <v>0.48</v>
      </c>
      <c r="D22" t="s">
        <v>3347</v>
      </c>
      <c r="E22" t="s">
        <v>3347</v>
      </c>
      <c r="F22" t="s">
        <v>3347</v>
      </c>
      <c r="G22">
        <v>2025</v>
      </c>
      <c r="H22">
        <v>0.47</v>
      </c>
      <c r="I22">
        <v>9.26</v>
      </c>
      <c r="J22">
        <v>11.78</v>
      </c>
      <c r="K22">
        <v>79.11</v>
      </c>
      <c r="L22">
        <v>2032</v>
      </c>
      <c r="M22" t="s">
        <v>4047</v>
      </c>
      <c r="N22" t="s">
        <v>4047</v>
      </c>
      <c r="O22" t="s">
        <v>4047</v>
      </c>
      <c r="P22" t="s">
        <v>4047</v>
      </c>
    </row>
    <row r="23" spans="1:16" x14ac:dyDescent="0.25">
      <c r="A23" t="s">
        <v>131</v>
      </c>
      <c r="B23">
        <v>2024</v>
      </c>
      <c r="C23">
        <v>0.49</v>
      </c>
      <c r="D23" t="s">
        <v>3347</v>
      </c>
      <c r="E23" t="s">
        <v>3347</v>
      </c>
      <c r="F23" t="s">
        <v>3347</v>
      </c>
      <c r="G23">
        <v>2028</v>
      </c>
      <c r="H23" t="s">
        <v>4042</v>
      </c>
      <c r="I23" t="s">
        <v>4042</v>
      </c>
      <c r="J23" t="s">
        <v>4042</v>
      </c>
      <c r="K23" t="s">
        <v>4042</v>
      </c>
      <c r="L23">
        <v>2031</v>
      </c>
      <c r="M23" t="s">
        <v>4045</v>
      </c>
      <c r="N23" t="s">
        <v>4045</v>
      </c>
      <c r="O23" t="s">
        <v>4045</v>
      </c>
      <c r="P23" t="s">
        <v>4045</v>
      </c>
    </row>
    <row r="24" spans="1:16" x14ac:dyDescent="0.25">
      <c r="A24" t="s">
        <v>629</v>
      </c>
      <c r="B24">
        <v>2025</v>
      </c>
      <c r="C24">
        <v>0.53</v>
      </c>
      <c r="D24">
        <v>1.86</v>
      </c>
      <c r="E24" t="s">
        <v>3347</v>
      </c>
      <c r="F24">
        <v>3.39</v>
      </c>
      <c r="G24">
        <v>2031</v>
      </c>
      <c r="H24" t="s">
        <v>4045</v>
      </c>
      <c r="I24" t="s">
        <v>4045</v>
      </c>
      <c r="J24" t="s">
        <v>4045</v>
      </c>
      <c r="K24" t="s">
        <v>4045</v>
      </c>
      <c r="L24">
        <v>2034</v>
      </c>
      <c r="M24" t="s">
        <v>4050</v>
      </c>
      <c r="N24" t="s">
        <v>4050</v>
      </c>
      <c r="O24" t="s">
        <v>4050</v>
      </c>
      <c r="P24" t="s">
        <v>4050</v>
      </c>
    </row>
    <row r="25" spans="1:16" x14ac:dyDescent="0.25">
      <c r="A25" t="s">
        <v>864</v>
      </c>
      <c r="B25">
        <v>2021</v>
      </c>
      <c r="C25">
        <v>0.53</v>
      </c>
      <c r="D25">
        <v>5.56</v>
      </c>
      <c r="E25">
        <v>9.5299999999999994</v>
      </c>
      <c r="F25">
        <v>5.92</v>
      </c>
      <c r="G25">
        <v>2022</v>
      </c>
      <c r="H25">
        <v>0.54</v>
      </c>
      <c r="I25">
        <v>13.01</v>
      </c>
      <c r="J25">
        <v>8.91</v>
      </c>
      <c r="K25">
        <v>9213.89</v>
      </c>
      <c r="L25">
        <v>2027</v>
      </c>
      <c r="M25" t="s">
        <v>4046</v>
      </c>
      <c r="N25" t="s">
        <v>4046</v>
      </c>
      <c r="O25" t="s">
        <v>4046</v>
      </c>
      <c r="P25" t="s">
        <v>4046</v>
      </c>
    </row>
    <row r="26" spans="1:16" x14ac:dyDescent="0.25">
      <c r="A26" t="s">
        <v>547</v>
      </c>
      <c r="B26">
        <v>2021</v>
      </c>
      <c r="C26">
        <v>0.56999999999999995</v>
      </c>
      <c r="D26">
        <v>0.39</v>
      </c>
      <c r="E26" t="s">
        <v>3347</v>
      </c>
      <c r="F26">
        <v>3.03</v>
      </c>
      <c r="G26">
        <v>2028</v>
      </c>
      <c r="H26" t="s">
        <v>4042</v>
      </c>
      <c r="I26" t="s">
        <v>4042</v>
      </c>
      <c r="J26" t="s">
        <v>4042</v>
      </c>
      <c r="K26" t="s">
        <v>4042</v>
      </c>
      <c r="L26">
        <v>2031</v>
      </c>
      <c r="M26" t="s">
        <v>4045</v>
      </c>
      <c r="N26" t="s">
        <v>4045</v>
      </c>
      <c r="O26" t="s">
        <v>4045</v>
      </c>
      <c r="P26" t="s">
        <v>4045</v>
      </c>
    </row>
    <row r="27" spans="1:16" x14ac:dyDescent="0.25">
      <c r="A27" t="s">
        <v>1326</v>
      </c>
      <c r="B27">
        <v>2025</v>
      </c>
      <c r="C27">
        <v>0.56999999999999995</v>
      </c>
      <c r="D27">
        <v>0.5</v>
      </c>
      <c r="E27">
        <v>0.67</v>
      </c>
      <c r="F27">
        <v>0.51</v>
      </c>
      <c r="G27">
        <v>2032</v>
      </c>
      <c r="H27" t="s">
        <v>4047</v>
      </c>
      <c r="I27" t="s">
        <v>4047</v>
      </c>
      <c r="J27" t="s">
        <v>4047</v>
      </c>
      <c r="K27" t="s">
        <v>4047</v>
      </c>
      <c r="L27">
        <v>2035</v>
      </c>
      <c r="M27" t="s">
        <v>4049</v>
      </c>
      <c r="N27" t="s">
        <v>4049</v>
      </c>
      <c r="O27" t="s">
        <v>4049</v>
      </c>
      <c r="P27" t="s">
        <v>4049</v>
      </c>
    </row>
    <row r="28" spans="1:16" x14ac:dyDescent="0.25">
      <c r="A28" t="s">
        <v>238</v>
      </c>
      <c r="B28">
        <v>2024</v>
      </c>
      <c r="C28">
        <v>0.57999999999999996</v>
      </c>
      <c r="D28">
        <v>3.67</v>
      </c>
      <c r="E28">
        <v>10.7</v>
      </c>
      <c r="F28">
        <v>1.56</v>
      </c>
      <c r="G28">
        <v>2028</v>
      </c>
      <c r="H28" t="s">
        <v>4042</v>
      </c>
      <c r="I28" t="s">
        <v>4042</v>
      </c>
      <c r="J28" t="s">
        <v>4042</v>
      </c>
      <c r="K28" t="s">
        <v>4042</v>
      </c>
      <c r="L28">
        <v>2031</v>
      </c>
      <c r="M28" t="s">
        <v>4045</v>
      </c>
      <c r="N28" t="s">
        <v>4045</v>
      </c>
      <c r="O28" t="s">
        <v>4045</v>
      </c>
      <c r="P28" t="s">
        <v>4045</v>
      </c>
    </row>
    <row r="29" spans="1:16" x14ac:dyDescent="0.25">
      <c r="A29" t="s">
        <v>156</v>
      </c>
      <c r="B29">
        <v>2024</v>
      </c>
      <c r="C29">
        <v>0.57999999999999996</v>
      </c>
      <c r="D29">
        <v>3.66</v>
      </c>
      <c r="E29">
        <v>12.03</v>
      </c>
      <c r="F29">
        <v>1.21</v>
      </c>
      <c r="G29">
        <v>2028</v>
      </c>
      <c r="H29" t="s">
        <v>4042</v>
      </c>
      <c r="I29" t="s">
        <v>4042</v>
      </c>
      <c r="J29" t="s">
        <v>4042</v>
      </c>
      <c r="K29" t="s">
        <v>4042</v>
      </c>
      <c r="L29">
        <v>2031</v>
      </c>
      <c r="M29" t="s">
        <v>4045</v>
      </c>
      <c r="N29" t="s">
        <v>4045</v>
      </c>
      <c r="O29" t="s">
        <v>4045</v>
      </c>
      <c r="P29" t="s">
        <v>4045</v>
      </c>
    </row>
    <row r="30" spans="1:16" x14ac:dyDescent="0.25">
      <c r="A30" t="s">
        <v>1319</v>
      </c>
      <c r="B30">
        <v>2025</v>
      </c>
      <c r="C30">
        <v>0.57999999999999996</v>
      </c>
      <c r="D30" t="s">
        <v>3347</v>
      </c>
      <c r="E30" t="s">
        <v>3347</v>
      </c>
      <c r="F30" t="s">
        <v>3347</v>
      </c>
      <c r="G30">
        <v>2032</v>
      </c>
      <c r="H30" t="s">
        <v>4047</v>
      </c>
      <c r="I30" t="s">
        <v>4047</v>
      </c>
      <c r="J30" t="s">
        <v>4047</v>
      </c>
      <c r="K30" t="s">
        <v>4047</v>
      </c>
      <c r="L30">
        <v>2035</v>
      </c>
      <c r="M30" t="s">
        <v>4049</v>
      </c>
      <c r="N30" t="s">
        <v>4049</v>
      </c>
      <c r="O30" t="s">
        <v>4049</v>
      </c>
      <c r="P30" t="s">
        <v>4049</v>
      </c>
    </row>
    <row r="31" spans="1:16" x14ac:dyDescent="0.25">
      <c r="A31" t="s">
        <v>872</v>
      </c>
      <c r="B31">
        <v>2021</v>
      </c>
      <c r="C31">
        <v>0.59</v>
      </c>
      <c r="D31">
        <v>5.17</v>
      </c>
      <c r="E31" t="s">
        <v>3347</v>
      </c>
      <c r="F31">
        <v>7.79</v>
      </c>
      <c r="G31">
        <v>2025</v>
      </c>
      <c r="H31">
        <v>0.14000000000000001</v>
      </c>
      <c r="I31">
        <v>5.05</v>
      </c>
      <c r="J31">
        <v>9.56</v>
      </c>
      <c r="K31">
        <v>23.58</v>
      </c>
      <c r="L31">
        <v>2027</v>
      </c>
      <c r="M31" t="s">
        <v>4046</v>
      </c>
      <c r="N31" t="s">
        <v>4046</v>
      </c>
      <c r="O31" t="s">
        <v>4046</v>
      </c>
      <c r="P31" t="s">
        <v>4046</v>
      </c>
    </row>
    <row r="32" spans="1:16" x14ac:dyDescent="0.25">
      <c r="A32" t="s">
        <v>1300</v>
      </c>
      <c r="B32">
        <v>2025</v>
      </c>
      <c r="C32">
        <v>0.6</v>
      </c>
      <c r="D32" t="s">
        <v>3347</v>
      </c>
      <c r="E32" t="s">
        <v>3347</v>
      </c>
      <c r="F32" t="s">
        <v>3347</v>
      </c>
      <c r="G32">
        <v>2031</v>
      </c>
      <c r="H32" t="s">
        <v>4045</v>
      </c>
      <c r="I32" t="s">
        <v>4045</v>
      </c>
      <c r="J32" t="s">
        <v>4045</v>
      </c>
      <c r="K32" t="s">
        <v>4045</v>
      </c>
      <c r="L32">
        <v>2034</v>
      </c>
      <c r="M32" t="s">
        <v>4050</v>
      </c>
      <c r="N32" t="s">
        <v>4050</v>
      </c>
      <c r="O32" t="s">
        <v>4050</v>
      </c>
      <c r="P32" t="s">
        <v>4050</v>
      </c>
    </row>
    <row r="33" spans="1:16" x14ac:dyDescent="0.25">
      <c r="A33" t="s">
        <v>1160</v>
      </c>
      <c r="B33">
        <v>2021</v>
      </c>
      <c r="C33">
        <v>0.61</v>
      </c>
      <c r="D33" t="s">
        <v>3347</v>
      </c>
      <c r="E33" t="s">
        <v>3347</v>
      </c>
      <c r="F33" t="s">
        <v>3347</v>
      </c>
      <c r="G33">
        <v>2025</v>
      </c>
      <c r="H33">
        <v>0.87</v>
      </c>
      <c r="I33">
        <v>2</v>
      </c>
      <c r="J33">
        <v>7.26</v>
      </c>
      <c r="K33">
        <v>2.89</v>
      </c>
      <c r="L33">
        <v>2032</v>
      </c>
      <c r="M33" t="s">
        <v>4047</v>
      </c>
      <c r="N33" t="s">
        <v>4047</v>
      </c>
      <c r="O33" t="s">
        <v>4047</v>
      </c>
      <c r="P33" t="s">
        <v>4047</v>
      </c>
    </row>
    <row r="34" spans="1:16" x14ac:dyDescent="0.25">
      <c r="A34" t="s">
        <v>1156</v>
      </c>
      <c r="B34">
        <v>2021</v>
      </c>
      <c r="C34">
        <v>0.61</v>
      </c>
      <c r="D34" t="s">
        <v>3347</v>
      </c>
      <c r="E34" t="s">
        <v>3347</v>
      </c>
      <c r="F34" t="s">
        <v>3347</v>
      </c>
      <c r="G34">
        <v>2025</v>
      </c>
      <c r="H34">
        <v>0.8</v>
      </c>
      <c r="I34">
        <v>2.2999999999999998</v>
      </c>
      <c r="J34">
        <v>10.1</v>
      </c>
      <c r="K34">
        <v>2.77</v>
      </c>
      <c r="L34">
        <v>2032</v>
      </c>
      <c r="M34" t="s">
        <v>4047</v>
      </c>
      <c r="N34" t="s">
        <v>4047</v>
      </c>
      <c r="O34" t="s">
        <v>4047</v>
      </c>
      <c r="P34" t="s">
        <v>4047</v>
      </c>
    </row>
    <row r="35" spans="1:16" x14ac:dyDescent="0.25">
      <c r="A35" t="s">
        <v>1049</v>
      </c>
      <c r="B35">
        <v>2024</v>
      </c>
      <c r="C35">
        <v>0.61</v>
      </c>
      <c r="D35">
        <v>4.9800000000000004</v>
      </c>
      <c r="E35">
        <v>11.92</v>
      </c>
      <c r="F35">
        <v>8.65</v>
      </c>
      <c r="G35">
        <v>2028</v>
      </c>
      <c r="H35" t="s">
        <v>4042</v>
      </c>
      <c r="I35" t="s">
        <v>4042</v>
      </c>
      <c r="J35" t="s">
        <v>4042</v>
      </c>
      <c r="K35" t="s">
        <v>4042</v>
      </c>
      <c r="L35">
        <v>2031</v>
      </c>
      <c r="M35" t="s">
        <v>4045</v>
      </c>
      <c r="N35" t="s">
        <v>4045</v>
      </c>
      <c r="O35" t="s">
        <v>4045</v>
      </c>
      <c r="P35" t="s">
        <v>4045</v>
      </c>
    </row>
    <row r="36" spans="1:16" x14ac:dyDescent="0.25">
      <c r="A36" t="s">
        <v>278</v>
      </c>
      <c r="B36">
        <v>2021</v>
      </c>
      <c r="C36">
        <v>0.62</v>
      </c>
      <c r="D36">
        <v>0.61</v>
      </c>
      <c r="E36" t="s">
        <v>3347</v>
      </c>
      <c r="F36">
        <v>15.44</v>
      </c>
      <c r="G36">
        <v>2022</v>
      </c>
      <c r="H36">
        <v>0.59</v>
      </c>
      <c r="I36">
        <v>1.49</v>
      </c>
      <c r="J36">
        <v>1.5</v>
      </c>
      <c r="K36">
        <v>1.49</v>
      </c>
      <c r="L36">
        <v>2030</v>
      </c>
      <c r="M36" t="s">
        <v>4044</v>
      </c>
      <c r="N36" t="s">
        <v>4044</v>
      </c>
      <c r="O36" t="s">
        <v>4044</v>
      </c>
      <c r="P36" t="s">
        <v>4044</v>
      </c>
    </row>
    <row r="37" spans="1:16" x14ac:dyDescent="0.25">
      <c r="A37" t="s">
        <v>541</v>
      </c>
      <c r="B37">
        <v>2021</v>
      </c>
      <c r="C37">
        <v>0.63</v>
      </c>
      <c r="D37">
        <v>0.42</v>
      </c>
      <c r="E37" t="s">
        <v>3347</v>
      </c>
      <c r="F37">
        <v>11.42</v>
      </c>
      <c r="G37">
        <v>2028</v>
      </c>
      <c r="H37" t="s">
        <v>4042</v>
      </c>
      <c r="I37" t="s">
        <v>4042</v>
      </c>
      <c r="J37" t="s">
        <v>4042</v>
      </c>
      <c r="K37" t="s">
        <v>4042</v>
      </c>
      <c r="L37">
        <v>2031</v>
      </c>
      <c r="M37" t="s">
        <v>4045</v>
      </c>
      <c r="N37" t="s">
        <v>4045</v>
      </c>
      <c r="O37" t="s">
        <v>4045</v>
      </c>
      <c r="P37" t="s">
        <v>4045</v>
      </c>
    </row>
    <row r="38" spans="1:16" x14ac:dyDescent="0.25">
      <c r="A38" t="s">
        <v>921</v>
      </c>
      <c r="B38">
        <v>2021</v>
      </c>
      <c r="C38">
        <v>0.63</v>
      </c>
      <c r="D38">
        <v>5.53</v>
      </c>
      <c r="E38">
        <v>12</v>
      </c>
      <c r="F38">
        <v>11.23</v>
      </c>
      <c r="G38">
        <v>2025</v>
      </c>
      <c r="H38">
        <v>1</v>
      </c>
      <c r="I38">
        <v>9.1300000000000008</v>
      </c>
      <c r="J38">
        <v>11.9</v>
      </c>
      <c r="K38">
        <v>144.85</v>
      </c>
      <c r="L38">
        <v>2029</v>
      </c>
      <c r="M38" t="s">
        <v>4043</v>
      </c>
      <c r="N38" t="s">
        <v>4043</v>
      </c>
      <c r="O38" t="s">
        <v>4043</v>
      </c>
      <c r="P38" t="s">
        <v>4043</v>
      </c>
    </row>
    <row r="39" spans="1:16" x14ac:dyDescent="0.25">
      <c r="A39" t="s">
        <v>1046</v>
      </c>
      <c r="B39">
        <v>2024</v>
      </c>
      <c r="C39">
        <v>0.65</v>
      </c>
      <c r="D39">
        <v>3.64</v>
      </c>
      <c r="E39">
        <v>11.61</v>
      </c>
      <c r="F39">
        <v>2.91</v>
      </c>
      <c r="G39">
        <v>2028</v>
      </c>
      <c r="H39" t="s">
        <v>4042</v>
      </c>
      <c r="I39" t="s">
        <v>4042</v>
      </c>
      <c r="J39" t="s">
        <v>4042</v>
      </c>
      <c r="K39" t="s">
        <v>4042</v>
      </c>
      <c r="L39">
        <v>2031</v>
      </c>
      <c r="M39" t="s">
        <v>4045</v>
      </c>
      <c r="N39" t="s">
        <v>4045</v>
      </c>
      <c r="O39" t="s">
        <v>4045</v>
      </c>
      <c r="P39" t="s">
        <v>4045</v>
      </c>
    </row>
    <row r="40" spans="1:16" x14ac:dyDescent="0.25">
      <c r="A40" t="s">
        <v>617</v>
      </c>
      <c r="B40">
        <v>2024</v>
      </c>
      <c r="C40">
        <v>0.66</v>
      </c>
      <c r="D40" t="s">
        <v>3347</v>
      </c>
      <c r="E40" t="s">
        <v>3347</v>
      </c>
      <c r="F40" t="s">
        <v>3347</v>
      </c>
      <c r="G40">
        <v>2030</v>
      </c>
      <c r="H40" t="s">
        <v>4044</v>
      </c>
      <c r="I40" t="s">
        <v>4044</v>
      </c>
      <c r="J40" t="s">
        <v>4044</v>
      </c>
      <c r="K40" t="s">
        <v>4044</v>
      </c>
      <c r="L40">
        <v>2033</v>
      </c>
      <c r="M40" t="s">
        <v>4048</v>
      </c>
      <c r="N40" t="s">
        <v>4048</v>
      </c>
      <c r="O40" t="s">
        <v>4048</v>
      </c>
      <c r="P40" t="s">
        <v>4048</v>
      </c>
    </row>
    <row r="41" spans="1:16" x14ac:dyDescent="0.25">
      <c r="A41" t="s">
        <v>471</v>
      </c>
      <c r="B41">
        <v>2021</v>
      </c>
      <c r="C41">
        <v>0.66</v>
      </c>
      <c r="D41">
        <v>0.5</v>
      </c>
      <c r="E41" t="s">
        <v>3347</v>
      </c>
      <c r="F41">
        <v>3.11</v>
      </c>
      <c r="G41">
        <v>2024</v>
      </c>
      <c r="H41">
        <v>0.95</v>
      </c>
      <c r="I41">
        <v>3.17</v>
      </c>
      <c r="J41">
        <v>9.84</v>
      </c>
      <c r="K41">
        <v>1.45</v>
      </c>
      <c r="L41">
        <v>2025</v>
      </c>
      <c r="M41">
        <v>0.8</v>
      </c>
      <c r="N41">
        <v>3.08</v>
      </c>
      <c r="O41">
        <v>11.75</v>
      </c>
      <c r="P41">
        <v>1.99</v>
      </c>
    </row>
    <row r="42" spans="1:16" x14ac:dyDescent="0.25">
      <c r="A42" t="s">
        <v>213</v>
      </c>
      <c r="B42">
        <v>2024</v>
      </c>
      <c r="C42">
        <v>0.67</v>
      </c>
      <c r="D42">
        <v>3.92</v>
      </c>
      <c r="E42">
        <v>9.4700000000000006</v>
      </c>
      <c r="F42">
        <v>3.18</v>
      </c>
      <c r="G42">
        <v>2028</v>
      </c>
      <c r="H42" t="s">
        <v>4042</v>
      </c>
      <c r="I42" t="s">
        <v>4042</v>
      </c>
      <c r="J42" t="s">
        <v>4042</v>
      </c>
      <c r="K42" t="s">
        <v>4042</v>
      </c>
      <c r="L42">
        <v>2031</v>
      </c>
      <c r="M42" t="s">
        <v>4045</v>
      </c>
      <c r="N42" t="s">
        <v>4045</v>
      </c>
      <c r="O42" t="s">
        <v>4045</v>
      </c>
      <c r="P42" t="s">
        <v>4045</v>
      </c>
    </row>
    <row r="43" spans="1:16" x14ac:dyDescent="0.25">
      <c r="A43" t="s">
        <v>450</v>
      </c>
      <c r="B43">
        <v>2021</v>
      </c>
      <c r="C43">
        <v>0.68</v>
      </c>
      <c r="D43">
        <v>0.42</v>
      </c>
      <c r="E43" t="s">
        <v>3347</v>
      </c>
      <c r="F43">
        <v>2.19</v>
      </c>
      <c r="G43">
        <v>2028</v>
      </c>
      <c r="H43" t="s">
        <v>4042</v>
      </c>
      <c r="I43" t="s">
        <v>4042</v>
      </c>
      <c r="J43" t="s">
        <v>4042</v>
      </c>
      <c r="K43" t="s">
        <v>4042</v>
      </c>
      <c r="L43">
        <v>2031</v>
      </c>
      <c r="M43" t="s">
        <v>4045</v>
      </c>
      <c r="N43" t="s">
        <v>4045</v>
      </c>
      <c r="O43" t="s">
        <v>4045</v>
      </c>
      <c r="P43" t="s">
        <v>4045</v>
      </c>
    </row>
    <row r="44" spans="1:16" x14ac:dyDescent="0.25">
      <c r="A44" t="s">
        <v>149</v>
      </c>
      <c r="B44">
        <v>2024</v>
      </c>
      <c r="C44">
        <v>0.7</v>
      </c>
      <c r="D44">
        <v>3.49</v>
      </c>
      <c r="E44">
        <v>16.27</v>
      </c>
      <c r="F44">
        <v>1.1200000000000001</v>
      </c>
      <c r="G44">
        <v>2028</v>
      </c>
      <c r="H44" t="s">
        <v>4042</v>
      </c>
      <c r="I44" t="s">
        <v>4042</v>
      </c>
      <c r="J44" t="s">
        <v>4042</v>
      </c>
      <c r="K44" t="s">
        <v>4042</v>
      </c>
      <c r="L44">
        <v>2031</v>
      </c>
      <c r="M44" t="s">
        <v>4045</v>
      </c>
      <c r="N44" t="s">
        <v>4045</v>
      </c>
      <c r="O44" t="s">
        <v>4045</v>
      </c>
      <c r="P44" t="s">
        <v>4045</v>
      </c>
    </row>
    <row r="45" spans="1:16" x14ac:dyDescent="0.25">
      <c r="A45" t="s">
        <v>218</v>
      </c>
      <c r="B45">
        <v>2024</v>
      </c>
      <c r="C45">
        <v>0.71</v>
      </c>
      <c r="D45">
        <v>3.02</v>
      </c>
      <c r="E45">
        <v>9.1999999999999993</v>
      </c>
      <c r="F45">
        <v>1.22</v>
      </c>
      <c r="G45">
        <v>2028</v>
      </c>
      <c r="H45" t="s">
        <v>4042</v>
      </c>
      <c r="I45" t="s">
        <v>4042</v>
      </c>
      <c r="J45" t="s">
        <v>4042</v>
      </c>
      <c r="K45" t="s">
        <v>4042</v>
      </c>
      <c r="L45">
        <v>2031</v>
      </c>
      <c r="M45" t="s">
        <v>4045</v>
      </c>
      <c r="N45" t="s">
        <v>4045</v>
      </c>
      <c r="O45" t="s">
        <v>4045</v>
      </c>
      <c r="P45" t="s">
        <v>4045</v>
      </c>
    </row>
    <row r="46" spans="1:16" x14ac:dyDescent="0.25">
      <c r="A46" t="s">
        <v>658</v>
      </c>
      <c r="B46">
        <v>2025</v>
      </c>
      <c r="C46">
        <v>0.71</v>
      </c>
      <c r="D46">
        <v>3.67</v>
      </c>
      <c r="E46" t="s">
        <v>3347</v>
      </c>
      <c r="F46">
        <v>2.16</v>
      </c>
      <c r="G46">
        <v>2031</v>
      </c>
      <c r="H46" t="s">
        <v>4045</v>
      </c>
      <c r="I46" t="s">
        <v>4045</v>
      </c>
      <c r="J46" t="s">
        <v>4045</v>
      </c>
      <c r="K46" t="s">
        <v>4045</v>
      </c>
      <c r="L46">
        <v>2034</v>
      </c>
      <c r="M46" t="s">
        <v>4050</v>
      </c>
      <c r="N46" t="s">
        <v>4050</v>
      </c>
      <c r="O46" t="s">
        <v>4050</v>
      </c>
      <c r="P46" t="s">
        <v>4050</v>
      </c>
    </row>
    <row r="47" spans="1:16" x14ac:dyDescent="0.25">
      <c r="A47" t="s">
        <v>505</v>
      </c>
      <c r="B47">
        <v>2024</v>
      </c>
      <c r="C47">
        <v>0.72</v>
      </c>
      <c r="D47">
        <v>2.02</v>
      </c>
      <c r="E47" t="s">
        <v>3347</v>
      </c>
      <c r="F47">
        <v>2.35</v>
      </c>
      <c r="G47">
        <v>2025</v>
      </c>
      <c r="H47">
        <v>0.77</v>
      </c>
      <c r="I47">
        <v>3.1</v>
      </c>
      <c r="J47">
        <v>10.3</v>
      </c>
      <c r="K47">
        <v>1.6</v>
      </c>
      <c r="L47">
        <v>2034</v>
      </c>
      <c r="M47" t="s">
        <v>4050</v>
      </c>
      <c r="N47" t="s">
        <v>4050</v>
      </c>
      <c r="O47" t="s">
        <v>4050</v>
      </c>
      <c r="P47" t="s">
        <v>4050</v>
      </c>
    </row>
    <row r="48" spans="1:16" x14ac:dyDescent="0.25">
      <c r="A48" t="s">
        <v>1278</v>
      </c>
      <c r="B48">
        <v>2025</v>
      </c>
      <c r="C48">
        <v>0.72</v>
      </c>
      <c r="D48" t="s">
        <v>3347</v>
      </c>
      <c r="E48" t="s">
        <v>3347</v>
      </c>
      <c r="F48" t="s">
        <v>3347</v>
      </c>
      <c r="G48">
        <v>2031</v>
      </c>
      <c r="H48" t="s">
        <v>4045</v>
      </c>
      <c r="I48" t="s">
        <v>4045</v>
      </c>
      <c r="J48" t="s">
        <v>4045</v>
      </c>
      <c r="K48" t="s">
        <v>4045</v>
      </c>
      <c r="L48">
        <v>2034</v>
      </c>
      <c r="M48" t="s">
        <v>4050</v>
      </c>
      <c r="N48" t="s">
        <v>4050</v>
      </c>
      <c r="O48" t="s">
        <v>4050</v>
      </c>
      <c r="P48" t="s">
        <v>4050</v>
      </c>
    </row>
    <row r="49" spans="1:16" x14ac:dyDescent="0.25">
      <c r="A49" t="s">
        <v>1198</v>
      </c>
      <c r="B49">
        <v>2021</v>
      </c>
      <c r="C49">
        <v>0.72</v>
      </c>
      <c r="D49" t="s">
        <v>3347</v>
      </c>
      <c r="E49" t="s">
        <v>3347</v>
      </c>
      <c r="F49" t="s">
        <v>3347</v>
      </c>
      <c r="G49">
        <v>2024</v>
      </c>
      <c r="H49">
        <v>0.75</v>
      </c>
      <c r="I49">
        <v>1.46</v>
      </c>
      <c r="J49" t="s">
        <v>3347</v>
      </c>
      <c r="K49">
        <v>3.93</v>
      </c>
      <c r="L49">
        <v>2025</v>
      </c>
      <c r="M49">
        <v>0.54</v>
      </c>
      <c r="N49">
        <v>1.33</v>
      </c>
      <c r="O49">
        <v>3.9</v>
      </c>
      <c r="P49">
        <v>2.37</v>
      </c>
    </row>
    <row r="50" spans="1:16" x14ac:dyDescent="0.25">
      <c r="A50" t="s">
        <v>1117</v>
      </c>
      <c r="B50">
        <v>2021</v>
      </c>
      <c r="C50">
        <v>0.73</v>
      </c>
      <c r="D50" t="s">
        <v>3347</v>
      </c>
      <c r="E50" t="s">
        <v>3347</v>
      </c>
      <c r="F50" t="s">
        <v>3347</v>
      </c>
      <c r="G50">
        <v>2029</v>
      </c>
      <c r="H50" t="s">
        <v>4043</v>
      </c>
      <c r="I50" t="s">
        <v>4043</v>
      </c>
      <c r="J50" t="s">
        <v>4043</v>
      </c>
      <c r="K50" t="s">
        <v>4043</v>
      </c>
      <c r="L50">
        <v>2032</v>
      </c>
      <c r="M50" t="s">
        <v>4047</v>
      </c>
      <c r="N50" t="s">
        <v>4047</v>
      </c>
      <c r="O50" t="s">
        <v>4047</v>
      </c>
      <c r="P50" t="s">
        <v>4047</v>
      </c>
    </row>
    <row r="51" spans="1:16" x14ac:dyDescent="0.25">
      <c r="A51" t="s">
        <v>1168</v>
      </c>
      <c r="B51">
        <v>2021</v>
      </c>
      <c r="C51">
        <v>0.73</v>
      </c>
      <c r="D51" t="s">
        <v>3347</v>
      </c>
      <c r="E51" t="s">
        <v>3347</v>
      </c>
      <c r="F51" t="s">
        <v>3347</v>
      </c>
      <c r="G51">
        <v>2025</v>
      </c>
      <c r="H51">
        <v>0.96</v>
      </c>
      <c r="I51">
        <v>2.91</v>
      </c>
      <c r="J51">
        <v>6.88</v>
      </c>
      <c r="K51">
        <v>2.08</v>
      </c>
      <c r="L51">
        <v>2032</v>
      </c>
      <c r="M51" t="s">
        <v>4047</v>
      </c>
      <c r="N51" t="s">
        <v>4047</v>
      </c>
      <c r="O51" t="s">
        <v>4047</v>
      </c>
      <c r="P51" t="s">
        <v>4047</v>
      </c>
    </row>
    <row r="52" spans="1:16" x14ac:dyDescent="0.25">
      <c r="A52" t="s">
        <v>1327</v>
      </c>
      <c r="B52">
        <v>2025</v>
      </c>
      <c r="C52">
        <v>0.73</v>
      </c>
      <c r="D52" t="s">
        <v>3347</v>
      </c>
      <c r="E52" t="s">
        <v>3347</v>
      </c>
      <c r="F52" t="s">
        <v>3347</v>
      </c>
      <c r="G52">
        <v>2032</v>
      </c>
      <c r="H52" t="s">
        <v>4047</v>
      </c>
      <c r="I52" t="s">
        <v>4047</v>
      </c>
      <c r="J52" t="s">
        <v>4047</v>
      </c>
      <c r="K52" t="s">
        <v>4047</v>
      </c>
      <c r="L52">
        <v>2035</v>
      </c>
      <c r="M52" t="s">
        <v>4049</v>
      </c>
      <c r="N52" t="s">
        <v>4049</v>
      </c>
      <c r="O52" t="s">
        <v>4049</v>
      </c>
      <c r="P52" t="s">
        <v>4049</v>
      </c>
    </row>
    <row r="53" spans="1:16" x14ac:dyDescent="0.25">
      <c r="A53" t="s">
        <v>456</v>
      </c>
      <c r="B53">
        <v>2025</v>
      </c>
      <c r="C53">
        <v>0.74</v>
      </c>
      <c r="D53">
        <v>1.1000000000000001</v>
      </c>
      <c r="E53">
        <v>13.12</v>
      </c>
      <c r="F53">
        <v>3.34</v>
      </c>
      <c r="G53">
        <v>2029</v>
      </c>
      <c r="H53" t="s">
        <v>4043</v>
      </c>
      <c r="I53" t="s">
        <v>4043</v>
      </c>
      <c r="J53" t="s">
        <v>4043</v>
      </c>
      <c r="K53" t="s">
        <v>4043</v>
      </c>
      <c r="L53">
        <v>2032</v>
      </c>
      <c r="M53" t="s">
        <v>4047</v>
      </c>
      <c r="N53" t="s">
        <v>4047</v>
      </c>
      <c r="O53" t="s">
        <v>4047</v>
      </c>
      <c r="P53" t="s">
        <v>4047</v>
      </c>
    </row>
    <row r="54" spans="1:16" x14ac:dyDescent="0.25">
      <c r="A54" t="s">
        <v>1133</v>
      </c>
      <c r="B54">
        <v>2021</v>
      </c>
      <c r="C54">
        <v>0.74</v>
      </c>
      <c r="D54" t="s">
        <v>3347</v>
      </c>
      <c r="E54" t="s">
        <v>3347</v>
      </c>
      <c r="F54" t="s">
        <v>3347</v>
      </c>
      <c r="G54">
        <v>2022</v>
      </c>
      <c r="H54">
        <v>0.93</v>
      </c>
      <c r="I54" t="s">
        <v>3347</v>
      </c>
      <c r="J54" t="s">
        <v>3347</v>
      </c>
      <c r="K54" t="s">
        <v>3347</v>
      </c>
      <c r="L54">
        <v>2025</v>
      </c>
      <c r="M54">
        <v>0.98</v>
      </c>
      <c r="N54">
        <v>3.62</v>
      </c>
      <c r="O54">
        <v>8.0500000000000007</v>
      </c>
      <c r="P54">
        <v>3.45</v>
      </c>
    </row>
    <row r="55" spans="1:16" x14ac:dyDescent="0.25">
      <c r="A55" t="s">
        <v>473</v>
      </c>
      <c r="B55">
        <v>2025</v>
      </c>
      <c r="C55">
        <v>0.75</v>
      </c>
      <c r="D55">
        <v>1.33</v>
      </c>
      <c r="E55">
        <v>12.37</v>
      </c>
      <c r="F55">
        <v>3.28</v>
      </c>
      <c r="G55">
        <v>2029</v>
      </c>
      <c r="H55" t="s">
        <v>4043</v>
      </c>
      <c r="I55" t="s">
        <v>4043</v>
      </c>
      <c r="J55" t="s">
        <v>4043</v>
      </c>
      <c r="K55" t="s">
        <v>4043</v>
      </c>
      <c r="L55">
        <v>2032</v>
      </c>
      <c r="M55" t="s">
        <v>4047</v>
      </c>
      <c r="N55" t="s">
        <v>4047</v>
      </c>
      <c r="O55" t="s">
        <v>4047</v>
      </c>
      <c r="P55" t="s">
        <v>4047</v>
      </c>
    </row>
    <row r="56" spans="1:16" x14ac:dyDescent="0.25">
      <c r="A56" t="s">
        <v>1241</v>
      </c>
      <c r="B56">
        <v>2022</v>
      </c>
      <c r="C56">
        <v>0.75</v>
      </c>
      <c r="D56" t="s">
        <v>3347</v>
      </c>
      <c r="E56" t="s">
        <v>3347</v>
      </c>
      <c r="F56" t="s">
        <v>3347</v>
      </c>
      <c r="G56">
        <v>2030</v>
      </c>
      <c r="H56" t="s">
        <v>4044</v>
      </c>
      <c r="I56" t="s">
        <v>4044</v>
      </c>
      <c r="J56" t="s">
        <v>4044</v>
      </c>
      <c r="K56" t="s">
        <v>4044</v>
      </c>
      <c r="L56">
        <v>2033</v>
      </c>
      <c r="M56" t="s">
        <v>4048</v>
      </c>
      <c r="N56" t="s">
        <v>4048</v>
      </c>
      <c r="O56" t="s">
        <v>4048</v>
      </c>
      <c r="P56" t="s">
        <v>4048</v>
      </c>
    </row>
    <row r="57" spans="1:16" x14ac:dyDescent="0.25">
      <c r="A57" t="s">
        <v>1175</v>
      </c>
      <c r="B57">
        <v>2021</v>
      </c>
      <c r="C57">
        <v>0.75</v>
      </c>
      <c r="D57" t="s">
        <v>3347</v>
      </c>
      <c r="E57" t="s">
        <v>3347</v>
      </c>
      <c r="F57" t="s">
        <v>3347</v>
      </c>
      <c r="G57">
        <v>2025</v>
      </c>
      <c r="H57">
        <v>0.87</v>
      </c>
      <c r="I57">
        <v>2.62</v>
      </c>
      <c r="J57">
        <v>11.83</v>
      </c>
      <c r="K57">
        <v>5.2</v>
      </c>
      <c r="L57">
        <v>2032</v>
      </c>
      <c r="M57" t="s">
        <v>4047</v>
      </c>
      <c r="N57" t="s">
        <v>4047</v>
      </c>
      <c r="O57" t="s">
        <v>4047</v>
      </c>
      <c r="P57" t="s">
        <v>4047</v>
      </c>
    </row>
    <row r="58" spans="1:16" x14ac:dyDescent="0.25">
      <c r="A58" t="s">
        <v>563</v>
      </c>
      <c r="B58">
        <v>2021</v>
      </c>
      <c r="C58">
        <v>0.76</v>
      </c>
      <c r="D58">
        <v>0.4</v>
      </c>
      <c r="E58" t="s">
        <v>3347</v>
      </c>
      <c r="F58">
        <v>8.0399999999999991</v>
      </c>
      <c r="G58">
        <v>2028</v>
      </c>
      <c r="H58" t="s">
        <v>4042</v>
      </c>
      <c r="I58" t="s">
        <v>4042</v>
      </c>
      <c r="J58" t="s">
        <v>4042</v>
      </c>
      <c r="K58" t="s">
        <v>4042</v>
      </c>
      <c r="L58">
        <v>2031</v>
      </c>
      <c r="M58" t="s">
        <v>4045</v>
      </c>
      <c r="N58" t="s">
        <v>4045</v>
      </c>
      <c r="O58" t="s">
        <v>4045</v>
      </c>
      <c r="P58" t="s">
        <v>4045</v>
      </c>
    </row>
    <row r="59" spans="1:16" x14ac:dyDescent="0.25">
      <c r="A59" t="s">
        <v>530</v>
      </c>
      <c r="B59">
        <v>2022</v>
      </c>
      <c r="C59">
        <v>0.76</v>
      </c>
      <c r="D59">
        <v>0</v>
      </c>
      <c r="E59">
        <v>0</v>
      </c>
      <c r="F59">
        <v>3.72</v>
      </c>
      <c r="G59">
        <v>2029</v>
      </c>
      <c r="H59" t="s">
        <v>4043</v>
      </c>
      <c r="I59" t="s">
        <v>4043</v>
      </c>
      <c r="J59" t="s">
        <v>4043</v>
      </c>
      <c r="K59" t="s">
        <v>4043</v>
      </c>
      <c r="L59">
        <v>2032</v>
      </c>
      <c r="M59" t="s">
        <v>4047</v>
      </c>
      <c r="N59" t="s">
        <v>4047</v>
      </c>
      <c r="O59" t="s">
        <v>4047</v>
      </c>
      <c r="P59" t="s">
        <v>4047</v>
      </c>
    </row>
    <row r="60" spans="1:16" x14ac:dyDescent="0.25">
      <c r="A60" t="s">
        <v>1056</v>
      </c>
      <c r="B60">
        <v>2024</v>
      </c>
      <c r="C60">
        <v>0.77</v>
      </c>
      <c r="D60">
        <v>3.52</v>
      </c>
      <c r="E60">
        <v>12.95</v>
      </c>
      <c r="F60">
        <v>2.88</v>
      </c>
      <c r="G60">
        <v>2028</v>
      </c>
      <c r="H60" t="s">
        <v>4042</v>
      </c>
      <c r="I60" t="s">
        <v>4042</v>
      </c>
      <c r="J60" t="s">
        <v>4042</v>
      </c>
      <c r="K60" t="s">
        <v>4042</v>
      </c>
      <c r="L60">
        <v>2031</v>
      </c>
      <c r="M60" t="s">
        <v>4045</v>
      </c>
      <c r="N60" t="s">
        <v>4045</v>
      </c>
      <c r="O60" t="s">
        <v>4045</v>
      </c>
      <c r="P60" t="s">
        <v>4045</v>
      </c>
    </row>
    <row r="61" spans="1:16" x14ac:dyDescent="0.25">
      <c r="A61" t="s">
        <v>647</v>
      </c>
      <c r="B61">
        <v>2025</v>
      </c>
      <c r="C61">
        <v>0.77</v>
      </c>
      <c r="D61">
        <v>1.6</v>
      </c>
      <c r="E61" t="s">
        <v>3347</v>
      </c>
      <c r="F61">
        <v>3.46</v>
      </c>
      <c r="G61">
        <v>2031</v>
      </c>
      <c r="H61" t="s">
        <v>4045</v>
      </c>
      <c r="I61" t="s">
        <v>4045</v>
      </c>
      <c r="J61" t="s">
        <v>4045</v>
      </c>
      <c r="K61" t="s">
        <v>4045</v>
      </c>
      <c r="L61">
        <v>2034</v>
      </c>
      <c r="M61" t="s">
        <v>4050</v>
      </c>
      <c r="N61" t="s">
        <v>4050</v>
      </c>
      <c r="O61" t="s">
        <v>4050</v>
      </c>
      <c r="P61" t="s">
        <v>4050</v>
      </c>
    </row>
    <row r="62" spans="1:16" x14ac:dyDescent="0.25">
      <c r="A62" t="s">
        <v>124</v>
      </c>
      <c r="B62">
        <v>2021</v>
      </c>
      <c r="C62">
        <v>0.77</v>
      </c>
      <c r="D62">
        <v>1.17</v>
      </c>
      <c r="E62">
        <v>46.98</v>
      </c>
      <c r="F62">
        <v>27.72</v>
      </c>
      <c r="G62">
        <v>2024</v>
      </c>
      <c r="H62">
        <v>0.88</v>
      </c>
      <c r="I62">
        <v>4.78</v>
      </c>
      <c r="J62">
        <v>13.91</v>
      </c>
      <c r="K62">
        <v>1.69</v>
      </c>
      <c r="L62">
        <v>2031</v>
      </c>
      <c r="M62" t="s">
        <v>4045</v>
      </c>
      <c r="N62" t="s">
        <v>4045</v>
      </c>
      <c r="O62" t="s">
        <v>4045</v>
      </c>
      <c r="P62" t="s">
        <v>4045</v>
      </c>
    </row>
    <row r="63" spans="1:16" x14ac:dyDescent="0.25">
      <c r="A63" t="s">
        <v>1136</v>
      </c>
      <c r="B63">
        <v>2021</v>
      </c>
      <c r="C63">
        <v>0.77</v>
      </c>
      <c r="D63" t="s">
        <v>3347</v>
      </c>
      <c r="E63" t="s">
        <v>3347</v>
      </c>
      <c r="F63" t="s">
        <v>3347</v>
      </c>
      <c r="G63">
        <v>2025</v>
      </c>
      <c r="H63">
        <v>0.51</v>
      </c>
      <c r="I63">
        <v>1.06</v>
      </c>
      <c r="J63">
        <v>3.99</v>
      </c>
      <c r="K63">
        <v>2.2999999999999998</v>
      </c>
      <c r="L63">
        <v>2032</v>
      </c>
      <c r="M63" t="s">
        <v>4047</v>
      </c>
      <c r="N63" t="s">
        <v>4047</v>
      </c>
      <c r="O63" t="s">
        <v>4047</v>
      </c>
      <c r="P63" t="s">
        <v>4047</v>
      </c>
    </row>
    <row r="64" spans="1:16" x14ac:dyDescent="0.25">
      <c r="A64" t="s">
        <v>395</v>
      </c>
      <c r="B64">
        <v>2021</v>
      </c>
      <c r="C64">
        <v>0.78</v>
      </c>
      <c r="D64">
        <v>1.59</v>
      </c>
      <c r="E64" t="s">
        <v>3347</v>
      </c>
      <c r="F64">
        <v>2.7</v>
      </c>
      <c r="G64">
        <v>2022</v>
      </c>
      <c r="H64">
        <v>0.75</v>
      </c>
      <c r="I64">
        <v>1.78</v>
      </c>
      <c r="J64">
        <v>3.94</v>
      </c>
      <c r="K64">
        <v>2.57</v>
      </c>
      <c r="L64">
        <v>2030</v>
      </c>
      <c r="M64" t="s">
        <v>4044</v>
      </c>
      <c r="N64" t="s">
        <v>4044</v>
      </c>
      <c r="O64" t="s">
        <v>4044</v>
      </c>
      <c r="P64" t="s">
        <v>4044</v>
      </c>
    </row>
    <row r="65" spans="1:16" x14ac:dyDescent="0.25">
      <c r="A65" t="s">
        <v>866</v>
      </c>
      <c r="B65">
        <v>2021</v>
      </c>
      <c r="C65">
        <v>0.78</v>
      </c>
      <c r="D65">
        <v>6.03</v>
      </c>
      <c r="E65">
        <v>8.6199999999999992</v>
      </c>
      <c r="F65">
        <v>10.91</v>
      </c>
      <c r="G65">
        <v>2024</v>
      </c>
      <c r="H65">
        <v>0.84</v>
      </c>
      <c r="I65">
        <v>6.55</v>
      </c>
      <c r="J65">
        <v>14.01</v>
      </c>
      <c r="K65">
        <v>15.64</v>
      </c>
      <c r="L65">
        <v>2025</v>
      </c>
      <c r="M65">
        <v>0.87</v>
      </c>
      <c r="N65">
        <v>8.57</v>
      </c>
      <c r="O65">
        <v>8.08</v>
      </c>
      <c r="P65">
        <v>59.26</v>
      </c>
    </row>
    <row r="66" spans="1:16" x14ac:dyDescent="0.25">
      <c r="A66" t="s">
        <v>1079</v>
      </c>
      <c r="B66">
        <v>2024</v>
      </c>
      <c r="C66">
        <v>0.78</v>
      </c>
      <c r="D66">
        <v>1.65</v>
      </c>
      <c r="E66">
        <v>9.43</v>
      </c>
      <c r="F66">
        <v>3.01</v>
      </c>
      <c r="G66">
        <v>2025</v>
      </c>
      <c r="H66">
        <v>0.87</v>
      </c>
      <c r="I66">
        <v>1.86</v>
      </c>
      <c r="J66">
        <v>5.01</v>
      </c>
      <c r="K66">
        <v>3.18</v>
      </c>
      <c r="L66">
        <v>2031</v>
      </c>
      <c r="M66" t="s">
        <v>4045</v>
      </c>
      <c r="N66" t="s">
        <v>4045</v>
      </c>
      <c r="O66" t="s">
        <v>4045</v>
      </c>
      <c r="P66" t="s">
        <v>4045</v>
      </c>
    </row>
    <row r="67" spans="1:16" x14ac:dyDescent="0.25">
      <c r="A67" t="s">
        <v>942</v>
      </c>
      <c r="B67">
        <v>2021</v>
      </c>
      <c r="C67">
        <v>0.78</v>
      </c>
      <c r="D67">
        <v>4.09</v>
      </c>
      <c r="E67" t="s">
        <v>3347</v>
      </c>
      <c r="F67">
        <v>3.3</v>
      </c>
      <c r="G67">
        <v>2025</v>
      </c>
      <c r="H67">
        <v>0.8</v>
      </c>
      <c r="I67">
        <v>6.52</v>
      </c>
      <c r="J67">
        <v>13.11</v>
      </c>
      <c r="K67">
        <v>22.26</v>
      </c>
      <c r="L67">
        <v>2029</v>
      </c>
      <c r="M67" t="s">
        <v>4043</v>
      </c>
      <c r="N67" t="s">
        <v>4043</v>
      </c>
      <c r="O67" t="s">
        <v>4043</v>
      </c>
      <c r="P67" t="s">
        <v>4043</v>
      </c>
    </row>
    <row r="68" spans="1:16" x14ac:dyDescent="0.25">
      <c r="A68" t="s">
        <v>340</v>
      </c>
      <c r="B68">
        <v>2024</v>
      </c>
      <c r="C68">
        <v>0.78</v>
      </c>
      <c r="D68" t="s">
        <v>3347</v>
      </c>
      <c r="E68" t="s">
        <v>3347</v>
      </c>
      <c r="F68" t="s">
        <v>3347</v>
      </c>
      <c r="G68">
        <v>2031</v>
      </c>
      <c r="H68" t="s">
        <v>4045</v>
      </c>
      <c r="I68" t="s">
        <v>4045</v>
      </c>
      <c r="J68" t="s">
        <v>4045</v>
      </c>
      <c r="K68" t="s">
        <v>4045</v>
      </c>
      <c r="L68">
        <v>2034</v>
      </c>
      <c r="M68" t="s">
        <v>4050</v>
      </c>
      <c r="N68" t="s">
        <v>4050</v>
      </c>
      <c r="O68" t="s">
        <v>4050</v>
      </c>
      <c r="P68" t="s">
        <v>4050</v>
      </c>
    </row>
    <row r="69" spans="1:16" x14ac:dyDescent="0.25">
      <c r="A69" t="s">
        <v>575</v>
      </c>
      <c r="B69">
        <v>2022</v>
      </c>
      <c r="C69">
        <v>0.79</v>
      </c>
      <c r="D69">
        <v>0</v>
      </c>
      <c r="E69">
        <v>0</v>
      </c>
      <c r="F69">
        <v>3.33</v>
      </c>
      <c r="G69">
        <v>2029</v>
      </c>
      <c r="H69" t="s">
        <v>4043</v>
      </c>
      <c r="I69" t="s">
        <v>4043</v>
      </c>
      <c r="J69" t="s">
        <v>4043</v>
      </c>
      <c r="K69" t="s">
        <v>4043</v>
      </c>
      <c r="L69">
        <v>2032</v>
      </c>
      <c r="M69" t="s">
        <v>4047</v>
      </c>
      <c r="N69" t="s">
        <v>4047</v>
      </c>
      <c r="O69" t="s">
        <v>4047</v>
      </c>
      <c r="P69" t="s">
        <v>4047</v>
      </c>
    </row>
    <row r="70" spans="1:16" x14ac:dyDescent="0.25">
      <c r="A70" t="s">
        <v>210</v>
      </c>
      <c r="B70">
        <v>2024</v>
      </c>
      <c r="C70">
        <v>0.79</v>
      </c>
      <c r="D70">
        <v>2.81</v>
      </c>
      <c r="E70">
        <v>16.46</v>
      </c>
      <c r="F70">
        <v>1.88</v>
      </c>
      <c r="G70">
        <v>2028</v>
      </c>
      <c r="H70" t="s">
        <v>4042</v>
      </c>
      <c r="I70" t="s">
        <v>4042</v>
      </c>
      <c r="J70" t="s">
        <v>4042</v>
      </c>
      <c r="K70" t="s">
        <v>4042</v>
      </c>
      <c r="L70">
        <v>2031</v>
      </c>
      <c r="M70" t="s">
        <v>4045</v>
      </c>
      <c r="N70" t="s">
        <v>4045</v>
      </c>
      <c r="O70" t="s">
        <v>4045</v>
      </c>
      <c r="P70" t="s">
        <v>4045</v>
      </c>
    </row>
    <row r="71" spans="1:16" x14ac:dyDescent="0.25">
      <c r="A71" t="s">
        <v>636</v>
      </c>
      <c r="B71">
        <v>2025</v>
      </c>
      <c r="C71">
        <v>0.8</v>
      </c>
      <c r="D71">
        <v>0.96</v>
      </c>
      <c r="E71" t="s">
        <v>3347</v>
      </c>
      <c r="F71">
        <v>4.13</v>
      </c>
      <c r="G71">
        <v>2031</v>
      </c>
      <c r="H71" t="s">
        <v>4045</v>
      </c>
      <c r="I71" t="s">
        <v>4045</v>
      </c>
      <c r="J71" t="s">
        <v>4045</v>
      </c>
      <c r="K71" t="s">
        <v>4045</v>
      </c>
      <c r="L71">
        <v>2034</v>
      </c>
      <c r="M71" t="s">
        <v>4050</v>
      </c>
      <c r="N71" t="s">
        <v>4050</v>
      </c>
      <c r="O71" t="s">
        <v>4050</v>
      </c>
      <c r="P71" t="s">
        <v>4050</v>
      </c>
    </row>
    <row r="72" spans="1:16" x14ac:dyDescent="0.25">
      <c r="A72" t="s">
        <v>1304</v>
      </c>
      <c r="B72">
        <v>2025</v>
      </c>
      <c r="C72">
        <v>0.8</v>
      </c>
      <c r="D72" t="s">
        <v>3347</v>
      </c>
      <c r="E72" t="s">
        <v>3347</v>
      </c>
      <c r="F72" t="s">
        <v>3347</v>
      </c>
      <c r="G72">
        <v>2032</v>
      </c>
      <c r="H72" t="s">
        <v>4047</v>
      </c>
      <c r="I72" t="s">
        <v>4047</v>
      </c>
      <c r="J72" t="s">
        <v>4047</v>
      </c>
      <c r="K72" t="s">
        <v>4047</v>
      </c>
      <c r="L72">
        <v>2035</v>
      </c>
      <c r="M72" t="s">
        <v>4049</v>
      </c>
      <c r="N72" t="s">
        <v>4049</v>
      </c>
      <c r="O72" t="s">
        <v>4049</v>
      </c>
      <c r="P72" t="s">
        <v>4049</v>
      </c>
    </row>
    <row r="73" spans="1:16" x14ac:dyDescent="0.25">
      <c r="A73" t="s">
        <v>1152</v>
      </c>
      <c r="B73">
        <v>2021</v>
      </c>
      <c r="C73">
        <v>0.8</v>
      </c>
      <c r="D73" t="s">
        <v>3347</v>
      </c>
      <c r="E73" t="s">
        <v>3347</v>
      </c>
      <c r="F73" t="s">
        <v>3347</v>
      </c>
      <c r="G73">
        <v>2025</v>
      </c>
      <c r="H73">
        <v>0.55000000000000004</v>
      </c>
      <c r="I73">
        <v>2.17</v>
      </c>
      <c r="J73">
        <v>5.21</v>
      </c>
      <c r="K73">
        <v>3.11</v>
      </c>
      <c r="L73">
        <v>2032</v>
      </c>
      <c r="M73" t="s">
        <v>4047</v>
      </c>
      <c r="N73" t="s">
        <v>4047</v>
      </c>
      <c r="O73" t="s">
        <v>4047</v>
      </c>
      <c r="P73" t="s">
        <v>4047</v>
      </c>
    </row>
    <row r="74" spans="1:16" x14ac:dyDescent="0.25">
      <c r="A74" t="s">
        <v>595</v>
      </c>
      <c r="B74">
        <v>2024</v>
      </c>
      <c r="C74">
        <v>0.8</v>
      </c>
      <c r="D74">
        <v>3.14</v>
      </c>
      <c r="E74">
        <v>13.68</v>
      </c>
      <c r="F74">
        <v>0.75</v>
      </c>
      <c r="G74">
        <v>2030</v>
      </c>
      <c r="H74" t="s">
        <v>4044</v>
      </c>
      <c r="I74" t="s">
        <v>4044</v>
      </c>
      <c r="J74" t="s">
        <v>4044</v>
      </c>
      <c r="K74" t="s">
        <v>4044</v>
      </c>
      <c r="L74">
        <v>2033</v>
      </c>
      <c r="M74" t="s">
        <v>4048</v>
      </c>
      <c r="N74" t="s">
        <v>4048</v>
      </c>
      <c r="O74" t="s">
        <v>4048</v>
      </c>
      <c r="P74" t="s">
        <v>4048</v>
      </c>
    </row>
    <row r="75" spans="1:16" x14ac:dyDescent="0.25">
      <c r="A75" t="s">
        <v>228</v>
      </c>
      <c r="B75">
        <v>2024</v>
      </c>
      <c r="C75">
        <v>0.8</v>
      </c>
      <c r="D75">
        <v>4.67</v>
      </c>
      <c r="E75">
        <v>11.19</v>
      </c>
      <c r="F75">
        <v>1.28</v>
      </c>
      <c r="G75">
        <v>2028</v>
      </c>
      <c r="H75" t="s">
        <v>4042</v>
      </c>
      <c r="I75" t="s">
        <v>4042</v>
      </c>
      <c r="J75" t="s">
        <v>4042</v>
      </c>
      <c r="K75" t="s">
        <v>4042</v>
      </c>
      <c r="L75">
        <v>2031</v>
      </c>
      <c r="M75" t="s">
        <v>4045</v>
      </c>
      <c r="N75" t="s">
        <v>4045</v>
      </c>
      <c r="O75" t="s">
        <v>4045</v>
      </c>
      <c r="P75" t="s">
        <v>4045</v>
      </c>
    </row>
    <row r="76" spans="1:16" x14ac:dyDescent="0.25">
      <c r="A76" t="s">
        <v>1220</v>
      </c>
      <c r="B76">
        <v>2021</v>
      </c>
      <c r="C76">
        <v>0.81</v>
      </c>
      <c r="D76" t="s">
        <v>3347</v>
      </c>
      <c r="E76" t="s">
        <v>3347</v>
      </c>
      <c r="F76" t="s">
        <v>3347</v>
      </c>
      <c r="G76">
        <v>2022</v>
      </c>
      <c r="H76">
        <v>0.96</v>
      </c>
      <c r="I76" t="s">
        <v>3347</v>
      </c>
      <c r="J76" t="s">
        <v>3347</v>
      </c>
      <c r="K76" t="s">
        <v>3347</v>
      </c>
      <c r="L76">
        <v>2025</v>
      </c>
      <c r="M76">
        <v>0.71</v>
      </c>
      <c r="N76">
        <v>1.73</v>
      </c>
      <c r="O76">
        <v>5.8</v>
      </c>
      <c r="P76">
        <v>3.45</v>
      </c>
    </row>
    <row r="77" spans="1:16" x14ac:dyDescent="0.25">
      <c r="A77" t="s">
        <v>481</v>
      </c>
      <c r="B77">
        <v>2021</v>
      </c>
      <c r="C77">
        <v>0.81</v>
      </c>
      <c r="D77">
        <v>0.49</v>
      </c>
      <c r="E77" t="s">
        <v>3347</v>
      </c>
      <c r="F77">
        <v>3.05</v>
      </c>
      <c r="G77">
        <v>2022</v>
      </c>
      <c r="H77">
        <v>0.88</v>
      </c>
      <c r="I77">
        <v>0</v>
      </c>
      <c r="J77">
        <v>0</v>
      </c>
      <c r="K77">
        <v>8.08</v>
      </c>
      <c r="L77">
        <v>2025</v>
      </c>
      <c r="M77">
        <v>0.92</v>
      </c>
      <c r="N77">
        <v>5.18</v>
      </c>
      <c r="O77">
        <v>13.47</v>
      </c>
      <c r="P77">
        <v>17.45</v>
      </c>
    </row>
    <row r="78" spans="1:16" x14ac:dyDescent="0.25">
      <c r="A78" t="s">
        <v>477</v>
      </c>
      <c r="B78">
        <v>2024</v>
      </c>
      <c r="C78">
        <v>0.82</v>
      </c>
      <c r="D78">
        <v>1.54</v>
      </c>
      <c r="E78" t="s">
        <v>3347</v>
      </c>
      <c r="F78">
        <v>2.62</v>
      </c>
      <c r="G78">
        <v>2030</v>
      </c>
      <c r="H78" t="s">
        <v>4044</v>
      </c>
      <c r="I78" t="s">
        <v>4044</v>
      </c>
      <c r="J78" t="s">
        <v>4044</v>
      </c>
      <c r="K78" t="s">
        <v>4044</v>
      </c>
      <c r="L78">
        <v>2033</v>
      </c>
      <c r="M78" t="s">
        <v>4048</v>
      </c>
      <c r="N78" t="s">
        <v>4048</v>
      </c>
      <c r="O78" t="s">
        <v>4048</v>
      </c>
      <c r="P78" t="s">
        <v>4048</v>
      </c>
    </row>
    <row r="79" spans="1:16" x14ac:dyDescent="0.25">
      <c r="A79" t="s">
        <v>256</v>
      </c>
      <c r="B79">
        <v>2022</v>
      </c>
      <c r="C79">
        <v>0.82</v>
      </c>
      <c r="D79">
        <v>0</v>
      </c>
      <c r="E79">
        <v>0</v>
      </c>
      <c r="F79">
        <v>1.89</v>
      </c>
      <c r="G79">
        <v>2024</v>
      </c>
      <c r="H79">
        <v>0.88</v>
      </c>
      <c r="I79">
        <v>3.66</v>
      </c>
      <c r="J79">
        <v>18.239999999999998</v>
      </c>
      <c r="K79">
        <v>1.2</v>
      </c>
      <c r="L79">
        <v>2025</v>
      </c>
      <c r="M79">
        <v>0.78</v>
      </c>
      <c r="N79">
        <v>3.71</v>
      </c>
      <c r="O79">
        <v>13.47</v>
      </c>
      <c r="P79">
        <v>1</v>
      </c>
    </row>
    <row r="80" spans="1:16" x14ac:dyDescent="0.25">
      <c r="A80" t="s">
        <v>1202</v>
      </c>
      <c r="B80">
        <v>2021</v>
      </c>
      <c r="C80">
        <v>0.82</v>
      </c>
      <c r="D80" t="s">
        <v>3347</v>
      </c>
      <c r="E80" t="s">
        <v>3347</v>
      </c>
      <c r="F80" t="s">
        <v>3347</v>
      </c>
      <c r="G80">
        <v>2029</v>
      </c>
      <c r="H80" t="s">
        <v>4043</v>
      </c>
      <c r="I80" t="s">
        <v>4043</v>
      </c>
      <c r="J80" t="s">
        <v>4043</v>
      </c>
      <c r="K80" t="s">
        <v>4043</v>
      </c>
      <c r="L80">
        <v>2032</v>
      </c>
      <c r="M80" t="s">
        <v>4047</v>
      </c>
      <c r="N80" t="s">
        <v>4047</v>
      </c>
      <c r="O80" t="s">
        <v>4047</v>
      </c>
      <c r="P80" t="s">
        <v>4047</v>
      </c>
    </row>
    <row r="81" spans="1:16" x14ac:dyDescent="0.25">
      <c r="A81" t="s">
        <v>380</v>
      </c>
      <c r="B81">
        <v>2021</v>
      </c>
      <c r="C81">
        <v>0.82</v>
      </c>
      <c r="D81">
        <v>0.87</v>
      </c>
      <c r="E81" t="s">
        <v>3347</v>
      </c>
      <c r="F81">
        <v>3.78</v>
      </c>
      <c r="G81">
        <v>2022</v>
      </c>
      <c r="H81">
        <v>0.86</v>
      </c>
      <c r="I81">
        <v>1.1599999999999999</v>
      </c>
      <c r="J81">
        <v>0</v>
      </c>
      <c r="K81">
        <v>3.96</v>
      </c>
      <c r="L81">
        <v>2024</v>
      </c>
      <c r="M81">
        <v>1</v>
      </c>
      <c r="N81">
        <v>1.83</v>
      </c>
      <c r="O81" t="s">
        <v>3347</v>
      </c>
      <c r="P81">
        <v>3.52</v>
      </c>
    </row>
    <row r="82" spans="1:16" x14ac:dyDescent="0.25">
      <c r="A82" t="s">
        <v>1232</v>
      </c>
      <c r="B82">
        <v>2021</v>
      </c>
      <c r="C82">
        <v>0.83</v>
      </c>
      <c r="D82" t="s">
        <v>3347</v>
      </c>
      <c r="E82" t="s">
        <v>3347</v>
      </c>
      <c r="F82" t="s">
        <v>3347</v>
      </c>
      <c r="G82">
        <v>2025</v>
      </c>
      <c r="H82">
        <v>0.93</v>
      </c>
      <c r="I82">
        <v>1.89</v>
      </c>
      <c r="J82">
        <v>7.17</v>
      </c>
      <c r="K82">
        <v>2.5</v>
      </c>
      <c r="L82">
        <v>2032</v>
      </c>
      <c r="M82" t="s">
        <v>4047</v>
      </c>
      <c r="N82" t="s">
        <v>4047</v>
      </c>
      <c r="O82" t="s">
        <v>4047</v>
      </c>
      <c r="P82" t="s">
        <v>4047</v>
      </c>
    </row>
    <row r="83" spans="1:16" x14ac:dyDescent="0.25">
      <c r="A83" t="s">
        <v>623</v>
      </c>
      <c r="B83">
        <v>2025</v>
      </c>
      <c r="C83">
        <v>0.83</v>
      </c>
      <c r="D83">
        <v>1.31</v>
      </c>
      <c r="E83" t="s">
        <v>3347</v>
      </c>
      <c r="F83">
        <v>3.89</v>
      </c>
      <c r="G83">
        <v>2031</v>
      </c>
      <c r="H83" t="s">
        <v>4045</v>
      </c>
      <c r="I83" t="s">
        <v>4045</v>
      </c>
      <c r="J83" t="s">
        <v>4045</v>
      </c>
      <c r="K83" t="s">
        <v>4045</v>
      </c>
      <c r="L83">
        <v>2034</v>
      </c>
      <c r="M83" t="s">
        <v>4050</v>
      </c>
      <c r="N83" t="s">
        <v>4050</v>
      </c>
      <c r="O83" t="s">
        <v>4050</v>
      </c>
      <c r="P83" t="s">
        <v>4050</v>
      </c>
    </row>
    <row r="84" spans="1:16" x14ac:dyDescent="0.25">
      <c r="A84" t="s">
        <v>1303</v>
      </c>
      <c r="B84">
        <v>2025</v>
      </c>
      <c r="C84">
        <v>0.84</v>
      </c>
      <c r="D84" t="s">
        <v>3347</v>
      </c>
      <c r="E84" t="s">
        <v>3347</v>
      </c>
      <c r="F84" t="s">
        <v>3347</v>
      </c>
      <c r="G84">
        <v>2032</v>
      </c>
      <c r="H84" t="s">
        <v>4047</v>
      </c>
      <c r="I84" t="s">
        <v>4047</v>
      </c>
      <c r="J84" t="s">
        <v>4047</v>
      </c>
      <c r="K84" t="s">
        <v>4047</v>
      </c>
      <c r="L84">
        <v>2035</v>
      </c>
      <c r="M84" t="s">
        <v>4049</v>
      </c>
      <c r="N84" t="s">
        <v>4049</v>
      </c>
      <c r="O84" t="s">
        <v>4049</v>
      </c>
      <c r="P84" t="s">
        <v>4049</v>
      </c>
    </row>
    <row r="85" spans="1:16" x14ac:dyDescent="0.25">
      <c r="A85" t="s">
        <v>362</v>
      </c>
      <c r="B85">
        <v>2025</v>
      </c>
      <c r="C85">
        <v>0.84</v>
      </c>
      <c r="D85">
        <v>2.91</v>
      </c>
      <c r="E85">
        <v>9.1</v>
      </c>
      <c r="F85">
        <v>1.48</v>
      </c>
      <c r="G85">
        <v>2032</v>
      </c>
      <c r="H85" t="s">
        <v>4047</v>
      </c>
      <c r="I85" t="s">
        <v>4047</v>
      </c>
      <c r="J85" t="s">
        <v>4047</v>
      </c>
      <c r="K85" t="s">
        <v>4047</v>
      </c>
      <c r="L85">
        <v>2035</v>
      </c>
      <c r="M85" t="s">
        <v>4049</v>
      </c>
      <c r="N85" t="s">
        <v>4049</v>
      </c>
      <c r="O85" t="s">
        <v>4049</v>
      </c>
      <c r="P85" t="s">
        <v>4049</v>
      </c>
    </row>
    <row r="86" spans="1:16" x14ac:dyDescent="0.25">
      <c r="A86" t="s">
        <v>504</v>
      </c>
      <c r="B86">
        <v>2024</v>
      </c>
      <c r="C86">
        <v>0.85</v>
      </c>
      <c r="D86" t="s">
        <v>3347</v>
      </c>
      <c r="E86" t="s">
        <v>3347</v>
      </c>
      <c r="F86" t="s">
        <v>3347</v>
      </c>
      <c r="G86">
        <v>2025</v>
      </c>
      <c r="H86">
        <v>0.87</v>
      </c>
      <c r="I86">
        <v>3.29</v>
      </c>
      <c r="J86">
        <v>13.62</v>
      </c>
      <c r="K86">
        <v>1.93</v>
      </c>
      <c r="L86">
        <v>2034</v>
      </c>
      <c r="M86" t="s">
        <v>4050</v>
      </c>
      <c r="N86" t="s">
        <v>4050</v>
      </c>
      <c r="O86" t="s">
        <v>4050</v>
      </c>
      <c r="P86" t="s">
        <v>4050</v>
      </c>
    </row>
    <row r="87" spans="1:16" x14ac:dyDescent="0.25">
      <c r="A87" t="s">
        <v>495</v>
      </c>
      <c r="B87">
        <v>2022</v>
      </c>
      <c r="C87">
        <v>0.85</v>
      </c>
      <c r="D87">
        <v>0</v>
      </c>
      <c r="E87">
        <v>0</v>
      </c>
      <c r="F87">
        <v>3.72</v>
      </c>
      <c r="G87">
        <v>2025</v>
      </c>
      <c r="H87">
        <v>0.79</v>
      </c>
      <c r="I87">
        <v>2.96</v>
      </c>
      <c r="J87">
        <v>16.05</v>
      </c>
      <c r="K87">
        <v>1.74</v>
      </c>
      <c r="L87">
        <v>2032</v>
      </c>
      <c r="M87" t="s">
        <v>4047</v>
      </c>
      <c r="N87" t="s">
        <v>4047</v>
      </c>
      <c r="O87" t="s">
        <v>4047</v>
      </c>
      <c r="P87" t="s">
        <v>4047</v>
      </c>
    </row>
    <row r="88" spans="1:16" x14ac:dyDescent="0.25">
      <c r="A88" t="s">
        <v>922</v>
      </c>
      <c r="B88">
        <v>2021</v>
      </c>
      <c r="C88">
        <v>0.85</v>
      </c>
      <c r="D88">
        <v>2.92</v>
      </c>
      <c r="E88">
        <v>9.19</v>
      </c>
      <c r="F88">
        <v>3.78</v>
      </c>
      <c r="G88">
        <v>2025</v>
      </c>
      <c r="H88">
        <v>0.5</v>
      </c>
      <c r="I88">
        <v>4.5</v>
      </c>
      <c r="J88">
        <v>8.6999999999999993</v>
      </c>
      <c r="K88">
        <v>19.96</v>
      </c>
      <c r="L88">
        <v>2029</v>
      </c>
      <c r="M88" t="s">
        <v>4043</v>
      </c>
      <c r="N88" t="s">
        <v>4043</v>
      </c>
      <c r="O88" t="s">
        <v>4043</v>
      </c>
      <c r="P88" t="s">
        <v>4043</v>
      </c>
    </row>
    <row r="89" spans="1:16" x14ac:dyDescent="0.25">
      <c r="A89" t="s">
        <v>356</v>
      </c>
      <c r="B89">
        <v>2024</v>
      </c>
      <c r="C89">
        <v>0.85</v>
      </c>
      <c r="D89" t="s">
        <v>3347</v>
      </c>
      <c r="E89" t="s">
        <v>3347</v>
      </c>
      <c r="F89" t="s">
        <v>3347</v>
      </c>
      <c r="G89">
        <v>2031</v>
      </c>
      <c r="H89" t="s">
        <v>4045</v>
      </c>
      <c r="I89" t="s">
        <v>4045</v>
      </c>
      <c r="J89" t="s">
        <v>4045</v>
      </c>
      <c r="K89" t="s">
        <v>4045</v>
      </c>
      <c r="L89">
        <v>2034</v>
      </c>
      <c r="M89" t="s">
        <v>4050</v>
      </c>
      <c r="N89" t="s">
        <v>4050</v>
      </c>
      <c r="O89" t="s">
        <v>4050</v>
      </c>
      <c r="P89" t="s">
        <v>4050</v>
      </c>
    </row>
    <row r="90" spans="1:16" x14ac:dyDescent="0.25">
      <c r="A90" t="s">
        <v>1129</v>
      </c>
      <c r="B90">
        <v>2021</v>
      </c>
      <c r="C90">
        <v>0.85</v>
      </c>
      <c r="D90">
        <v>2.4</v>
      </c>
      <c r="E90" t="s">
        <v>3347</v>
      </c>
      <c r="F90">
        <v>2.08</v>
      </c>
      <c r="G90">
        <v>2025</v>
      </c>
      <c r="H90">
        <v>0.24</v>
      </c>
      <c r="I90">
        <v>1.64</v>
      </c>
      <c r="J90">
        <v>4.1500000000000004</v>
      </c>
      <c r="K90">
        <v>1.8</v>
      </c>
      <c r="L90">
        <v>2032</v>
      </c>
      <c r="M90" t="s">
        <v>4047</v>
      </c>
      <c r="N90" t="s">
        <v>4047</v>
      </c>
      <c r="O90" t="s">
        <v>4047</v>
      </c>
      <c r="P90" t="s">
        <v>4047</v>
      </c>
    </row>
    <row r="91" spans="1:16" x14ac:dyDescent="0.25">
      <c r="A91" t="s">
        <v>502</v>
      </c>
      <c r="B91">
        <v>2024</v>
      </c>
      <c r="C91">
        <v>0.85</v>
      </c>
      <c r="D91">
        <v>1.51</v>
      </c>
      <c r="E91" t="s">
        <v>3347</v>
      </c>
      <c r="F91">
        <v>2.97</v>
      </c>
      <c r="G91">
        <v>2030</v>
      </c>
      <c r="H91" t="s">
        <v>4044</v>
      </c>
      <c r="I91" t="s">
        <v>4044</v>
      </c>
      <c r="J91" t="s">
        <v>4044</v>
      </c>
      <c r="K91" t="s">
        <v>4044</v>
      </c>
      <c r="L91">
        <v>2033</v>
      </c>
      <c r="M91" t="s">
        <v>4048</v>
      </c>
      <c r="N91" t="s">
        <v>4048</v>
      </c>
      <c r="O91" t="s">
        <v>4048</v>
      </c>
      <c r="P91" t="s">
        <v>4048</v>
      </c>
    </row>
    <row r="92" spans="1:16" x14ac:dyDescent="0.25">
      <c r="A92" t="s">
        <v>1034</v>
      </c>
      <c r="B92">
        <v>2024</v>
      </c>
      <c r="C92">
        <v>0.86</v>
      </c>
      <c r="D92">
        <v>4.3600000000000003</v>
      </c>
      <c r="E92">
        <v>14.68</v>
      </c>
      <c r="F92">
        <v>3.34</v>
      </c>
      <c r="G92">
        <v>2025</v>
      </c>
      <c r="H92">
        <v>0.76</v>
      </c>
      <c r="I92">
        <v>5.13</v>
      </c>
      <c r="J92">
        <v>7.71</v>
      </c>
      <c r="K92">
        <v>6.73</v>
      </c>
      <c r="L92">
        <v>2031</v>
      </c>
      <c r="M92" t="s">
        <v>4045</v>
      </c>
      <c r="N92" t="s">
        <v>4045</v>
      </c>
      <c r="O92" t="s">
        <v>4045</v>
      </c>
      <c r="P92" t="s">
        <v>4045</v>
      </c>
    </row>
    <row r="93" spans="1:16" x14ac:dyDescent="0.25">
      <c r="A93" t="s">
        <v>644</v>
      </c>
      <c r="B93">
        <v>2025</v>
      </c>
      <c r="C93">
        <v>0.86</v>
      </c>
      <c r="D93">
        <v>2.04</v>
      </c>
      <c r="E93" t="s">
        <v>3347</v>
      </c>
      <c r="F93">
        <v>3.12</v>
      </c>
      <c r="G93">
        <v>2031</v>
      </c>
      <c r="H93" t="s">
        <v>4045</v>
      </c>
      <c r="I93" t="s">
        <v>4045</v>
      </c>
      <c r="J93" t="s">
        <v>4045</v>
      </c>
      <c r="K93" t="s">
        <v>4045</v>
      </c>
      <c r="L93">
        <v>2034</v>
      </c>
      <c r="M93" t="s">
        <v>4050</v>
      </c>
      <c r="N93" t="s">
        <v>4050</v>
      </c>
      <c r="O93" t="s">
        <v>4050</v>
      </c>
      <c r="P93" t="s">
        <v>4050</v>
      </c>
    </row>
    <row r="94" spans="1:16" x14ac:dyDescent="0.25">
      <c r="A94" t="s">
        <v>1190</v>
      </c>
      <c r="B94">
        <v>2021</v>
      </c>
      <c r="C94">
        <v>0.87</v>
      </c>
      <c r="D94">
        <v>1.24</v>
      </c>
      <c r="E94" t="s">
        <v>3347</v>
      </c>
      <c r="F94">
        <v>4.38</v>
      </c>
      <c r="G94">
        <v>2025</v>
      </c>
      <c r="H94">
        <v>0.9</v>
      </c>
      <c r="I94">
        <v>2.2400000000000002</v>
      </c>
      <c r="J94">
        <v>6.3</v>
      </c>
      <c r="K94">
        <v>2.89</v>
      </c>
      <c r="L94">
        <v>2032</v>
      </c>
      <c r="M94" t="s">
        <v>4047</v>
      </c>
      <c r="N94" t="s">
        <v>4047</v>
      </c>
      <c r="O94" t="s">
        <v>4047</v>
      </c>
      <c r="P94" t="s">
        <v>4047</v>
      </c>
    </row>
    <row r="95" spans="1:16" x14ac:dyDescent="0.25">
      <c r="A95" t="s">
        <v>166</v>
      </c>
      <c r="B95">
        <v>2024</v>
      </c>
      <c r="C95">
        <v>0.88</v>
      </c>
      <c r="D95">
        <v>4.7</v>
      </c>
      <c r="E95">
        <v>11.12</v>
      </c>
      <c r="F95">
        <v>1.94</v>
      </c>
      <c r="G95">
        <v>2028</v>
      </c>
      <c r="H95" t="s">
        <v>4042</v>
      </c>
      <c r="I95" t="s">
        <v>4042</v>
      </c>
      <c r="J95" t="s">
        <v>4042</v>
      </c>
      <c r="K95" t="s">
        <v>4042</v>
      </c>
      <c r="L95">
        <v>2031</v>
      </c>
      <c r="M95" t="s">
        <v>4045</v>
      </c>
      <c r="N95" t="s">
        <v>4045</v>
      </c>
      <c r="O95" t="s">
        <v>4045</v>
      </c>
      <c r="P95" t="s">
        <v>4045</v>
      </c>
    </row>
    <row r="96" spans="1:16" x14ac:dyDescent="0.25">
      <c r="A96" t="s">
        <v>657</v>
      </c>
      <c r="B96">
        <v>2025</v>
      </c>
      <c r="C96">
        <v>0.88</v>
      </c>
      <c r="D96">
        <v>1.06</v>
      </c>
      <c r="E96" t="s">
        <v>3347</v>
      </c>
      <c r="F96">
        <v>3.89</v>
      </c>
      <c r="G96">
        <v>2031</v>
      </c>
      <c r="H96" t="s">
        <v>4045</v>
      </c>
      <c r="I96" t="s">
        <v>4045</v>
      </c>
      <c r="J96" t="s">
        <v>4045</v>
      </c>
      <c r="K96" t="s">
        <v>4045</v>
      </c>
      <c r="L96">
        <v>2034</v>
      </c>
      <c r="M96" t="s">
        <v>4050</v>
      </c>
      <c r="N96" t="s">
        <v>4050</v>
      </c>
      <c r="O96" t="s">
        <v>4050</v>
      </c>
      <c r="P96" t="s">
        <v>4050</v>
      </c>
    </row>
    <row r="97" spans="1:16" x14ac:dyDescent="0.25">
      <c r="A97" t="s">
        <v>1213</v>
      </c>
      <c r="B97">
        <v>2021</v>
      </c>
      <c r="C97">
        <v>0.88</v>
      </c>
      <c r="D97" t="s">
        <v>3347</v>
      </c>
      <c r="E97" t="s">
        <v>3347</v>
      </c>
      <c r="F97" t="s">
        <v>3347</v>
      </c>
      <c r="G97">
        <v>2022</v>
      </c>
      <c r="H97">
        <v>0.95</v>
      </c>
      <c r="I97">
        <v>0.02</v>
      </c>
      <c r="J97" t="s">
        <v>3347</v>
      </c>
      <c r="K97">
        <v>4.37</v>
      </c>
      <c r="L97">
        <v>2025</v>
      </c>
      <c r="M97">
        <v>0.97</v>
      </c>
      <c r="N97">
        <v>1.49</v>
      </c>
      <c r="O97">
        <v>5.51</v>
      </c>
      <c r="P97">
        <v>2.48</v>
      </c>
    </row>
    <row r="98" spans="1:16" x14ac:dyDescent="0.25">
      <c r="A98" t="s">
        <v>605</v>
      </c>
      <c r="B98">
        <v>2024</v>
      </c>
      <c r="C98">
        <v>0.88</v>
      </c>
      <c r="D98">
        <v>4.0999999999999996</v>
      </c>
      <c r="E98">
        <v>9.14</v>
      </c>
      <c r="F98">
        <v>0.79</v>
      </c>
      <c r="G98">
        <v>2030</v>
      </c>
      <c r="H98" t="s">
        <v>4044</v>
      </c>
      <c r="I98" t="s">
        <v>4044</v>
      </c>
      <c r="J98" t="s">
        <v>4044</v>
      </c>
      <c r="K98" t="s">
        <v>4044</v>
      </c>
      <c r="L98">
        <v>2033</v>
      </c>
      <c r="M98" t="s">
        <v>4048</v>
      </c>
      <c r="N98" t="s">
        <v>4048</v>
      </c>
      <c r="O98" t="s">
        <v>4048</v>
      </c>
      <c r="P98" t="s">
        <v>4048</v>
      </c>
    </row>
    <row r="99" spans="1:16" x14ac:dyDescent="0.25">
      <c r="A99" t="s">
        <v>472</v>
      </c>
      <c r="B99">
        <v>2021</v>
      </c>
      <c r="C99">
        <v>0.88</v>
      </c>
      <c r="D99">
        <v>0.39</v>
      </c>
      <c r="E99" t="s">
        <v>3347</v>
      </c>
      <c r="F99">
        <v>2.66</v>
      </c>
      <c r="G99">
        <v>2022</v>
      </c>
      <c r="H99">
        <v>0.93</v>
      </c>
      <c r="I99">
        <v>0</v>
      </c>
      <c r="J99">
        <v>0</v>
      </c>
      <c r="K99">
        <v>12.12</v>
      </c>
      <c r="L99">
        <v>2024</v>
      </c>
      <c r="M99">
        <v>0.91</v>
      </c>
      <c r="N99">
        <v>3.5</v>
      </c>
      <c r="O99" t="s">
        <v>3347</v>
      </c>
      <c r="P99">
        <v>0.9</v>
      </c>
    </row>
    <row r="100" spans="1:16" x14ac:dyDescent="0.25">
      <c r="A100" t="s">
        <v>651</v>
      </c>
      <c r="B100">
        <v>2025</v>
      </c>
      <c r="C100">
        <v>0.88</v>
      </c>
      <c r="D100">
        <v>2.2599999999999998</v>
      </c>
      <c r="E100" t="s">
        <v>3347</v>
      </c>
      <c r="F100">
        <v>2.72</v>
      </c>
      <c r="G100">
        <v>2031</v>
      </c>
      <c r="H100" t="s">
        <v>4045</v>
      </c>
      <c r="I100" t="s">
        <v>4045</v>
      </c>
      <c r="J100" t="s">
        <v>4045</v>
      </c>
      <c r="K100" t="s">
        <v>4045</v>
      </c>
      <c r="L100">
        <v>2034</v>
      </c>
      <c r="M100" t="s">
        <v>4050</v>
      </c>
      <c r="N100" t="s">
        <v>4050</v>
      </c>
      <c r="O100" t="s">
        <v>4050</v>
      </c>
      <c r="P100" t="s">
        <v>4050</v>
      </c>
    </row>
    <row r="101" spans="1:16" x14ac:dyDescent="0.25">
      <c r="A101" t="s">
        <v>404</v>
      </c>
      <c r="B101">
        <v>2021</v>
      </c>
      <c r="C101">
        <v>0.88</v>
      </c>
      <c r="D101">
        <v>0.59</v>
      </c>
      <c r="E101" t="s">
        <v>3347</v>
      </c>
      <c r="F101">
        <v>2.97</v>
      </c>
      <c r="G101">
        <v>2022</v>
      </c>
      <c r="H101">
        <v>0.81</v>
      </c>
      <c r="I101">
        <v>0.9</v>
      </c>
      <c r="J101">
        <v>0</v>
      </c>
      <c r="K101">
        <v>2.71</v>
      </c>
      <c r="L101">
        <v>2030</v>
      </c>
      <c r="M101" t="s">
        <v>4044</v>
      </c>
      <c r="N101" t="s">
        <v>4044</v>
      </c>
      <c r="O101" t="s">
        <v>4044</v>
      </c>
      <c r="P101" t="s">
        <v>4044</v>
      </c>
    </row>
    <row r="102" spans="1:16" x14ac:dyDescent="0.25">
      <c r="A102" t="s">
        <v>1293</v>
      </c>
      <c r="B102">
        <v>2025</v>
      </c>
      <c r="C102">
        <v>0.88</v>
      </c>
      <c r="D102" t="s">
        <v>3347</v>
      </c>
      <c r="E102" t="s">
        <v>3347</v>
      </c>
      <c r="F102" t="s">
        <v>3347</v>
      </c>
      <c r="G102">
        <v>2031</v>
      </c>
      <c r="H102" t="s">
        <v>4045</v>
      </c>
      <c r="I102" t="s">
        <v>4045</v>
      </c>
      <c r="J102" t="s">
        <v>4045</v>
      </c>
      <c r="K102" t="s">
        <v>4045</v>
      </c>
      <c r="L102">
        <v>2034</v>
      </c>
      <c r="M102" t="s">
        <v>4050</v>
      </c>
      <c r="N102" t="s">
        <v>4050</v>
      </c>
      <c r="O102" t="s">
        <v>4050</v>
      </c>
      <c r="P102" t="s">
        <v>4050</v>
      </c>
    </row>
    <row r="103" spans="1:16" x14ac:dyDescent="0.25">
      <c r="A103" t="s">
        <v>421</v>
      </c>
      <c r="B103">
        <v>2021</v>
      </c>
      <c r="C103">
        <v>0.88</v>
      </c>
      <c r="D103">
        <v>0.61</v>
      </c>
      <c r="E103" t="s">
        <v>3347</v>
      </c>
      <c r="F103">
        <v>3.42</v>
      </c>
      <c r="G103">
        <v>2024</v>
      </c>
      <c r="H103">
        <v>0.92</v>
      </c>
      <c r="I103">
        <v>1.46</v>
      </c>
      <c r="J103" t="s">
        <v>3347</v>
      </c>
      <c r="K103">
        <v>2.62</v>
      </c>
      <c r="L103">
        <v>2031</v>
      </c>
      <c r="M103" t="s">
        <v>4045</v>
      </c>
      <c r="N103" t="s">
        <v>4045</v>
      </c>
      <c r="O103" t="s">
        <v>4045</v>
      </c>
      <c r="P103" t="s">
        <v>4045</v>
      </c>
    </row>
    <row r="104" spans="1:16" x14ac:dyDescent="0.25">
      <c r="A104" t="s">
        <v>650</v>
      </c>
      <c r="B104">
        <v>2025</v>
      </c>
      <c r="C104">
        <v>0.89</v>
      </c>
      <c r="D104">
        <v>2.09</v>
      </c>
      <c r="E104" t="s">
        <v>3347</v>
      </c>
      <c r="F104">
        <v>5.51</v>
      </c>
      <c r="G104">
        <v>2031</v>
      </c>
      <c r="H104" t="s">
        <v>4045</v>
      </c>
      <c r="I104" t="s">
        <v>4045</v>
      </c>
      <c r="J104" t="s">
        <v>4045</v>
      </c>
      <c r="K104" t="s">
        <v>4045</v>
      </c>
      <c r="L104">
        <v>2034</v>
      </c>
      <c r="M104" t="s">
        <v>4050</v>
      </c>
      <c r="N104" t="s">
        <v>4050</v>
      </c>
      <c r="O104" t="s">
        <v>4050</v>
      </c>
      <c r="P104" t="s">
        <v>4050</v>
      </c>
    </row>
    <row r="105" spans="1:16" x14ac:dyDescent="0.25">
      <c r="A105" t="s">
        <v>1311</v>
      </c>
      <c r="B105">
        <v>2025</v>
      </c>
      <c r="C105">
        <v>0.89</v>
      </c>
      <c r="D105">
        <v>0.97</v>
      </c>
      <c r="E105" t="s">
        <v>3347</v>
      </c>
      <c r="F105">
        <v>2.27</v>
      </c>
      <c r="G105">
        <v>2032</v>
      </c>
      <c r="H105" t="s">
        <v>4047</v>
      </c>
      <c r="I105" t="s">
        <v>4047</v>
      </c>
      <c r="J105" t="s">
        <v>4047</v>
      </c>
      <c r="K105" t="s">
        <v>4047</v>
      </c>
      <c r="L105">
        <v>2035</v>
      </c>
      <c r="M105" t="s">
        <v>4049</v>
      </c>
      <c r="N105" t="s">
        <v>4049</v>
      </c>
      <c r="O105" t="s">
        <v>4049</v>
      </c>
      <c r="P105" t="s">
        <v>4049</v>
      </c>
    </row>
    <row r="106" spans="1:16" x14ac:dyDescent="0.25">
      <c r="A106" t="s">
        <v>333</v>
      </c>
      <c r="B106">
        <v>2024</v>
      </c>
      <c r="C106">
        <v>0.89</v>
      </c>
      <c r="D106" t="s">
        <v>3347</v>
      </c>
      <c r="E106" t="s">
        <v>3347</v>
      </c>
      <c r="F106" t="s">
        <v>3347</v>
      </c>
      <c r="G106">
        <v>2030</v>
      </c>
      <c r="H106" t="s">
        <v>4044</v>
      </c>
      <c r="I106" t="s">
        <v>4044</v>
      </c>
      <c r="J106" t="s">
        <v>4044</v>
      </c>
      <c r="K106" t="s">
        <v>4044</v>
      </c>
      <c r="L106">
        <v>2033</v>
      </c>
      <c r="M106" t="s">
        <v>4048</v>
      </c>
      <c r="N106" t="s">
        <v>4048</v>
      </c>
      <c r="O106" t="s">
        <v>4048</v>
      </c>
      <c r="P106" t="s">
        <v>4048</v>
      </c>
    </row>
    <row r="107" spans="1:16" x14ac:dyDescent="0.25">
      <c r="A107" t="s">
        <v>933</v>
      </c>
      <c r="B107">
        <v>2021</v>
      </c>
      <c r="C107">
        <v>0.89</v>
      </c>
      <c r="D107">
        <v>3.91</v>
      </c>
      <c r="E107">
        <v>9.02</v>
      </c>
      <c r="F107">
        <v>4.17</v>
      </c>
      <c r="G107">
        <v>2025</v>
      </c>
      <c r="H107">
        <v>1</v>
      </c>
      <c r="I107">
        <v>4.58</v>
      </c>
      <c r="J107">
        <v>7.85</v>
      </c>
      <c r="K107">
        <v>4.53</v>
      </c>
      <c r="L107">
        <v>2029</v>
      </c>
      <c r="M107" t="s">
        <v>4043</v>
      </c>
      <c r="N107" t="s">
        <v>4043</v>
      </c>
      <c r="O107" t="s">
        <v>4043</v>
      </c>
      <c r="P107" t="s">
        <v>4043</v>
      </c>
    </row>
    <row r="108" spans="1:16" x14ac:dyDescent="0.25">
      <c r="A108" t="s">
        <v>1194</v>
      </c>
      <c r="B108">
        <v>2021</v>
      </c>
      <c r="C108">
        <v>0.89</v>
      </c>
      <c r="D108" t="s">
        <v>3347</v>
      </c>
      <c r="E108" t="s">
        <v>3347</v>
      </c>
      <c r="F108" t="s">
        <v>3347</v>
      </c>
      <c r="G108">
        <v>2024</v>
      </c>
      <c r="H108">
        <v>1</v>
      </c>
      <c r="I108">
        <v>4.8</v>
      </c>
      <c r="J108">
        <v>16.600000000000001</v>
      </c>
      <c r="K108">
        <v>1.59</v>
      </c>
      <c r="L108">
        <v>2025</v>
      </c>
      <c r="M108">
        <v>1</v>
      </c>
      <c r="N108">
        <v>6.01</v>
      </c>
      <c r="O108">
        <v>12.61</v>
      </c>
      <c r="P108">
        <v>9</v>
      </c>
    </row>
    <row r="109" spans="1:16" x14ac:dyDescent="0.25">
      <c r="A109" t="s">
        <v>939</v>
      </c>
      <c r="B109">
        <v>2021</v>
      </c>
      <c r="C109">
        <v>0.89</v>
      </c>
      <c r="D109">
        <v>4.07</v>
      </c>
      <c r="E109">
        <v>7.75</v>
      </c>
      <c r="F109">
        <v>1.71</v>
      </c>
      <c r="G109">
        <v>2024</v>
      </c>
      <c r="H109">
        <v>0.94</v>
      </c>
      <c r="I109">
        <v>5.38</v>
      </c>
      <c r="J109">
        <v>12.58</v>
      </c>
      <c r="K109">
        <v>6.11</v>
      </c>
      <c r="L109">
        <v>2025</v>
      </c>
      <c r="M109">
        <v>0.87</v>
      </c>
      <c r="N109">
        <v>5.88</v>
      </c>
      <c r="O109">
        <v>9.5</v>
      </c>
      <c r="P109">
        <v>12.35</v>
      </c>
    </row>
    <row r="110" spans="1:16" x14ac:dyDescent="0.25">
      <c r="A110" t="s">
        <v>1255</v>
      </c>
      <c r="B110">
        <v>2022</v>
      </c>
      <c r="C110">
        <v>0.9</v>
      </c>
      <c r="D110" t="s">
        <v>3347</v>
      </c>
      <c r="E110" t="s">
        <v>3347</v>
      </c>
      <c r="F110" t="s">
        <v>3347</v>
      </c>
      <c r="G110">
        <v>2030</v>
      </c>
      <c r="H110" t="s">
        <v>4044</v>
      </c>
      <c r="I110" t="s">
        <v>4044</v>
      </c>
      <c r="J110" t="s">
        <v>4044</v>
      </c>
      <c r="K110" t="s">
        <v>4044</v>
      </c>
      <c r="L110">
        <v>2033</v>
      </c>
      <c r="M110" t="s">
        <v>4048</v>
      </c>
      <c r="N110" t="s">
        <v>4048</v>
      </c>
      <c r="O110" t="s">
        <v>4048</v>
      </c>
      <c r="P110" t="s">
        <v>4048</v>
      </c>
    </row>
    <row r="111" spans="1:16" x14ac:dyDescent="0.25">
      <c r="A111" t="s">
        <v>1224</v>
      </c>
      <c r="B111">
        <v>2021</v>
      </c>
      <c r="C111">
        <v>0.9</v>
      </c>
      <c r="D111" t="s">
        <v>3347</v>
      </c>
      <c r="E111" t="s">
        <v>3347</v>
      </c>
      <c r="F111" t="s">
        <v>3347</v>
      </c>
      <c r="G111">
        <v>2025</v>
      </c>
      <c r="H111">
        <v>0.66</v>
      </c>
      <c r="I111">
        <v>6.16</v>
      </c>
      <c r="J111">
        <v>9.89</v>
      </c>
      <c r="K111">
        <v>19.88</v>
      </c>
      <c r="L111">
        <v>2032</v>
      </c>
      <c r="M111" t="s">
        <v>4047</v>
      </c>
      <c r="N111" t="s">
        <v>4047</v>
      </c>
      <c r="O111" t="s">
        <v>4047</v>
      </c>
      <c r="P111" t="s">
        <v>4047</v>
      </c>
    </row>
    <row r="112" spans="1:16" x14ac:dyDescent="0.25">
      <c r="A112" t="s">
        <v>1281</v>
      </c>
      <c r="B112">
        <v>2025</v>
      </c>
      <c r="C112">
        <v>0.9</v>
      </c>
      <c r="D112">
        <v>2.1800000000000002</v>
      </c>
      <c r="E112">
        <v>10.039999999999999</v>
      </c>
      <c r="F112">
        <v>2.16</v>
      </c>
      <c r="G112">
        <v>2031</v>
      </c>
      <c r="H112" t="s">
        <v>4045</v>
      </c>
      <c r="I112" t="s">
        <v>4045</v>
      </c>
      <c r="J112" t="s">
        <v>4045</v>
      </c>
      <c r="K112" t="s">
        <v>4045</v>
      </c>
      <c r="L112">
        <v>2034</v>
      </c>
      <c r="M112" t="s">
        <v>4050</v>
      </c>
      <c r="N112" t="s">
        <v>4050</v>
      </c>
      <c r="O112" t="s">
        <v>4050</v>
      </c>
      <c r="P112" t="s">
        <v>4050</v>
      </c>
    </row>
    <row r="113" spans="1:16" x14ac:dyDescent="0.25">
      <c r="A113" t="s">
        <v>965</v>
      </c>
      <c r="B113">
        <v>2024</v>
      </c>
      <c r="C113">
        <v>0.9</v>
      </c>
      <c r="D113">
        <v>6.85</v>
      </c>
      <c r="E113">
        <v>19.899999999999999</v>
      </c>
      <c r="F113">
        <v>31.95</v>
      </c>
      <c r="G113">
        <v>2025</v>
      </c>
      <c r="H113">
        <v>0.97</v>
      </c>
      <c r="I113">
        <v>7.32</v>
      </c>
      <c r="J113">
        <v>9.42</v>
      </c>
      <c r="K113">
        <v>47.45</v>
      </c>
      <c r="L113">
        <v>2030</v>
      </c>
      <c r="M113" t="s">
        <v>4044</v>
      </c>
      <c r="N113" t="s">
        <v>4044</v>
      </c>
      <c r="O113" t="s">
        <v>4044</v>
      </c>
      <c r="P113" t="s">
        <v>4044</v>
      </c>
    </row>
    <row r="114" spans="1:16" x14ac:dyDescent="0.25">
      <c r="A114" t="s">
        <v>560</v>
      </c>
      <c r="B114">
        <v>2021</v>
      </c>
      <c r="C114">
        <v>0.9</v>
      </c>
      <c r="D114">
        <v>0.39</v>
      </c>
      <c r="E114" t="s">
        <v>3347</v>
      </c>
      <c r="F114">
        <v>2.94</v>
      </c>
      <c r="G114">
        <v>2028</v>
      </c>
      <c r="H114" t="s">
        <v>4042</v>
      </c>
      <c r="I114" t="s">
        <v>4042</v>
      </c>
      <c r="J114" t="s">
        <v>4042</v>
      </c>
      <c r="K114" t="s">
        <v>4042</v>
      </c>
      <c r="L114">
        <v>2031</v>
      </c>
      <c r="M114" t="s">
        <v>4045</v>
      </c>
      <c r="N114" t="s">
        <v>4045</v>
      </c>
      <c r="O114" t="s">
        <v>4045</v>
      </c>
      <c r="P114" t="s">
        <v>4045</v>
      </c>
    </row>
    <row r="115" spans="1:16" x14ac:dyDescent="0.25">
      <c r="A115" t="s">
        <v>544</v>
      </c>
      <c r="B115">
        <v>2021</v>
      </c>
      <c r="C115">
        <v>0.9</v>
      </c>
      <c r="D115">
        <v>0.41</v>
      </c>
      <c r="E115" t="s">
        <v>3347</v>
      </c>
      <c r="F115">
        <v>9.33</v>
      </c>
      <c r="G115">
        <v>2028</v>
      </c>
      <c r="H115" t="s">
        <v>4042</v>
      </c>
      <c r="I115" t="s">
        <v>4042</v>
      </c>
      <c r="J115" t="s">
        <v>4042</v>
      </c>
      <c r="K115" t="s">
        <v>4042</v>
      </c>
      <c r="L115">
        <v>2031</v>
      </c>
      <c r="M115" t="s">
        <v>4045</v>
      </c>
      <c r="N115" t="s">
        <v>4045</v>
      </c>
      <c r="O115" t="s">
        <v>4045</v>
      </c>
      <c r="P115" t="s">
        <v>4045</v>
      </c>
    </row>
    <row r="116" spans="1:16" x14ac:dyDescent="0.25">
      <c r="A116" t="s">
        <v>435</v>
      </c>
      <c r="B116">
        <v>2021</v>
      </c>
      <c r="C116">
        <v>0.9</v>
      </c>
      <c r="D116">
        <v>1.03</v>
      </c>
      <c r="E116" t="s">
        <v>3347</v>
      </c>
      <c r="F116">
        <v>3.91</v>
      </c>
      <c r="G116">
        <v>2024</v>
      </c>
      <c r="H116">
        <v>0.94</v>
      </c>
      <c r="I116">
        <v>2</v>
      </c>
      <c r="J116">
        <v>9.35</v>
      </c>
      <c r="K116">
        <v>3.44</v>
      </c>
      <c r="L116">
        <v>2031</v>
      </c>
      <c r="M116" t="s">
        <v>4045</v>
      </c>
      <c r="N116" t="s">
        <v>4045</v>
      </c>
      <c r="O116" t="s">
        <v>4045</v>
      </c>
      <c r="P116" t="s">
        <v>4045</v>
      </c>
    </row>
    <row r="117" spans="1:16" x14ac:dyDescent="0.25">
      <c r="A117" t="s">
        <v>492</v>
      </c>
      <c r="B117">
        <v>2021</v>
      </c>
      <c r="C117">
        <v>0.91</v>
      </c>
      <c r="D117">
        <v>0.39</v>
      </c>
      <c r="E117" t="s">
        <v>3347</v>
      </c>
      <c r="F117">
        <v>2.64</v>
      </c>
      <c r="G117">
        <v>2022</v>
      </c>
      <c r="H117">
        <v>0.79</v>
      </c>
      <c r="I117">
        <v>0</v>
      </c>
      <c r="J117">
        <v>0</v>
      </c>
      <c r="K117">
        <v>3.31</v>
      </c>
      <c r="L117">
        <v>2025</v>
      </c>
      <c r="M117">
        <v>0.95</v>
      </c>
      <c r="N117">
        <v>1.02</v>
      </c>
      <c r="O117" t="s">
        <v>3347</v>
      </c>
      <c r="P117">
        <v>3.99</v>
      </c>
    </row>
    <row r="118" spans="1:16" x14ac:dyDescent="0.25">
      <c r="A118" t="s">
        <v>945</v>
      </c>
      <c r="B118">
        <v>2021</v>
      </c>
      <c r="C118">
        <v>0.91</v>
      </c>
      <c r="D118">
        <v>4.4000000000000004</v>
      </c>
      <c r="E118">
        <v>11</v>
      </c>
      <c r="F118">
        <v>1.1100000000000001</v>
      </c>
      <c r="G118">
        <v>2024</v>
      </c>
      <c r="H118">
        <v>1</v>
      </c>
      <c r="I118">
        <v>1.57</v>
      </c>
      <c r="J118">
        <v>14.15</v>
      </c>
      <c r="K118">
        <v>4.1100000000000003</v>
      </c>
      <c r="L118">
        <v>2025</v>
      </c>
      <c r="M118">
        <v>0.88</v>
      </c>
      <c r="N118">
        <v>2.78</v>
      </c>
      <c r="O118">
        <v>7.73</v>
      </c>
      <c r="P118">
        <v>5.9</v>
      </c>
    </row>
    <row r="119" spans="1:16" x14ac:dyDescent="0.25">
      <c r="A119" t="s">
        <v>299</v>
      </c>
      <c r="B119">
        <v>2021</v>
      </c>
      <c r="C119">
        <v>0.91</v>
      </c>
      <c r="D119">
        <v>0.5</v>
      </c>
      <c r="E119" t="s">
        <v>3347</v>
      </c>
      <c r="F119">
        <v>16.43</v>
      </c>
      <c r="G119">
        <v>2022</v>
      </c>
      <c r="H119">
        <v>0.73</v>
      </c>
      <c r="I119">
        <v>1.59</v>
      </c>
      <c r="J119">
        <v>0</v>
      </c>
      <c r="K119">
        <v>1.87</v>
      </c>
      <c r="L119">
        <v>2024</v>
      </c>
      <c r="M119">
        <v>0.8</v>
      </c>
      <c r="N119">
        <v>3.46</v>
      </c>
      <c r="O119">
        <v>10.56</v>
      </c>
      <c r="P119">
        <v>0.78</v>
      </c>
    </row>
    <row r="120" spans="1:16" x14ac:dyDescent="0.25">
      <c r="A120" t="s">
        <v>1315</v>
      </c>
      <c r="B120">
        <v>2025</v>
      </c>
      <c r="C120">
        <v>0.91</v>
      </c>
      <c r="D120">
        <v>0.85</v>
      </c>
      <c r="E120" t="s">
        <v>3347</v>
      </c>
      <c r="F120">
        <v>4.18</v>
      </c>
      <c r="G120">
        <v>2032</v>
      </c>
      <c r="H120" t="s">
        <v>4047</v>
      </c>
      <c r="I120" t="s">
        <v>4047</v>
      </c>
      <c r="J120" t="s">
        <v>4047</v>
      </c>
      <c r="K120" t="s">
        <v>4047</v>
      </c>
      <c r="L120">
        <v>2035</v>
      </c>
      <c r="M120" t="s">
        <v>4049</v>
      </c>
      <c r="N120" t="s">
        <v>4049</v>
      </c>
      <c r="O120" t="s">
        <v>4049</v>
      </c>
      <c r="P120" t="s">
        <v>4049</v>
      </c>
    </row>
    <row r="121" spans="1:16" x14ac:dyDescent="0.25">
      <c r="A121" t="s">
        <v>1109</v>
      </c>
      <c r="B121">
        <v>2024</v>
      </c>
      <c r="C121">
        <v>0.91</v>
      </c>
      <c r="D121">
        <v>4.0999999999999996</v>
      </c>
      <c r="E121">
        <v>11.73</v>
      </c>
      <c r="F121">
        <v>3.37</v>
      </c>
      <c r="G121">
        <v>2028</v>
      </c>
      <c r="H121" t="s">
        <v>4042</v>
      </c>
      <c r="I121" t="s">
        <v>4042</v>
      </c>
      <c r="J121" t="s">
        <v>4042</v>
      </c>
      <c r="K121" t="s">
        <v>4042</v>
      </c>
      <c r="L121">
        <v>2031</v>
      </c>
      <c r="M121" t="s">
        <v>4045</v>
      </c>
      <c r="N121" t="s">
        <v>4045</v>
      </c>
      <c r="O121" t="s">
        <v>4045</v>
      </c>
      <c r="P121" t="s">
        <v>4045</v>
      </c>
    </row>
    <row r="122" spans="1:16" x14ac:dyDescent="0.25">
      <c r="A122" t="s">
        <v>484</v>
      </c>
      <c r="B122">
        <v>2021</v>
      </c>
      <c r="C122">
        <v>0.92</v>
      </c>
      <c r="D122">
        <v>0.4</v>
      </c>
      <c r="E122" t="s">
        <v>3347</v>
      </c>
      <c r="F122">
        <v>2.69</v>
      </c>
      <c r="G122">
        <v>2022</v>
      </c>
      <c r="H122">
        <v>0.87</v>
      </c>
      <c r="I122">
        <v>0</v>
      </c>
      <c r="J122">
        <v>0</v>
      </c>
      <c r="K122">
        <v>7.37</v>
      </c>
      <c r="L122">
        <v>2025</v>
      </c>
      <c r="M122">
        <v>0.91</v>
      </c>
      <c r="N122">
        <v>2.37</v>
      </c>
      <c r="O122">
        <v>11.97</v>
      </c>
      <c r="P122">
        <v>2.4</v>
      </c>
    </row>
    <row r="123" spans="1:16" x14ac:dyDescent="0.25">
      <c r="A123" t="s">
        <v>1308</v>
      </c>
      <c r="B123">
        <v>2025</v>
      </c>
      <c r="C123">
        <v>0.92</v>
      </c>
      <c r="D123" t="s">
        <v>3347</v>
      </c>
      <c r="E123" t="s">
        <v>3347</v>
      </c>
      <c r="F123" t="s">
        <v>3347</v>
      </c>
      <c r="G123">
        <v>2032</v>
      </c>
      <c r="H123" t="s">
        <v>4047</v>
      </c>
      <c r="I123" t="s">
        <v>4047</v>
      </c>
      <c r="J123" t="s">
        <v>4047</v>
      </c>
      <c r="K123" t="s">
        <v>4047</v>
      </c>
      <c r="L123">
        <v>2035</v>
      </c>
      <c r="M123" t="s">
        <v>4049</v>
      </c>
      <c r="N123" t="s">
        <v>4049</v>
      </c>
      <c r="O123" t="s">
        <v>4049</v>
      </c>
      <c r="P123" t="s">
        <v>4049</v>
      </c>
    </row>
    <row r="124" spans="1:16" x14ac:dyDescent="0.25">
      <c r="A124" t="s">
        <v>308</v>
      </c>
      <c r="B124">
        <v>2022</v>
      </c>
      <c r="C124">
        <v>0.92</v>
      </c>
      <c r="D124">
        <v>0</v>
      </c>
      <c r="E124">
        <v>0</v>
      </c>
      <c r="F124">
        <v>11.12</v>
      </c>
      <c r="G124">
        <v>2025</v>
      </c>
      <c r="H124">
        <v>0.88</v>
      </c>
      <c r="I124">
        <v>3.79</v>
      </c>
      <c r="J124">
        <v>13.98</v>
      </c>
      <c r="K124">
        <v>0.96</v>
      </c>
      <c r="L124">
        <v>2032</v>
      </c>
      <c r="M124" t="s">
        <v>4047</v>
      </c>
      <c r="N124" t="s">
        <v>4047</v>
      </c>
      <c r="O124" t="s">
        <v>4047</v>
      </c>
      <c r="P124" t="s">
        <v>4047</v>
      </c>
    </row>
    <row r="125" spans="1:16" x14ac:dyDescent="0.25">
      <c r="A125" t="s">
        <v>614</v>
      </c>
      <c r="B125">
        <v>2024</v>
      </c>
      <c r="C125">
        <v>0.92</v>
      </c>
      <c r="D125">
        <v>3.28</v>
      </c>
      <c r="E125">
        <v>9.81</v>
      </c>
      <c r="F125">
        <v>0.72</v>
      </c>
      <c r="G125">
        <v>2030</v>
      </c>
      <c r="H125" t="s">
        <v>4044</v>
      </c>
      <c r="I125" t="s">
        <v>4044</v>
      </c>
      <c r="J125" t="s">
        <v>4044</v>
      </c>
      <c r="K125" t="s">
        <v>4044</v>
      </c>
      <c r="L125">
        <v>2033</v>
      </c>
      <c r="M125" t="s">
        <v>4048</v>
      </c>
      <c r="N125" t="s">
        <v>4048</v>
      </c>
      <c r="O125" t="s">
        <v>4048</v>
      </c>
      <c r="P125" t="s">
        <v>4048</v>
      </c>
    </row>
    <row r="126" spans="1:16" x14ac:dyDescent="0.25">
      <c r="A126" t="s">
        <v>480</v>
      </c>
      <c r="B126">
        <v>2021</v>
      </c>
      <c r="C126">
        <v>0.93</v>
      </c>
      <c r="D126">
        <v>0.39</v>
      </c>
      <c r="E126" t="s">
        <v>3347</v>
      </c>
      <c r="F126">
        <v>2.66</v>
      </c>
      <c r="G126">
        <v>2022</v>
      </c>
      <c r="H126">
        <v>0.56999999999999995</v>
      </c>
      <c r="I126">
        <v>0</v>
      </c>
      <c r="J126">
        <v>0</v>
      </c>
      <c r="K126">
        <v>1.95</v>
      </c>
      <c r="L126">
        <v>2024</v>
      </c>
      <c r="M126">
        <v>0.9</v>
      </c>
      <c r="N126">
        <v>3.26</v>
      </c>
      <c r="O126">
        <v>8.1999999999999993</v>
      </c>
      <c r="P126">
        <v>3.67</v>
      </c>
    </row>
    <row r="127" spans="1:16" x14ac:dyDescent="0.25">
      <c r="A127" t="s">
        <v>1252</v>
      </c>
      <c r="B127">
        <v>2022</v>
      </c>
      <c r="C127">
        <v>0.93</v>
      </c>
      <c r="D127" t="s">
        <v>3347</v>
      </c>
      <c r="E127" t="s">
        <v>3347</v>
      </c>
      <c r="F127" t="s">
        <v>3347</v>
      </c>
      <c r="G127">
        <v>2024</v>
      </c>
      <c r="H127">
        <v>0.67</v>
      </c>
      <c r="I127" t="s">
        <v>3347</v>
      </c>
      <c r="J127" t="s">
        <v>3347</v>
      </c>
      <c r="K127" t="s">
        <v>3347</v>
      </c>
      <c r="L127">
        <v>2033</v>
      </c>
      <c r="M127" t="s">
        <v>4048</v>
      </c>
      <c r="N127" t="s">
        <v>4048</v>
      </c>
      <c r="O127" t="s">
        <v>4048</v>
      </c>
      <c r="P127" t="s">
        <v>4048</v>
      </c>
    </row>
    <row r="128" spans="1:16" x14ac:dyDescent="0.25">
      <c r="A128" t="s">
        <v>988</v>
      </c>
      <c r="B128">
        <v>2024</v>
      </c>
      <c r="C128">
        <v>0.93</v>
      </c>
      <c r="D128">
        <v>6.24</v>
      </c>
      <c r="E128">
        <v>15.69</v>
      </c>
      <c r="F128">
        <v>9.94</v>
      </c>
      <c r="G128">
        <v>2027</v>
      </c>
      <c r="H128" t="s">
        <v>4046</v>
      </c>
      <c r="I128" t="s">
        <v>4046</v>
      </c>
      <c r="J128" t="s">
        <v>4046</v>
      </c>
      <c r="K128" t="s">
        <v>4046</v>
      </c>
      <c r="L128">
        <v>2030</v>
      </c>
      <c r="M128" t="s">
        <v>4044</v>
      </c>
      <c r="N128" t="s">
        <v>4044</v>
      </c>
      <c r="O128" t="s">
        <v>4044</v>
      </c>
      <c r="P128" t="s">
        <v>4044</v>
      </c>
    </row>
    <row r="129" spans="1:16" x14ac:dyDescent="0.25">
      <c r="A129" t="s">
        <v>1108</v>
      </c>
      <c r="B129">
        <v>2024</v>
      </c>
      <c r="C129">
        <v>0.93</v>
      </c>
      <c r="D129">
        <v>6.01</v>
      </c>
      <c r="E129">
        <v>16.34</v>
      </c>
      <c r="F129">
        <v>14.17</v>
      </c>
      <c r="G129">
        <v>2028</v>
      </c>
      <c r="H129" t="s">
        <v>4042</v>
      </c>
      <c r="I129" t="s">
        <v>4042</v>
      </c>
      <c r="J129" t="s">
        <v>4042</v>
      </c>
      <c r="K129" t="s">
        <v>4042</v>
      </c>
      <c r="L129">
        <v>2031</v>
      </c>
      <c r="M129" t="s">
        <v>4045</v>
      </c>
      <c r="N129" t="s">
        <v>4045</v>
      </c>
      <c r="O129" t="s">
        <v>4045</v>
      </c>
      <c r="P129" t="s">
        <v>4045</v>
      </c>
    </row>
    <row r="130" spans="1:16" x14ac:dyDescent="0.25">
      <c r="A130" t="s">
        <v>1017</v>
      </c>
      <c r="B130">
        <v>2024</v>
      </c>
      <c r="C130">
        <v>0.93</v>
      </c>
      <c r="D130">
        <v>6.08</v>
      </c>
      <c r="E130">
        <v>13.64</v>
      </c>
      <c r="F130">
        <v>13.46</v>
      </c>
      <c r="G130">
        <v>2028</v>
      </c>
      <c r="H130" t="s">
        <v>4042</v>
      </c>
      <c r="I130" t="s">
        <v>4042</v>
      </c>
      <c r="J130" t="s">
        <v>4042</v>
      </c>
      <c r="K130" t="s">
        <v>4042</v>
      </c>
      <c r="L130">
        <v>2031</v>
      </c>
      <c r="M130" t="s">
        <v>4045</v>
      </c>
      <c r="N130" t="s">
        <v>4045</v>
      </c>
      <c r="O130" t="s">
        <v>4045</v>
      </c>
      <c r="P130" t="s">
        <v>4045</v>
      </c>
    </row>
    <row r="131" spans="1:16" x14ac:dyDescent="0.25">
      <c r="A131" t="s">
        <v>352</v>
      </c>
      <c r="B131">
        <v>2024</v>
      </c>
      <c r="C131">
        <v>0.93</v>
      </c>
      <c r="D131" t="s">
        <v>3347</v>
      </c>
      <c r="E131" t="s">
        <v>3347</v>
      </c>
      <c r="F131" t="s">
        <v>3347</v>
      </c>
      <c r="G131">
        <v>2025</v>
      </c>
      <c r="H131">
        <v>0.94</v>
      </c>
      <c r="I131">
        <v>3.35</v>
      </c>
      <c r="J131">
        <v>12.64</v>
      </c>
      <c r="K131">
        <v>1.42</v>
      </c>
      <c r="L131">
        <v>2034</v>
      </c>
      <c r="M131" t="s">
        <v>4050</v>
      </c>
      <c r="N131" t="s">
        <v>4050</v>
      </c>
      <c r="O131" t="s">
        <v>4050</v>
      </c>
      <c r="P131" t="s">
        <v>4050</v>
      </c>
    </row>
    <row r="132" spans="1:16" x14ac:dyDescent="0.25">
      <c r="A132" t="s">
        <v>336</v>
      </c>
      <c r="B132">
        <v>2024</v>
      </c>
      <c r="C132">
        <v>0.93</v>
      </c>
      <c r="D132" t="s">
        <v>3347</v>
      </c>
      <c r="E132" t="s">
        <v>3347</v>
      </c>
      <c r="F132" t="s">
        <v>3347</v>
      </c>
      <c r="G132">
        <v>2025</v>
      </c>
      <c r="H132">
        <v>0.95</v>
      </c>
      <c r="I132">
        <v>4.93</v>
      </c>
      <c r="J132">
        <v>11.88</v>
      </c>
      <c r="K132">
        <v>1.95</v>
      </c>
      <c r="L132">
        <v>2034</v>
      </c>
      <c r="M132" t="s">
        <v>4050</v>
      </c>
      <c r="N132" t="s">
        <v>4050</v>
      </c>
      <c r="O132" t="s">
        <v>4050</v>
      </c>
      <c r="P132" t="s">
        <v>4050</v>
      </c>
    </row>
    <row r="133" spans="1:16" x14ac:dyDescent="0.25">
      <c r="A133" t="s">
        <v>1235</v>
      </c>
      <c r="B133">
        <v>2021</v>
      </c>
      <c r="C133">
        <v>0.93</v>
      </c>
      <c r="D133" t="s">
        <v>3347</v>
      </c>
      <c r="E133" t="s">
        <v>3347</v>
      </c>
      <c r="F133" t="s">
        <v>3347</v>
      </c>
      <c r="G133">
        <v>2025</v>
      </c>
      <c r="H133">
        <v>0.93</v>
      </c>
      <c r="I133">
        <v>2.61</v>
      </c>
      <c r="J133">
        <v>8.73</v>
      </c>
      <c r="K133">
        <v>3.73</v>
      </c>
      <c r="L133">
        <v>2032</v>
      </c>
      <c r="M133" t="s">
        <v>4047</v>
      </c>
      <c r="N133" t="s">
        <v>4047</v>
      </c>
      <c r="O133" t="s">
        <v>4047</v>
      </c>
      <c r="P133" t="s">
        <v>4047</v>
      </c>
    </row>
    <row r="134" spans="1:16" x14ac:dyDescent="0.25">
      <c r="A134" t="s">
        <v>498</v>
      </c>
      <c r="B134">
        <v>2024</v>
      </c>
      <c r="C134">
        <v>0.93</v>
      </c>
      <c r="D134">
        <v>2.23</v>
      </c>
      <c r="E134" t="s">
        <v>3347</v>
      </c>
      <c r="F134">
        <v>2.15</v>
      </c>
      <c r="G134">
        <v>2030</v>
      </c>
      <c r="H134" t="s">
        <v>4044</v>
      </c>
      <c r="I134" t="s">
        <v>4044</v>
      </c>
      <c r="J134" t="s">
        <v>4044</v>
      </c>
      <c r="K134" t="s">
        <v>4044</v>
      </c>
      <c r="L134">
        <v>2033</v>
      </c>
      <c r="M134" t="s">
        <v>4048</v>
      </c>
      <c r="N134" t="s">
        <v>4048</v>
      </c>
      <c r="O134" t="s">
        <v>4048</v>
      </c>
      <c r="P134" t="s">
        <v>4048</v>
      </c>
    </row>
    <row r="135" spans="1:16" x14ac:dyDescent="0.25">
      <c r="A135" t="s">
        <v>586</v>
      </c>
      <c r="B135">
        <v>2024</v>
      </c>
      <c r="C135">
        <v>0.94</v>
      </c>
      <c r="D135">
        <v>2.95</v>
      </c>
      <c r="E135">
        <v>10.86</v>
      </c>
      <c r="F135">
        <v>2.0299999999999998</v>
      </c>
      <c r="G135">
        <v>2030</v>
      </c>
      <c r="H135" t="s">
        <v>4044</v>
      </c>
      <c r="I135" t="s">
        <v>4044</v>
      </c>
      <c r="J135" t="s">
        <v>4044</v>
      </c>
      <c r="K135" t="s">
        <v>4044</v>
      </c>
      <c r="L135">
        <v>2033</v>
      </c>
      <c r="M135" t="s">
        <v>4048</v>
      </c>
      <c r="N135" t="s">
        <v>4048</v>
      </c>
      <c r="O135" t="s">
        <v>4048</v>
      </c>
      <c r="P135" t="s">
        <v>4048</v>
      </c>
    </row>
    <row r="136" spans="1:16" x14ac:dyDescent="0.25">
      <c r="A136" t="s">
        <v>180</v>
      </c>
      <c r="B136">
        <v>2024</v>
      </c>
      <c r="C136">
        <v>0.94</v>
      </c>
      <c r="D136">
        <v>4.21</v>
      </c>
      <c r="E136">
        <v>14.6</v>
      </c>
      <c r="F136">
        <v>2</v>
      </c>
      <c r="G136">
        <v>2028</v>
      </c>
      <c r="H136" t="s">
        <v>4042</v>
      </c>
      <c r="I136" t="s">
        <v>4042</v>
      </c>
      <c r="J136" t="s">
        <v>4042</v>
      </c>
      <c r="K136" t="s">
        <v>4042</v>
      </c>
      <c r="L136">
        <v>2031</v>
      </c>
      <c r="M136" t="s">
        <v>4045</v>
      </c>
      <c r="N136" t="s">
        <v>4045</v>
      </c>
      <c r="O136" t="s">
        <v>4045</v>
      </c>
      <c r="P136" t="s">
        <v>4045</v>
      </c>
    </row>
    <row r="137" spans="1:16" x14ac:dyDescent="0.25">
      <c r="A137" t="s">
        <v>637</v>
      </c>
      <c r="B137">
        <v>2025</v>
      </c>
      <c r="C137">
        <v>0.94</v>
      </c>
      <c r="D137">
        <v>3.36</v>
      </c>
      <c r="E137" t="s">
        <v>3347</v>
      </c>
      <c r="F137">
        <v>1.25</v>
      </c>
      <c r="G137">
        <v>2031</v>
      </c>
      <c r="H137" t="s">
        <v>4045</v>
      </c>
      <c r="I137" t="s">
        <v>4045</v>
      </c>
      <c r="J137" t="s">
        <v>4045</v>
      </c>
      <c r="K137" t="s">
        <v>4045</v>
      </c>
      <c r="L137">
        <v>2034</v>
      </c>
      <c r="M137" t="s">
        <v>4050</v>
      </c>
      <c r="N137" t="s">
        <v>4050</v>
      </c>
      <c r="O137" t="s">
        <v>4050</v>
      </c>
      <c r="P137" t="s">
        <v>4050</v>
      </c>
    </row>
    <row r="138" spans="1:16" x14ac:dyDescent="0.25">
      <c r="A138" t="s">
        <v>183</v>
      </c>
      <c r="B138">
        <v>2021</v>
      </c>
      <c r="C138">
        <v>0.94</v>
      </c>
      <c r="D138">
        <v>0.96</v>
      </c>
      <c r="E138" t="s">
        <v>3347</v>
      </c>
      <c r="F138">
        <v>28.02</v>
      </c>
      <c r="G138">
        <v>2024</v>
      </c>
      <c r="H138">
        <v>0.85</v>
      </c>
      <c r="I138">
        <v>4.53</v>
      </c>
      <c r="J138">
        <v>13.43</v>
      </c>
      <c r="K138">
        <v>2.85</v>
      </c>
      <c r="L138">
        <v>2031</v>
      </c>
      <c r="M138" t="s">
        <v>4045</v>
      </c>
      <c r="N138" t="s">
        <v>4045</v>
      </c>
      <c r="O138" t="s">
        <v>4045</v>
      </c>
      <c r="P138" t="s">
        <v>4045</v>
      </c>
    </row>
    <row r="139" spans="1:16" x14ac:dyDescent="0.25">
      <c r="A139" t="s">
        <v>265</v>
      </c>
      <c r="B139">
        <v>2022</v>
      </c>
      <c r="C139">
        <v>0.94</v>
      </c>
      <c r="D139">
        <v>0</v>
      </c>
      <c r="E139">
        <v>0</v>
      </c>
      <c r="F139">
        <v>29.45</v>
      </c>
      <c r="G139">
        <v>2024</v>
      </c>
      <c r="H139">
        <v>0.95</v>
      </c>
      <c r="I139">
        <v>4.9400000000000004</v>
      </c>
      <c r="J139">
        <v>25.8</v>
      </c>
      <c r="K139">
        <v>2.96</v>
      </c>
      <c r="L139">
        <v>2025</v>
      </c>
      <c r="M139">
        <v>0.98</v>
      </c>
      <c r="N139">
        <v>5.21</v>
      </c>
      <c r="O139">
        <v>14.24</v>
      </c>
      <c r="P139">
        <v>3.39</v>
      </c>
    </row>
    <row r="140" spans="1:16" x14ac:dyDescent="0.25">
      <c r="A140" t="s">
        <v>1121</v>
      </c>
      <c r="B140">
        <v>2021</v>
      </c>
      <c r="C140">
        <v>0.94</v>
      </c>
      <c r="D140" t="s">
        <v>3347</v>
      </c>
      <c r="E140" t="s">
        <v>3347</v>
      </c>
      <c r="F140" t="s">
        <v>3347</v>
      </c>
      <c r="G140">
        <v>2025</v>
      </c>
      <c r="H140">
        <v>0.97</v>
      </c>
      <c r="I140">
        <v>3.06</v>
      </c>
      <c r="J140">
        <v>8.23</v>
      </c>
      <c r="K140">
        <v>3.49</v>
      </c>
      <c r="L140">
        <v>2032</v>
      </c>
      <c r="M140" t="s">
        <v>4047</v>
      </c>
      <c r="N140" t="s">
        <v>4047</v>
      </c>
      <c r="O140" t="s">
        <v>4047</v>
      </c>
      <c r="P140" t="s">
        <v>4047</v>
      </c>
    </row>
    <row r="141" spans="1:16" x14ac:dyDescent="0.25">
      <c r="A141" t="s">
        <v>512</v>
      </c>
      <c r="B141">
        <v>2021</v>
      </c>
      <c r="C141">
        <v>0.95</v>
      </c>
      <c r="D141">
        <v>0.39</v>
      </c>
      <c r="E141" t="s">
        <v>3347</v>
      </c>
      <c r="F141">
        <v>6.41</v>
      </c>
      <c r="G141">
        <v>2029</v>
      </c>
      <c r="H141" t="s">
        <v>4043</v>
      </c>
      <c r="I141" t="s">
        <v>4043</v>
      </c>
      <c r="J141" t="s">
        <v>4043</v>
      </c>
      <c r="K141" t="s">
        <v>4043</v>
      </c>
      <c r="L141">
        <v>2032</v>
      </c>
      <c r="M141" t="s">
        <v>4047</v>
      </c>
      <c r="N141" t="s">
        <v>4047</v>
      </c>
      <c r="O141" t="s">
        <v>4047</v>
      </c>
      <c r="P141" t="s">
        <v>4047</v>
      </c>
    </row>
    <row r="142" spans="1:16" x14ac:dyDescent="0.25">
      <c r="A142" t="s">
        <v>1256</v>
      </c>
      <c r="B142">
        <v>2022</v>
      </c>
      <c r="C142">
        <v>0.95</v>
      </c>
      <c r="D142" t="s">
        <v>3347</v>
      </c>
      <c r="E142" t="s">
        <v>3347</v>
      </c>
      <c r="F142" t="s">
        <v>3347</v>
      </c>
      <c r="G142">
        <v>2030</v>
      </c>
      <c r="H142" t="s">
        <v>4044</v>
      </c>
      <c r="I142" t="s">
        <v>4044</v>
      </c>
      <c r="J142" t="s">
        <v>4044</v>
      </c>
      <c r="K142" t="s">
        <v>4044</v>
      </c>
      <c r="L142">
        <v>2033</v>
      </c>
      <c r="M142" t="s">
        <v>4048</v>
      </c>
      <c r="N142" t="s">
        <v>4048</v>
      </c>
      <c r="O142" t="s">
        <v>4048</v>
      </c>
      <c r="P142" t="s">
        <v>4048</v>
      </c>
    </row>
    <row r="143" spans="1:16" x14ac:dyDescent="0.25">
      <c r="A143" t="s">
        <v>1000</v>
      </c>
      <c r="B143">
        <v>2022</v>
      </c>
      <c r="C143">
        <v>0.95</v>
      </c>
      <c r="D143">
        <v>4.5999999999999996</v>
      </c>
      <c r="E143">
        <v>7.76</v>
      </c>
      <c r="F143">
        <v>7.9</v>
      </c>
      <c r="G143">
        <v>2027</v>
      </c>
      <c r="H143" t="s">
        <v>4046</v>
      </c>
      <c r="I143" t="s">
        <v>4046</v>
      </c>
      <c r="J143" t="s">
        <v>4046</v>
      </c>
      <c r="K143" t="s">
        <v>4046</v>
      </c>
      <c r="L143">
        <v>2030</v>
      </c>
      <c r="M143" t="s">
        <v>4044</v>
      </c>
      <c r="N143" t="s">
        <v>4044</v>
      </c>
      <c r="O143" t="s">
        <v>4044</v>
      </c>
      <c r="P143" t="s">
        <v>4044</v>
      </c>
    </row>
    <row r="144" spans="1:16" x14ac:dyDescent="0.25">
      <c r="A144" t="s">
        <v>206</v>
      </c>
      <c r="B144">
        <v>2021</v>
      </c>
      <c r="C144">
        <v>0.95</v>
      </c>
      <c r="D144">
        <v>1.1100000000000001</v>
      </c>
      <c r="E144" t="s">
        <v>3347</v>
      </c>
      <c r="F144">
        <v>28.08</v>
      </c>
      <c r="G144">
        <v>2024</v>
      </c>
      <c r="H144">
        <v>0.06</v>
      </c>
      <c r="I144">
        <v>3.66</v>
      </c>
      <c r="J144">
        <v>15.89</v>
      </c>
      <c r="K144">
        <v>1.3</v>
      </c>
      <c r="L144">
        <v>2031</v>
      </c>
      <c r="M144" t="s">
        <v>4045</v>
      </c>
      <c r="N144" t="s">
        <v>4045</v>
      </c>
      <c r="O144" t="s">
        <v>4045</v>
      </c>
      <c r="P144" t="s">
        <v>4045</v>
      </c>
    </row>
    <row r="145" spans="1:16" x14ac:dyDescent="0.25">
      <c r="A145" t="s">
        <v>1073</v>
      </c>
      <c r="B145">
        <v>2024</v>
      </c>
      <c r="C145">
        <v>0.95</v>
      </c>
      <c r="D145">
        <v>5.03</v>
      </c>
      <c r="E145">
        <v>13.74</v>
      </c>
      <c r="F145">
        <v>5.38</v>
      </c>
      <c r="G145">
        <v>2028</v>
      </c>
      <c r="H145" t="s">
        <v>4042</v>
      </c>
      <c r="I145" t="s">
        <v>4042</v>
      </c>
      <c r="J145" t="s">
        <v>4042</v>
      </c>
      <c r="K145" t="s">
        <v>4042</v>
      </c>
      <c r="L145">
        <v>2031</v>
      </c>
      <c r="M145" t="s">
        <v>4045</v>
      </c>
      <c r="N145" t="s">
        <v>4045</v>
      </c>
      <c r="O145" t="s">
        <v>4045</v>
      </c>
      <c r="P145" t="s">
        <v>4045</v>
      </c>
    </row>
    <row r="146" spans="1:16" x14ac:dyDescent="0.25">
      <c r="A146" t="s">
        <v>344</v>
      </c>
      <c r="B146">
        <v>2024</v>
      </c>
      <c r="C146">
        <v>0.95</v>
      </c>
      <c r="D146">
        <v>3.27</v>
      </c>
      <c r="E146">
        <v>16.920000000000002</v>
      </c>
      <c r="F146">
        <v>1.0900000000000001</v>
      </c>
      <c r="G146">
        <v>2025</v>
      </c>
      <c r="H146">
        <v>0.84</v>
      </c>
      <c r="I146">
        <v>4.28</v>
      </c>
      <c r="J146">
        <v>13.17</v>
      </c>
      <c r="K146">
        <v>1.91</v>
      </c>
      <c r="L146">
        <v>2034</v>
      </c>
      <c r="M146" t="s">
        <v>4050</v>
      </c>
      <c r="N146" t="s">
        <v>4050</v>
      </c>
      <c r="O146" t="s">
        <v>4050</v>
      </c>
      <c r="P146" t="s">
        <v>4050</v>
      </c>
    </row>
    <row r="147" spans="1:16" x14ac:dyDescent="0.25">
      <c r="A147" t="s">
        <v>1204</v>
      </c>
      <c r="B147">
        <v>2021</v>
      </c>
      <c r="C147">
        <v>0.95</v>
      </c>
      <c r="D147" t="s">
        <v>3347</v>
      </c>
      <c r="E147" t="s">
        <v>3347</v>
      </c>
      <c r="F147" t="s">
        <v>3347</v>
      </c>
      <c r="G147">
        <v>2025</v>
      </c>
      <c r="H147">
        <v>0.89</v>
      </c>
      <c r="I147">
        <v>4.97</v>
      </c>
      <c r="J147">
        <v>8.7100000000000009</v>
      </c>
      <c r="K147">
        <v>5.0599999999999996</v>
      </c>
      <c r="L147">
        <v>2032</v>
      </c>
      <c r="M147" t="s">
        <v>4047</v>
      </c>
      <c r="N147" t="s">
        <v>4047</v>
      </c>
      <c r="O147" t="s">
        <v>4047</v>
      </c>
      <c r="P147" t="s">
        <v>4047</v>
      </c>
    </row>
    <row r="148" spans="1:16" x14ac:dyDescent="0.25">
      <c r="A148" t="s">
        <v>1203</v>
      </c>
      <c r="B148">
        <v>2021</v>
      </c>
      <c r="C148">
        <v>0.96</v>
      </c>
      <c r="D148" t="s">
        <v>3347</v>
      </c>
      <c r="E148" t="s">
        <v>3347</v>
      </c>
      <c r="F148" t="s">
        <v>3347</v>
      </c>
      <c r="G148">
        <v>2025</v>
      </c>
      <c r="H148">
        <v>0.85</v>
      </c>
      <c r="I148">
        <v>3.95</v>
      </c>
      <c r="J148">
        <v>10.09</v>
      </c>
      <c r="K148">
        <v>4.49</v>
      </c>
      <c r="L148">
        <v>2032</v>
      </c>
      <c r="M148" t="s">
        <v>4047</v>
      </c>
      <c r="N148" t="s">
        <v>4047</v>
      </c>
      <c r="O148" t="s">
        <v>4047</v>
      </c>
      <c r="P148" t="s">
        <v>4047</v>
      </c>
    </row>
    <row r="149" spans="1:16" x14ac:dyDescent="0.25">
      <c r="A149" t="s">
        <v>252</v>
      </c>
      <c r="B149">
        <v>2021</v>
      </c>
      <c r="C149">
        <v>0.96</v>
      </c>
      <c r="D149">
        <v>0.69</v>
      </c>
      <c r="E149" t="s">
        <v>3347</v>
      </c>
      <c r="F149">
        <v>28.06</v>
      </c>
      <c r="G149">
        <v>2024</v>
      </c>
      <c r="H149">
        <v>0.85</v>
      </c>
      <c r="I149">
        <v>4.17</v>
      </c>
      <c r="J149">
        <v>16.579999999999998</v>
      </c>
      <c r="K149">
        <v>1.44</v>
      </c>
      <c r="L149">
        <v>2025</v>
      </c>
      <c r="M149">
        <v>0.7</v>
      </c>
      <c r="N149">
        <v>5.26</v>
      </c>
      <c r="O149">
        <v>10.73</v>
      </c>
      <c r="P149">
        <v>3.78</v>
      </c>
    </row>
    <row r="150" spans="1:16" x14ac:dyDescent="0.25">
      <c r="A150" t="s">
        <v>638</v>
      </c>
      <c r="B150">
        <v>2025</v>
      </c>
      <c r="C150">
        <v>0.96</v>
      </c>
      <c r="D150">
        <v>1.58</v>
      </c>
      <c r="E150" t="s">
        <v>3347</v>
      </c>
      <c r="F150">
        <v>3.54</v>
      </c>
      <c r="G150">
        <v>2031</v>
      </c>
      <c r="H150" t="s">
        <v>4045</v>
      </c>
      <c r="I150" t="s">
        <v>4045</v>
      </c>
      <c r="J150" t="s">
        <v>4045</v>
      </c>
      <c r="K150" t="s">
        <v>4045</v>
      </c>
      <c r="L150">
        <v>2034</v>
      </c>
      <c r="M150" t="s">
        <v>4050</v>
      </c>
      <c r="N150" t="s">
        <v>4050</v>
      </c>
      <c r="O150" t="s">
        <v>4050</v>
      </c>
      <c r="P150" t="s">
        <v>4050</v>
      </c>
    </row>
    <row r="151" spans="1:16" x14ac:dyDescent="0.25">
      <c r="A151" t="s">
        <v>592</v>
      </c>
      <c r="B151">
        <v>2024</v>
      </c>
      <c r="C151">
        <v>0.96</v>
      </c>
      <c r="D151" t="s">
        <v>3347</v>
      </c>
      <c r="E151" t="s">
        <v>3347</v>
      </c>
      <c r="F151" t="s">
        <v>3347</v>
      </c>
      <c r="G151">
        <v>2030</v>
      </c>
      <c r="H151" t="s">
        <v>4044</v>
      </c>
      <c r="I151" t="s">
        <v>4044</v>
      </c>
      <c r="J151" t="s">
        <v>4044</v>
      </c>
      <c r="K151" t="s">
        <v>4044</v>
      </c>
      <c r="L151">
        <v>2033</v>
      </c>
      <c r="M151" t="s">
        <v>4048</v>
      </c>
      <c r="N151" t="s">
        <v>4048</v>
      </c>
      <c r="O151" t="s">
        <v>4048</v>
      </c>
      <c r="P151" t="s">
        <v>4048</v>
      </c>
    </row>
    <row r="152" spans="1:16" x14ac:dyDescent="0.25">
      <c r="A152" t="s">
        <v>1016</v>
      </c>
      <c r="B152">
        <v>2024</v>
      </c>
      <c r="C152">
        <v>0.96</v>
      </c>
      <c r="D152">
        <v>3.56</v>
      </c>
      <c r="E152">
        <v>11.78</v>
      </c>
      <c r="F152">
        <v>3.42</v>
      </c>
      <c r="G152">
        <v>2028</v>
      </c>
      <c r="H152" t="s">
        <v>4042</v>
      </c>
      <c r="I152" t="s">
        <v>4042</v>
      </c>
      <c r="J152" t="s">
        <v>4042</v>
      </c>
      <c r="K152" t="s">
        <v>4042</v>
      </c>
      <c r="L152">
        <v>2031</v>
      </c>
      <c r="M152" t="s">
        <v>4045</v>
      </c>
      <c r="N152" t="s">
        <v>4045</v>
      </c>
      <c r="O152" t="s">
        <v>4045</v>
      </c>
      <c r="P152" t="s">
        <v>4045</v>
      </c>
    </row>
    <row r="153" spans="1:16" x14ac:dyDescent="0.25">
      <c r="A153" t="s">
        <v>162</v>
      </c>
      <c r="B153">
        <v>2021</v>
      </c>
      <c r="C153">
        <v>0.96</v>
      </c>
      <c r="D153">
        <v>1.1200000000000001</v>
      </c>
      <c r="E153">
        <v>46.13</v>
      </c>
      <c r="F153">
        <v>26.33</v>
      </c>
      <c r="G153">
        <v>2024</v>
      </c>
      <c r="H153">
        <v>1</v>
      </c>
      <c r="I153">
        <v>4.68</v>
      </c>
      <c r="J153">
        <v>16.989999999999998</v>
      </c>
      <c r="K153">
        <v>1.47</v>
      </c>
      <c r="L153">
        <v>2031</v>
      </c>
      <c r="M153" t="s">
        <v>4045</v>
      </c>
      <c r="N153" t="s">
        <v>4045</v>
      </c>
      <c r="O153" t="s">
        <v>4045</v>
      </c>
      <c r="P153" t="s">
        <v>4045</v>
      </c>
    </row>
    <row r="154" spans="1:16" x14ac:dyDescent="0.25">
      <c r="A154" t="s">
        <v>1243</v>
      </c>
      <c r="B154">
        <v>2024</v>
      </c>
      <c r="C154">
        <v>0.97</v>
      </c>
      <c r="D154">
        <v>3.5</v>
      </c>
      <c r="E154">
        <v>9.67</v>
      </c>
      <c r="F154">
        <v>7.0000000000000007E-2</v>
      </c>
      <c r="G154">
        <v>2030</v>
      </c>
      <c r="H154" t="s">
        <v>4044</v>
      </c>
      <c r="I154" t="s">
        <v>4044</v>
      </c>
      <c r="J154" t="s">
        <v>4044</v>
      </c>
      <c r="K154" t="s">
        <v>4044</v>
      </c>
      <c r="L154">
        <v>2033</v>
      </c>
      <c r="M154" t="s">
        <v>4048</v>
      </c>
      <c r="N154" t="s">
        <v>4048</v>
      </c>
      <c r="O154" t="s">
        <v>4048</v>
      </c>
      <c r="P154" t="s">
        <v>4048</v>
      </c>
    </row>
    <row r="155" spans="1:16" x14ac:dyDescent="0.25">
      <c r="A155" t="s">
        <v>1164</v>
      </c>
      <c r="B155">
        <v>2021</v>
      </c>
      <c r="C155">
        <v>0.97</v>
      </c>
      <c r="D155" t="s">
        <v>3347</v>
      </c>
      <c r="E155" t="s">
        <v>3347</v>
      </c>
      <c r="F155" t="s">
        <v>3347</v>
      </c>
      <c r="G155">
        <v>2025</v>
      </c>
      <c r="H155">
        <v>0.95</v>
      </c>
      <c r="I155">
        <v>2.69</v>
      </c>
      <c r="J155">
        <v>11.73</v>
      </c>
      <c r="K155">
        <v>3.75</v>
      </c>
      <c r="L155">
        <v>2032</v>
      </c>
      <c r="M155" t="s">
        <v>4047</v>
      </c>
      <c r="N155" t="s">
        <v>4047</v>
      </c>
      <c r="O155" t="s">
        <v>4047</v>
      </c>
      <c r="P155" t="s">
        <v>4047</v>
      </c>
    </row>
    <row r="156" spans="1:16" x14ac:dyDescent="0.25">
      <c r="A156" t="s">
        <v>602</v>
      </c>
      <c r="B156">
        <v>2024</v>
      </c>
      <c r="C156">
        <v>0.97</v>
      </c>
      <c r="D156">
        <v>2.68</v>
      </c>
      <c r="E156" t="s">
        <v>3347</v>
      </c>
      <c r="F156">
        <v>2.2200000000000002</v>
      </c>
      <c r="G156">
        <v>2030</v>
      </c>
      <c r="H156" t="s">
        <v>4044</v>
      </c>
      <c r="I156" t="s">
        <v>4044</v>
      </c>
      <c r="J156" t="s">
        <v>4044</v>
      </c>
      <c r="K156" t="s">
        <v>4044</v>
      </c>
      <c r="L156">
        <v>2033</v>
      </c>
      <c r="M156" t="s">
        <v>4048</v>
      </c>
      <c r="N156" t="s">
        <v>4048</v>
      </c>
      <c r="O156" t="s">
        <v>4048</v>
      </c>
      <c r="P156" t="s">
        <v>4048</v>
      </c>
    </row>
    <row r="157" spans="1:16" x14ac:dyDescent="0.25">
      <c r="A157" t="s">
        <v>503</v>
      </c>
      <c r="B157">
        <v>2024</v>
      </c>
      <c r="C157">
        <v>0.97</v>
      </c>
      <c r="D157">
        <v>2.06</v>
      </c>
      <c r="E157" t="s">
        <v>3347</v>
      </c>
      <c r="F157">
        <v>2.64</v>
      </c>
      <c r="G157">
        <v>2030</v>
      </c>
      <c r="H157" t="s">
        <v>4044</v>
      </c>
      <c r="I157" t="s">
        <v>4044</v>
      </c>
      <c r="J157" t="s">
        <v>4044</v>
      </c>
      <c r="K157" t="s">
        <v>4044</v>
      </c>
      <c r="L157">
        <v>2033</v>
      </c>
      <c r="M157" t="s">
        <v>4048</v>
      </c>
      <c r="N157" t="s">
        <v>4048</v>
      </c>
      <c r="O157" t="s">
        <v>4048</v>
      </c>
      <c r="P157" t="s">
        <v>4048</v>
      </c>
    </row>
    <row r="158" spans="1:16" x14ac:dyDescent="0.25">
      <c r="A158" t="s">
        <v>1316</v>
      </c>
      <c r="B158">
        <v>2025</v>
      </c>
      <c r="C158">
        <v>0.97</v>
      </c>
      <c r="D158">
        <v>0.84</v>
      </c>
      <c r="E158" t="s">
        <v>3347</v>
      </c>
      <c r="F158">
        <v>3.47</v>
      </c>
      <c r="G158">
        <v>2032</v>
      </c>
      <c r="H158" t="s">
        <v>4047</v>
      </c>
      <c r="I158" t="s">
        <v>4047</v>
      </c>
      <c r="J158" t="s">
        <v>4047</v>
      </c>
      <c r="K158" t="s">
        <v>4047</v>
      </c>
      <c r="L158">
        <v>2035</v>
      </c>
      <c r="M158" t="s">
        <v>4049</v>
      </c>
      <c r="N158" t="s">
        <v>4049</v>
      </c>
      <c r="O158" t="s">
        <v>4049</v>
      </c>
      <c r="P158" t="s">
        <v>4049</v>
      </c>
    </row>
    <row r="159" spans="1:16" x14ac:dyDescent="0.25">
      <c r="A159" t="s">
        <v>1098</v>
      </c>
      <c r="B159">
        <v>2024</v>
      </c>
      <c r="C159">
        <v>0.97</v>
      </c>
      <c r="D159">
        <v>4.05</v>
      </c>
      <c r="E159">
        <v>15.84</v>
      </c>
      <c r="F159">
        <v>3.24</v>
      </c>
      <c r="G159">
        <v>2028</v>
      </c>
      <c r="H159" t="s">
        <v>4042</v>
      </c>
      <c r="I159" t="s">
        <v>4042</v>
      </c>
      <c r="J159" t="s">
        <v>4042</v>
      </c>
      <c r="K159" t="s">
        <v>4042</v>
      </c>
      <c r="L159">
        <v>2031</v>
      </c>
      <c r="M159" t="s">
        <v>4045</v>
      </c>
      <c r="N159" t="s">
        <v>4045</v>
      </c>
      <c r="O159" t="s">
        <v>4045</v>
      </c>
      <c r="P159" t="s">
        <v>4045</v>
      </c>
    </row>
    <row r="160" spans="1:16" x14ac:dyDescent="0.25">
      <c r="A160" t="s">
        <v>572</v>
      </c>
      <c r="B160">
        <v>2022</v>
      </c>
      <c r="C160">
        <v>0.97</v>
      </c>
      <c r="D160">
        <v>0</v>
      </c>
      <c r="E160">
        <v>0</v>
      </c>
      <c r="F160">
        <v>4.17</v>
      </c>
      <c r="G160">
        <v>2024</v>
      </c>
      <c r="H160">
        <v>0.91</v>
      </c>
      <c r="I160" t="s">
        <v>3347</v>
      </c>
      <c r="J160" t="s">
        <v>3347</v>
      </c>
      <c r="K160" t="s">
        <v>3347</v>
      </c>
      <c r="L160">
        <v>2025</v>
      </c>
      <c r="M160">
        <v>0.05</v>
      </c>
      <c r="N160">
        <v>1.17</v>
      </c>
      <c r="O160" t="s">
        <v>3347</v>
      </c>
      <c r="P160">
        <v>4.76</v>
      </c>
    </row>
    <row r="161" spans="1:16" x14ac:dyDescent="0.25">
      <c r="A161" t="s">
        <v>1095</v>
      </c>
      <c r="B161">
        <v>2024</v>
      </c>
      <c r="C161">
        <v>0.97</v>
      </c>
      <c r="D161">
        <v>5.43</v>
      </c>
      <c r="E161">
        <v>15.87</v>
      </c>
      <c r="F161">
        <v>22.75</v>
      </c>
      <c r="G161">
        <v>2028</v>
      </c>
      <c r="H161" t="s">
        <v>4042</v>
      </c>
      <c r="I161" t="s">
        <v>4042</v>
      </c>
      <c r="J161" t="s">
        <v>4042</v>
      </c>
      <c r="K161" t="s">
        <v>4042</v>
      </c>
      <c r="L161">
        <v>2031</v>
      </c>
      <c r="M161" t="s">
        <v>4045</v>
      </c>
      <c r="N161" t="s">
        <v>4045</v>
      </c>
      <c r="O161" t="s">
        <v>4045</v>
      </c>
      <c r="P161" t="s">
        <v>4045</v>
      </c>
    </row>
    <row r="162" spans="1:16" x14ac:dyDescent="0.25">
      <c r="A162" t="s">
        <v>225</v>
      </c>
      <c r="B162">
        <v>2021</v>
      </c>
      <c r="C162">
        <v>0.97</v>
      </c>
      <c r="D162">
        <v>1.1499999999999999</v>
      </c>
      <c r="E162">
        <v>64.58</v>
      </c>
      <c r="F162">
        <v>26.91</v>
      </c>
      <c r="G162">
        <v>2022</v>
      </c>
      <c r="H162">
        <v>0.96</v>
      </c>
      <c r="I162">
        <v>4.8</v>
      </c>
      <c r="J162">
        <v>9.6300000000000008</v>
      </c>
      <c r="K162">
        <v>96.93</v>
      </c>
      <c r="L162">
        <v>2024</v>
      </c>
      <c r="M162">
        <v>0.94</v>
      </c>
      <c r="N162">
        <v>4.3099999999999996</v>
      </c>
      <c r="O162">
        <v>21.81</v>
      </c>
      <c r="P162">
        <v>1.54</v>
      </c>
    </row>
    <row r="163" spans="1:16" x14ac:dyDescent="0.25">
      <c r="A163" t="s">
        <v>974</v>
      </c>
      <c r="B163">
        <v>2022</v>
      </c>
      <c r="C163">
        <v>0.97</v>
      </c>
      <c r="D163">
        <v>1.1399999999999999</v>
      </c>
      <c r="E163">
        <v>11</v>
      </c>
      <c r="F163">
        <v>4.45</v>
      </c>
      <c r="G163">
        <v>2027</v>
      </c>
      <c r="H163" t="s">
        <v>4046</v>
      </c>
      <c r="I163" t="s">
        <v>4046</v>
      </c>
      <c r="J163" t="s">
        <v>4046</v>
      </c>
      <c r="K163" t="s">
        <v>4046</v>
      </c>
      <c r="L163">
        <v>2030</v>
      </c>
      <c r="M163" t="s">
        <v>4044</v>
      </c>
      <c r="N163" t="s">
        <v>4044</v>
      </c>
      <c r="O163" t="s">
        <v>4044</v>
      </c>
      <c r="P163" t="s">
        <v>4044</v>
      </c>
    </row>
    <row r="164" spans="1:16" x14ac:dyDescent="0.25">
      <c r="A164" t="s">
        <v>589</v>
      </c>
      <c r="B164">
        <v>2024</v>
      </c>
      <c r="C164">
        <v>0.97</v>
      </c>
      <c r="D164" t="s">
        <v>3347</v>
      </c>
      <c r="E164" t="s">
        <v>3347</v>
      </c>
      <c r="F164" t="s">
        <v>3347</v>
      </c>
      <c r="G164">
        <v>2030</v>
      </c>
      <c r="H164" t="s">
        <v>4044</v>
      </c>
      <c r="I164" t="s">
        <v>4044</v>
      </c>
      <c r="J164" t="s">
        <v>4044</v>
      </c>
      <c r="K164" t="s">
        <v>4044</v>
      </c>
      <c r="L164">
        <v>2033</v>
      </c>
      <c r="M164" t="s">
        <v>4048</v>
      </c>
      <c r="N164" t="s">
        <v>4048</v>
      </c>
      <c r="O164" t="s">
        <v>4048</v>
      </c>
      <c r="P164" t="s">
        <v>4048</v>
      </c>
    </row>
    <row r="165" spans="1:16" x14ac:dyDescent="0.25">
      <c r="A165" t="s">
        <v>1238</v>
      </c>
      <c r="B165">
        <v>2022</v>
      </c>
      <c r="C165">
        <v>0.97</v>
      </c>
      <c r="D165" t="s">
        <v>3347</v>
      </c>
      <c r="E165" t="s">
        <v>3347</v>
      </c>
      <c r="F165" t="s">
        <v>3347</v>
      </c>
      <c r="G165">
        <v>2024</v>
      </c>
      <c r="H165">
        <v>0.94</v>
      </c>
      <c r="I165">
        <v>1.36</v>
      </c>
      <c r="J165" t="s">
        <v>3347</v>
      </c>
      <c r="K165">
        <v>2.95</v>
      </c>
      <c r="L165">
        <v>2033</v>
      </c>
      <c r="M165" t="s">
        <v>4048</v>
      </c>
      <c r="N165" t="s">
        <v>4048</v>
      </c>
      <c r="O165" t="s">
        <v>4048</v>
      </c>
      <c r="P165" t="s">
        <v>4048</v>
      </c>
    </row>
    <row r="166" spans="1:16" x14ac:dyDescent="0.25">
      <c r="A166" t="s">
        <v>1126</v>
      </c>
      <c r="B166">
        <v>2021</v>
      </c>
      <c r="C166">
        <v>0.97</v>
      </c>
      <c r="D166" t="s">
        <v>3347</v>
      </c>
      <c r="E166">
        <v>1</v>
      </c>
      <c r="F166" t="s">
        <v>3347</v>
      </c>
      <c r="G166">
        <v>2022</v>
      </c>
      <c r="H166">
        <v>0.88</v>
      </c>
      <c r="I166" t="s">
        <v>3347</v>
      </c>
      <c r="J166" t="s">
        <v>3347</v>
      </c>
      <c r="K166" t="s">
        <v>3347</v>
      </c>
      <c r="L166">
        <v>2024</v>
      </c>
      <c r="M166">
        <v>0.31</v>
      </c>
      <c r="N166" t="s">
        <v>3347</v>
      </c>
      <c r="O166" t="s">
        <v>3347</v>
      </c>
      <c r="P166" t="s">
        <v>3347</v>
      </c>
    </row>
    <row r="167" spans="1:16" x14ac:dyDescent="0.25">
      <c r="A167" t="s">
        <v>1297</v>
      </c>
      <c r="B167">
        <v>2025</v>
      </c>
      <c r="C167">
        <v>0.98</v>
      </c>
      <c r="D167">
        <v>1.57</v>
      </c>
      <c r="E167">
        <v>9.01</v>
      </c>
      <c r="F167">
        <v>3.31</v>
      </c>
      <c r="G167">
        <v>2031</v>
      </c>
      <c r="H167" t="s">
        <v>4045</v>
      </c>
      <c r="I167" t="s">
        <v>4045</v>
      </c>
      <c r="J167" t="s">
        <v>4045</v>
      </c>
      <c r="K167" t="s">
        <v>4045</v>
      </c>
      <c r="L167">
        <v>2034</v>
      </c>
      <c r="M167" t="s">
        <v>4050</v>
      </c>
      <c r="N167" t="s">
        <v>4050</v>
      </c>
      <c r="O167" t="s">
        <v>4050</v>
      </c>
      <c r="P167" t="s">
        <v>4050</v>
      </c>
    </row>
    <row r="168" spans="1:16" x14ac:dyDescent="0.25">
      <c r="A168" t="s">
        <v>608</v>
      </c>
      <c r="B168">
        <v>2024</v>
      </c>
      <c r="C168">
        <v>0.98</v>
      </c>
      <c r="D168" t="s">
        <v>3347</v>
      </c>
      <c r="E168" t="s">
        <v>3347</v>
      </c>
      <c r="F168" t="s">
        <v>3347</v>
      </c>
      <c r="G168">
        <v>2030</v>
      </c>
      <c r="H168" t="s">
        <v>4044</v>
      </c>
      <c r="I168" t="s">
        <v>4044</v>
      </c>
      <c r="J168" t="s">
        <v>4044</v>
      </c>
      <c r="K168" t="s">
        <v>4044</v>
      </c>
      <c r="L168">
        <v>2033</v>
      </c>
      <c r="M168" t="s">
        <v>4048</v>
      </c>
      <c r="N168" t="s">
        <v>4048</v>
      </c>
      <c r="O168" t="s">
        <v>4048</v>
      </c>
      <c r="P168" t="s">
        <v>4048</v>
      </c>
    </row>
    <row r="169" spans="1:16" x14ac:dyDescent="0.25">
      <c r="A169" t="s">
        <v>968</v>
      </c>
      <c r="B169">
        <v>2024</v>
      </c>
      <c r="C169">
        <v>0.98</v>
      </c>
      <c r="D169">
        <v>5.22</v>
      </c>
      <c r="E169">
        <v>13.16</v>
      </c>
      <c r="F169">
        <v>9.2100000000000009</v>
      </c>
      <c r="G169">
        <v>2027</v>
      </c>
      <c r="H169" t="s">
        <v>4046</v>
      </c>
      <c r="I169" t="s">
        <v>4046</v>
      </c>
      <c r="J169" t="s">
        <v>4046</v>
      </c>
      <c r="K169" t="s">
        <v>4046</v>
      </c>
      <c r="L169">
        <v>2030</v>
      </c>
      <c r="M169" t="s">
        <v>4044</v>
      </c>
      <c r="N169" t="s">
        <v>4044</v>
      </c>
      <c r="O169" t="s">
        <v>4044</v>
      </c>
      <c r="P169" t="s">
        <v>4044</v>
      </c>
    </row>
    <row r="170" spans="1:16" x14ac:dyDescent="0.25">
      <c r="A170" t="s">
        <v>1039</v>
      </c>
      <c r="B170">
        <v>2024</v>
      </c>
      <c r="C170">
        <v>0.98</v>
      </c>
      <c r="D170">
        <v>5.29</v>
      </c>
      <c r="E170">
        <v>11.9</v>
      </c>
      <c r="F170">
        <v>17.13</v>
      </c>
      <c r="G170">
        <v>2028</v>
      </c>
      <c r="H170" t="s">
        <v>4042</v>
      </c>
      <c r="I170" t="s">
        <v>4042</v>
      </c>
      <c r="J170" t="s">
        <v>4042</v>
      </c>
      <c r="K170" t="s">
        <v>4042</v>
      </c>
      <c r="L170">
        <v>2031</v>
      </c>
      <c r="M170" t="s">
        <v>4045</v>
      </c>
      <c r="N170" t="s">
        <v>4045</v>
      </c>
      <c r="O170" t="s">
        <v>4045</v>
      </c>
      <c r="P170" t="s">
        <v>4045</v>
      </c>
    </row>
    <row r="171" spans="1:16" x14ac:dyDescent="0.25">
      <c r="A171" t="s">
        <v>1272</v>
      </c>
      <c r="B171">
        <v>2022</v>
      </c>
      <c r="C171">
        <v>0.98</v>
      </c>
      <c r="D171" t="s">
        <v>3347</v>
      </c>
      <c r="E171" t="s">
        <v>3347</v>
      </c>
      <c r="F171" t="s">
        <v>3347</v>
      </c>
      <c r="G171">
        <v>2024</v>
      </c>
      <c r="H171">
        <v>0.99</v>
      </c>
      <c r="I171" t="s">
        <v>3347</v>
      </c>
      <c r="J171" t="s">
        <v>3347</v>
      </c>
      <c r="K171" t="s">
        <v>3347</v>
      </c>
      <c r="L171">
        <v>2033</v>
      </c>
      <c r="M171" t="s">
        <v>4048</v>
      </c>
      <c r="N171" t="s">
        <v>4048</v>
      </c>
      <c r="O171" t="s">
        <v>4048</v>
      </c>
      <c r="P171" t="s">
        <v>4048</v>
      </c>
    </row>
    <row r="172" spans="1:16" x14ac:dyDescent="0.25">
      <c r="A172" t="s">
        <v>235</v>
      </c>
      <c r="B172">
        <v>2021</v>
      </c>
      <c r="C172">
        <v>0.98</v>
      </c>
      <c r="D172">
        <v>1.34</v>
      </c>
      <c r="E172">
        <v>64.58</v>
      </c>
      <c r="F172">
        <v>34.57</v>
      </c>
      <c r="G172">
        <v>2024</v>
      </c>
      <c r="H172">
        <v>0.79</v>
      </c>
      <c r="I172">
        <v>5.3</v>
      </c>
      <c r="J172">
        <v>24.79</v>
      </c>
      <c r="K172">
        <v>5.39</v>
      </c>
      <c r="L172">
        <v>2031</v>
      </c>
      <c r="M172" t="s">
        <v>4045</v>
      </c>
      <c r="N172" t="s">
        <v>4045</v>
      </c>
      <c r="O172" t="s">
        <v>4045</v>
      </c>
      <c r="P172" t="s">
        <v>4045</v>
      </c>
    </row>
    <row r="173" spans="1:16" x14ac:dyDescent="0.25">
      <c r="A173" t="s">
        <v>1067</v>
      </c>
      <c r="B173">
        <v>2024</v>
      </c>
      <c r="C173">
        <v>0.99</v>
      </c>
      <c r="D173">
        <v>7.57</v>
      </c>
      <c r="E173">
        <v>16.350000000000001</v>
      </c>
      <c r="F173">
        <v>31.54</v>
      </c>
      <c r="G173">
        <v>2028</v>
      </c>
      <c r="H173" t="s">
        <v>4042</v>
      </c>
      <c r="I173" t="s">
        <v>4042</v>
      </c>
      <c r="J173" t="s">
        <v>4042</v>
      </c>
      <c r="K173" t="s">
        <v>4042</v>
      </c>
      <c r="L173">
        <v>2031</v>
      </c>
      <c r="M173" t="s">
        <v>4045</v>
      </c>
      <c r="N173" t="s">
        <v>4045</v>
      </c>
      <c r="O173" t="s">
        <v>4045</v>
      </c>
      <c r="P173" t="s">
        <v>4045</v>
      </c>
    </row>
    <row r="174" spans="1:16" x14ac:dyDescent="0.25">
      <c r="A174" t="s">
        <v>1024</v>
      </c>
      <c r="B174">
        <v>2024</v>
      </c>
      <c r="C174">
        <v>0.99</v>
      </c>
      <c r="D174">
        <v>3.46</v>
      </c>
      <c r="E174">
        <v>10.98</v>
      </c>
      <c r="F174">
        <v>1.6</v>
      </c>
      <c r="G174">
        <v>2028</v>
      </c>
      <c r="H174" t="s">
        <v>4042</v>
      </c>
      <c r="I174" t="s">
        <v>4042</v>
      </c>
      <c r="J174" t="s">
        <v>4042</v>
      </c>
      <c r="K174" t="s">
        <v>4042</v>
      </c>
      <c r="L174">
        <v>2031</v>
      </c>
      <c r="M174" t="s">
        <v>4045</v>
      </c>
      <c r="N174" t="s">
        <v>4045</v>
      </c>
      <c r="O174" t="s">
        <v>4045</v>
      </c>
      <c r="P174" t="s">
        <v>4045</v>
      </c>
    </row>
    <row r="175" spans="1:16" x14ac:dyDescent="0.25">
      <c r="A175" t="s">
        <v>1289</v>
      </c>
      <c r="B175">
        <v>2025</v>
      </c>
      <c r="C175">
        <v>0.99</v>
      </c>
      <c r="D175">
        <v>0.5</v>
      </c>
      <c r="E175" t="s">
        <v>3347</v>
      </c>
      <c r="F175">
        <v>2.56</v>
      </c>
      <c r="G175">
        <v>2031</v>
      </c>
      <c r="H175" t="s">
        <v>4045</v>
      </c>
      <c r="I175" t="s">
        <v>4045</v>
      </c>
      <c r="J175" t="s">
        <v>4045</v>
      </c>
      <c r="K175" t="s">
        <v>4045</v>
      </c>
      <c r="L175">
        <v>2034</v>
      </c>
      <c r="M175" t="s">
        <v>4050</v>
      </c>
      <c r="N175" t="s">
        <v>4050</v>
      </c>
      <c r="O175" t="s">
        <v>4050</v>
      </c>
      <c r="P175" t="s">
        <v>4050</v>
      </c>
    </row>
    <row r="176" spans="1:16" x14ac:dyDescent="0.25">
      <c r="A176" t="s">
        <v>952</v>
      </c>
      <c r="B176">
        <v>2022</v>
      </c>
      <c r="C176">
        <v>0.99</v>
      </c>
      <c r="D176">
        <v>4.8899999999999997</v>
      </c>
      <c r="E176">
        <v>10.62</v>
      </c>
      <c r="F176">
        <v>8.8000000000000007</v>
      </c>
      <c r="G176">
        <v>2027</v>
      </c>
      <c r="H176" t="s">
        <v>4046</v>
      </c>
      <c r="I176" t="s">
        <v>4046</v>
      </c>
      <c r="J176" t="s">
        <v>4046</v>
      </c>
      <c r="K176" t="s">
        <v>4046</v>
      </c>
      <c r="L176">
        <v>2030</v>
      </c>
      <c r="M176" t="s">
        <v>4044</v>
      </c>
      <c r="N176" t="s">
        <v>4044</v>
      </c>
      <c r="O176" t="s">
        <v>4044</v>
      </c>
      <c r="P176" t="s">
        <v>4044</v>
      </c>
    </row>
    <row r="177" spans="1:16" x14ac:dyDescent="0.25">
      <c r="A177" t="s">
        <v>1285</v>
      </c>
      <c r="B177">
        <v>2025</v>
      </c>
      <c r="C177">
        <v>0.99</v>
      </c>
      <c r="D177">
        <v>2.37</v>
      </c>
      <c r="E177">
        <v>11.52</v>
      </c>
      <c r="F177">
        <v>2.4300000000000002</v>
      </c>
      <c r="G177">
        <v>2031</v>
      </c>
      <c r="H177" t="s">
        <v>4045</v>
      </c>
      <c r="I177" t="s">
        <v>4045</v>
      </c>
      <c r="J177" t="s">
        <v>4045</v>
      </c>
      <c r="K177" t="s">
        <v>4045</v>
      </c>
      <c r="L177">
        <v>2034</v>
      </c>
      <c r="M177" t="s">
        <v>4050</v>
      </c>
      <c r="N177" t="s">
        <v>4050</v>
      </c>
      <c r="O177" t="s">
        <v>4050</v>
      </c>
      <c r="P177" t="s">
        <v>4050</v>
      </c>
    </row>
    <row r="178" spans="1:16" x14ac:dyDescent="0.25">
      <c r="A178" t="s">
        <v>1242</v>
      </c>
      <c r="B178">
        <v>2022</v>
      </c>
      <c r="C178">
        <v>0.99</v>
      </c>
      <c r="D178" t="s">
        <v>3347</v>
      </c>
      <c r="E178" t="s">
        <v>3347</v>
      </c>
      <c r="F178" t="s">
        <v>3347</v>
      </c>
      <c r="G178">
        <v>2030</v>
      </c>
      <c r="H178" t="s">
        <v>4044</v>
      </c>
      <c r="I178" t="s">
        <v>4044</v>
      </c>
      <c r="J178" t="s">
        <v>4044</v>
      </c>
      <c r="K178" t="s">
        <v>4044</v>
      </c>
      <c r="L178">
        <v>2033</v>
      </c>
      <c r="M178" t="s">
        <v>4048</v>
      </c>
      <c r="N178" t="s">
        <v>4048</v>
      </c>
      <c r="O178" t="s">
        <v>4048</v>
      </c>
      <c r="P178" t="s">
        <v>4048</v>
      </c>
    </row>
    <row r="179" spans="1:16" x14ac:dyDescent="0.25">
      <c r="A179" t="s">
        <v>398</v>
      </c>
      <c r="B179">
        <v>2021</v>
      </c>
      <c r="C179">
        <v>1</v>
      </c>
      <c r="D179">
        <v>1.6</v>
      </c>
      <c r="E179" t="s">
        <v>3347</v>
      </c>
      <c r="F179">
        <v>4.03</v>
      </c>
      <c r="G179">
        <v>2022</v>
      </c>
      <c r="H179">
        <v>0.86</v>
      </c>
      <c r="I179">
        <v>1.53</v>
      </c>
      <c r="J179">
        <v>0</v>
      </c>
      <c r="K179">
        <v>3.62</v>
      </c>
      <c r="L179">
        <v>2030</v>
      </c>
      <c r="M179" t="s">
        <v>4044</v>
      </c>
      <c r="N179" t="s">
        <v>4044</v>
      </c>
      <c r="O179" t="s">
        <v>4044</v>
      </c>
      <c r="P179" t="s">
        <v>4044</v>
      </c>
    </row>
    <row r="180" spans="1:16" x14ac:dyDescent="0.25">
      <c r="A180" t="s">
        <v>1060</v>
      </c>
      <c r="B180">
        <v>2024</v>
      </c>
      <c r="C180">
        <v>1</v>
      </c>
      <c r="D180">
        <v>2.0099999999999998</v>
      </c>
      <c r="E180">
        <v>12.07</v>
      </c>
      <c r="F180">
        <v>4.49</v>
      </c>
      <c r="G180">
        <v>2025</v>
      </c>
      <c r="H180">
        <v>1</v>
      </c>
      <c r="I180">
        <v>2.89</v>
      </c>
      <c r="J180">
        <v>11.02</v>
      </c>
      <c r="K180">
        <v>7.09</v>
      </c>
      <c r="L180">
        <v>2031</v>
      </c>
      <c r="M180" t="s">
        <v>4045</v>
      </c>
      <c r="N180" t="s">
        <v>4045</v>
      </c>
      <c r="O180" t="s">
        <v>4045</v>
      </c>
      <c r="P180" t="s">
        <v>4045</v>
      </c>
    </row>
    <row r="181" spans="1:16" x14ac:dyDescent="0.25">
      <c r="A181" t="s">
        <v>1270</v>
      </c>
      <c r="B181">
        <v>2022</v>
      </c>
      <c r="C181">
        <v>1</v>
      </c>
      <c r="D181">
        <v>0</v>
      </c>
      <c r="E181" t="s">
        <v>3347</v>
      </c>
      <c r="F181">
        <v>2.57</v>
      </c>
      <c r="G181">
        <v>2024</v>
      </c>
      <c r="H181">
        <v>0.72</v>
      </c>
      <c r="I181" t="s">
        <v>3347</v>
      </c>
      <c r="J181" t="s">
        <v>3347</v>
      </c>
      <c r="K181" t="s">
        <v>3347</v>
      </c>
      <c r="L181">
        <v>2033</v>
      </c>
      <c r="M181" t="s">
        <v>4048</v>
      </c>
      <c r="N181" t="s">
        <v>4048</v>
      </c>
      <c r="O181" t="s">
        <v>4048</v>
      </c>
      <c r="P181" t="s">
        <v>4048</v>
      </c>
    </row>
    <row r="182" spans="1:16" x14ac:dyDescent="0.25">
      <c r="A182" t="s">
        <v>1264</v>
      </c>
      <c r="B182">
        <v>2022</v>
      </c>
      <c r="C182">
        <v>1</v>
      </c>
      <c r="D182" t="s">
        <v>3347</v>
      </c>
      <c r="E182" t="s">
        <v>3347</v>
      </c>
      <c r="F182" t="s">
        <v>3347</v>
      </c>
      <c r="G182">
        <v>2024</v>
      </c>
      <c r="H182">
        <v>0.41</v>
      </c>
      <c r="I182">
        <v>0.9</v>
      </c>
      <c r="J182" t="s">
        <v>3347</v>
      </c>
      <c r="K182">
        <v>4.0999999999999996</v>
      </c>
      <c r="L182">
        <v>2033</v>
      </c>
      <c r="M182" t="s">
        <v>4048</v>
      </c>
      <c r="N182" t="s">
        <v>4048</v>
      </c>
      <c r="O182" t="s">
        <v>4048</v>
      </c>
      <c r="P182" t="s">
        <v>4048</v>
      </c>
    </row>
    <row r="183" spans="1:16" x14ac:dyDescent="0.25">
      <c r="A183" t="s">
        <v>1013</v>
      </c>
      <c r="B183">
        <v>2025</v>
      </c>
      <c r="C183">
        <v>1</v>
      </c>
      <c r="D183">
        <v>3.48</v>
      </c>
      <c r="E183">
        <v>10.83</v>
      </c>
      <c r="F183">
        <v>1.67</v>
      </c>
      <c r="G183">
        <v>2028</v>
      </c>
      <c r="H183" t="s">
        <v>4042</v>
      </c>
      <c r="I183" t="s">
        <v>4042</v>
      </c>
      <c r="J183" t="s">
        <v>4042</v>
      </c>
      <c r="K183" t="s">
        <v>4042</v>
      </c>
      <c r="L183">
        <v>2031</v>
      </c>
      <c r="M183" t="s">
        <v>4045</v>
      </c>
      <c r="N183" t="s">
        <v>4045</v>
      </c>
      <c r="O183" t="s">
        <v>4045</v>
      </c>
      <c r="P183" t="s">
        <v>4045</v>
      </c>
    </row>
    <row r="184" spans="1:16" x14ac:dyDescent="0.25">
      <c r="A184" t="s">
        <v>249</v>
      </c>
      <c r="B184">
        <v>2021</v>
      </c>
      <c r="C184">
        <v>1</v>
      </c>
      <c r="D184">
        <v>0.17</v>
      </c>
      <c r="E184" t="s">
        <v>3347</v>
      </c>
      <c r="F184">
        <v>35.590000000000003</v>
      </c>
      <c r="G184">
        <v>2024</v>
      </c>
      <c r="H184">
        <v>0.97</v>
      </c>
      <c r="I184">
        <v>5.57</v>
      </c>
      <c r="J184">
        <v>21.3</v>
      </c>
      <c r="K184">
        <v>7.42</v>
      </c>
      <c r="L184">
        <v>2025</v>
      </c>
      <c r="M184">
        <v>0.97</v>
      </c>
      <c r="N184">
        <v>6.39</v>
      </c>
      <c r="O184">
        <v>15.4</v>
      </c>
      <c r="P184">
        <v>10.64</v>
      </c>
    </row>
    <row r="185" spans="1:16" x14ac:dyDescent="0.25">
      <c r="A185" t="s">
        <v>214</v>
      </c>
      <c r="B185">
        <v>2021</v>
      </c>
      <c r="C185">
        <v>1</v>
      </c>
      <c r="D185">
        <v>0.85</v>
      </c>
      <c r="E185" t="s">
        <v>3347</v>
      </c>
      <c r="F185">
        <v>29.88</v>
      </c>
      <c r="G185">
        <v>2024</v>
      </c>
      <c r="H185">
        <v>0</v>
      </c>
      <c r="I185">
        <v>5.45</v>
      </c>
      <c r="J185">
        <v>16.54</v>
      </c>
      <c r="K185">
        <v>33.24</v>
      </c>
      <c r="L185">
        <v>2031</v>
      </c>
      <c r="M185" t="s">
        <v>4045</v>
      </c>
      <c r="N185" t="s">
        <v>4045</v>
      </c>
      <c r="O185" t="s">
        <v>4045</v>
      </c>
      <c r="P185" t="s">
        <v>4045</v>
      </c>
    </row>
    <row r="186" spans="1:16" x14ac:dyDescent="0.25">
      <c r="A186" t="s">
        <v>1148</v>
      </c>
      <c r="B186">
        <v>2021</v>
      </c>
      <c r="C186">
        <v>1</v>
      </c>
      <c r="D186" t="s">
        <v>3347</v>
      </c>
      <c r="E186" t="s">
        <v>3347</v>
      </c>
      <c r="F186" t="s">
        <v>3347</v>
      </c>
      <c r="G186">
        <v>2025</v>
      </c>
      <c r="H186">
        <v>0.94</v>
      </c>
      <c r="I186">
        <v>4.38</v>
      </c>
      <c r="J186">
        <v>11.36</v>
      </c>
      <c r="K186">
        <v>3.96</v>
      </c>
      <c r="L186">
        <v>2032</v>
      </c>
      <c r="M186" t="s">
        <v>4047</v>
      </c>
      <c r="N186" t="s">
        <v>4047</v>
      </c>
      <c r="O186" t="s">
        <v>4047</v>
      </c>
      <c r="P186" t="s">
        <v>4047</v>
      </c>
    </row>
    <row r="187" spans="1:16" x14ac:dyDescent="0.25">
      <c r="A187" t="s">
        <v>1271</v>
      </c>
      <c r="B187">
        <v>2022</v>
      </c>
      <c r="C187">
        <v>1</v>
      </c>
      <c r="D187" t="s">
        <v>3347</v>
      </c>
      <c r="E187" t="s">
        <v>3347</v>
      </c>
      <c r="F187" t="s">
        <v>3347</v>
      </c>
      <c r="G187">
        <v>2024</v>
      </c>
      <c r="H187">
        <v>0.06</v>
      </c>
      <c r="I187" t="s">
        <v>3347</v>
      </c>
      <c r="J187" t="s">
        <v>3347</v>
      </c>
      <c r="K187" t="s">
        <v>3347</v>
      </c>
      <c r="L187">
        <v>2033</v>
      </c>
      <c r="M187" t="s">
        <v>4048</v>
      </c>
      <c r="N187" t="s">
        <v>4048</v>
      </c>
      <c r="O187" t="s">
        <v>4048</v>
      </c>
      <c r="P187" t="s">
        <v>4048</v>
      </c>
    </row>
    <row r="188" spans="1:16" x14ac:dyDescent="0.25">
      <c r="A188" t="s">
        <v>1246</v>
      </c>
      <c r="B188">
        <v>2022</v>
      </c>
      <c r="C188">
        <v>1</v>
      </c>
      <c r="D188" t="s">
        <v>3347</v>
      </c>
      <c r="E188" t="s">
        <v>3347</v>
      </c>
      <c r="F188" t="s">
        <v>3347</v>
      </c>
      <c r="G188">
        <v>2024</v>
      </c>
      <c r="H188">
        <v>0.97</v>
      </c>
      <c r="I188" t="s">
        <v>3347</v>
      </c>
      <c r="J188" t="s">
        <v>3347</v>
      </c>
      <c r="K188" t="s">
        <v>3347</v>
      </c>
      <c r="L188">
        <v>2033</v>
      </c>
      <c r="M188" t="s">
        <v>4048</v>
      </c>
      <c r="N188" t="s">
        <v>4048</v>
      </c>
      <c r="O188" t="s">
        <v>4048</v>
      </c>
      <c r="P188" t="s">
        <v>4048</v>
      </c>
    </row>
    <row r="189" spans="1:16" x14ac:dyDescent="0.25">
      <c r="A189" t="s">
        <v>497</v>
      </c>
      <c r="B189">
        <v>2021</v>
      </c>
      <c r="C189">
        <v>1</v>
      </c>
      <c r="D189">
        <v>0.59</v>
      </c>
      <c r="E189" t="s">
        <v>3347</v>
      </c>
      <c r="F189">
        <v>3.5</v>
      </c>
      <c r="G189">
        <v>2022</v>
      </c>
      <c r="H189">
        <v>0.97</v>
      </c>
      <c r="I189">
        <v>0</v>
      </c>
      <c r="J189">
        <v>0</v>
      </c>
      <c r="K189">
        <v>10.41</v>
      </c>
      <c r="L189">
        <v>2025</v>
      </c>
      <c r="M189">
        <v>1</v>
      </c>
      <c r="N189">
        <v>5</v>
      </c>
      <c r="O189">
        <v>11.65</v>
      </c>
      <c r="P189">
        <v>4.59</v>
      </c>
    </row>
    <row r="190" spans="1:16" x14ac:dyDescent="0.25">
      <c r="A190" t="s">
        <v>936</v>
      </c>
      <c r="B190">
        <v>2021</v>
      </c>
      <c r="C190">
        <v>1</v>
      </c>
      <c r="D190">
        <v>1.03</v>
      </c>
      <c r="E190" t="s">
        <v>3347</v>
      </c>
      <c r="F190">
        <v>3.44</v>
      </c>
      <c r="G190">
        <v>2026</v>
      </c>
      <c r="H190" t="s">
        <v>4051</v>
      </c>
      <c r="I190" t="s">
        <v>4051</v>
      </c>
      <c r="J190" t="s">
        <v>4051</v>
      </c>
      <c r="K190" t="s">
        <v>4051</v>
      </c>
      <c r="L190">
        <v>2029</v>
      </c>
      <c r="M190" t="s">
        <v>4043</v>
      </c>
      <c r="N190" t="s">
        <v>4043</v>
      </c>
      <c r="O190" t="s">
        <v>4043</v>
      </c>
      <c r="P190" t="s">
        <v>4043</v>
      </c>
    </row>
    <row r="191" spans="1:16" x14ac:dyDescent="0.25">
      <c r="A191" t="s">
        <v>329</v>
      </c>
      <c r="B191">
        <v>2022</v>
      </c>
      <c r="C191">
        <v>1</v>
      </c>
      <c r="D191">
        <v>0</v>
      </c>
      <c r="E191">
        <v>0</v>
      </c>
      <c r="F191">
        <v>3.97</v>
      </c>
      <c r="G191">
        <v>2024</v>
      </c>
      <c r="H191">
        <v>0.98</v>
      </c>
      <c r="I191">
        <v>3.9</v>
      </c>
      <c r="J191">
        <v>16.86</v>
      </c>
      <c r="K191">
        <v>0.64</v>
      </c>
      <c r="L191">
        <v>2033</v>
      </c>
      <c r="M191" t="s">
        <v>4048</v>
      </c>
      <c r="N191" t="s">
        <v>4048</v>
      </c>
      <c r="O191" t="s">
        <v>4048</v>
      </c>
      <c r="P191" t="s">
        <v>4048</v>
      </c>
    </row>
    <row r="192" spans="1:16" x14ac:dyDescent="0.25">
      <c r="A192" t="s">
        <v>890</v>
      </c>
      <c r="B192">
        <v>2021</v>
      </c>
      <c r="C192">
        <v>1</v>
      </c>
      <c r="D192">
        <v>6.78</v>
      </c>
      <c r="E192">
        <v>29.54</v>
      </c>
      <c r="F192">
        <v>10.48</v>
      </c>
      <c r="G192">
        <v>2025</v>
      </c>
      <c r="H192">
        <v>0.97</v>
      </c>
      <c r="I192">
        <v>10.23</v>
      </c>
      <c r="J192">
        <v>16.22</v>
      </c>
      <c r="K192">
        <v>122.33</v>
      </c>
      <c r="L192">
        <v>2027</v>
      </c>
      <c r="M192" t="s">
        <v>4046</v>
      </c>
      <c r="N192" t="s">
        <v>4046</v>
      </c>
      <c r="O192" t="s">
        <v>4046</v>
      </c>
      <c r="P192" t="s">
        <v>4046</v>
      </c>
    </row>
    <row r="193" spans="1:16" x14ac:dyDescent="0.25">
      <c r="A193" t="s">
        <v>259</v>
      </c>
      <c r="B193">
        <v>2021</v>
      </c>
      <c r="C193">
        <v>1</v>
      </c>
      <c r="D193">
        <v>0.15</v>
      </c>
      <c r="E193" t="s">
        <v>3347</v>
      </c>
      <c r="F193">
        <v>9.94</v>
      </c>
      <c r="G193">
        <v>2024</v>
      </c>
      <c r="H193">
        <v>0.98</v>
      </c>
      <c r="I193">
        <v>5.24</v>
      </c>
      <c r="J193">
        <v>13.37</v>
      </c>
      <c r="K193">
        <v>3.89</v>
      </c>
      <c r="L193">
        <v>2025</v>
      </c>
      <c r="M193">
        <v>0.99</v>
      </c>
      <c r="N193">
        <v>6.21</v>
      </c>
      <c r="O193">
        <v>11.94</v>
      </c>
      <c r="P193">
        <v>10.97</v>
      </c>
    </row>
    <row r="194" spans="1:16" x14ac:dyDescent="0.25">
      <c r="A194" t="s">
        <v>488</v>
      </c>
      <c r="B194">
        <v>2021</v>
      </c>
      <c r="C194">
        <v>1</v>
      </c>
      <c r="D194">
        <v>1.03</v>
      </c>
      <c r="E194" t="s">
        <v>3347</v>
      </c>
      <c r="F194">
        <v>4.2300000000000004</v>
      </c>
      <c r="G194">
        <v>2022</v>
      </c>
      <c r="H194">
        <v>1</v>
      </c>
      <c r="I194">
        <v>0</v>
      </c>
      <c r="J194">
        <v>0</v>
      </c>
      <c r="K194">
        <v>7.82</v>
      </c>
      <c r="L194">
        <v>2024</v>
      </c>
      <c r="M194">
        <v>0.97</v>
      </c>
      <c r="N194">
        <v>2.31</v>
      </c>
      <c r="O194" t="s">
        <v>3347</v>
      </c>
      <c r="P194">
        <v>2.0099999999999998</v>
      </c>
    </row>
    <row r="195" spans="1:16" x14ac:dyDescent="0.25">
      <c r="A195" t="s">
        <v>262</v>
      </c>
      <c r="B195">
        <v>2021</v>
      </c>
      <c r="C195">
        <v>1</v>
      </c>
      <c r="D195">
        <v>0.35</v>
      </c>
      <c r="E195">
        <v>40.9</v>
      </c>
      <c r="F195">
        <v>15.55</v>
      </c>
      <c r="G195">
        <v>2024</v>
      </c>
      <c r="H195">
        <v>0.93</v>
      </c>
      <c r="I195">
        <v>4.88</v>
      </c>
      <c r="J195">
        <v>11.88</v>
      </c>
      <c r="K195">
        <v>4.18</v>
      </c>
      <c r="L195">
        <v>2025</v>
      </c>
      <c r="M195">
        <v>0.55000000000000004</v>
      </c>
      <c r="N195">
        <v>6.01</v>
      </c>
      <c r="O195">
        <v>9.56</v>
      </c>
      <c r="P195">
        <v>5.08</v>
      </c>
    </row>
    <row r="196" spans="1:16" x14ac:dyDescent="0.25">
      <c r="A196" t="s">
        <v>956</v>
      </c>
      <c r="B196">
        <v>2022</v>
      </c>
      <c r="C196">
        <v>1</v>
      </c>
      <c r="D196">
        <v>1</v>
      </c>
      <c r="E196" t="s">
        <v>3347</v>
      </c>
      <c r="F196">
        <v>2.02</v>
      </c>
      <c r="G196">
        <v>2027</v>
      </c>
      <c r="H196" t="s">
        <v>4046</v>
      </c>
      <c r="I196" t="s">
        <v>4046</v>
      </c>
      <c r="J196" t="s">
        <v>4046</v>
      </c>
      <c r="K196" t="s">
        <v>4046</v>
      </c>
      <c r="L196">
        <v>2030</v>
      </c>
      <c r="M196" t="s">
        <v>4044</v>
      </c>
      <c r="N196" t="s">
        <v>4044</v>
      </c>
      <c r="O196" t="s">
        <v>4044</v>
      </c>
      <c r="P196" t="s">
        <v>4044</v>
      </c>
    </row>
    <row r="197" spans="1:16" x14ac:dyDescent="0.25">
      <c r="A197" t="s">
        <v>1288</v>
      </c>
      <c r="B197">
        <v>2025</v>
      </c>
      <c r="C197">
        <v>1</v>
      </c>
      <c r="D197">
        <v>3.64</v>
      </c>
      <c r="E197" t="s">
        <v>3347</v>
      </c>
      <c r="F197">
        <v>2.25</v>
      </c>
      <c r="G197">
        <v>2031</v>
      </c>
      <c r="H197" t="s">
        <v>4045</v>
      </c>
      <c r="I197" t="s">
        <v>4045</v>
      </c>
      <c r="J197" t="s">
        <v>4045</v>
      </c>
      <c r="K197" t="s">
        <v>4045</v>
      </c>
      <c r="L197">
        <v>2034</v>
      </c>
      <c r="M197" t="s">
        <v>4050</v>
      </c>
      <c r="N197" t="s">
        <v>4050</v>
      </c>
      <c r="O197" t="s">
        <v>4050</v>
      </c>
      <c r="P197" t="s">
        <v>4050</v>
      </c>
    </row>
    <row r="198" spans="1:16" x14ac:dyDescent="0.25">
      <c r="A198" t="s">
        <v>1275</v>
      </c>
      <c r="B198">
        <v>2022</v>
      </c>
      <c r="C198">
        <v>1</v>
      </c>
      <c r="D198" t="s">
        <v>3347</v>
      </c>
      <c r="E198" t="s">
        <v>3347</v>
      </c>
      <c r="F198" t="s">
        <v>3347</v>
      </c>
      <c r="G198">
        <v>2030</v>
      </c>
      <c r="H198" t="s">
        <v>4044</v>
      </c>
      <c r="I198" t="s">
        <v>4044</v>
      </c>
      <c r="J198" t="s">
        <v>4044</v>
      </c>
      <c r="K198" t="s">
        <v>4044</v>
      </c>
      <c r="L198">
        <v>2033</v>
      </c>
      <c r="M198" t="s">
        <v>4048</v>
      </c>
      <c r="N198" t="s">
        <v>4048</v>
      </c>
      <c r="O198" t="s">
        <v>4048</v>
      </c>
      <c r="P198" t="s">
        <v>4048</v>
      </c>
    </row>
    <row r="199" spans="1:16" x14ac:dyDescent="0.25">
      <c r="A199" t="s">
        <v>287</v>
      </c>
      <c r="B199">
        <v>2024</v>
      </c>
      <c r="C199" t="s">
        <v>1405</v>
      </c>
      <c r="D199" t="s">
        <v>1405</v>
      </c>
      <c r="E199" t="s">
        <v>1405</v>
      </c>
      <c r="F199" t="s">
        <v>1405</v>
      </c>
      <c r="G199">
        <v>2027</v>
      </c>
      <c r="H199" t="s">
        <v>1405</v>
      </c>
      <c r="I199" t="s">
        <v>1405</v>
      </c>
      <c r="J199" t="s">
        <v>1405</v>
      </c>
      <c r="K199" t="s">
        <v>1405</v>
      </c>
      <c r="L199">
        <v>2030</v>
      </c>
      <c r="M199" t="s">
        <v>1405</v>
      </c>
      <c r="N199" t="s">
        <v>1405</v>
      </c>
      <c r="O199" t="s">
        <v>1405</v>
      </c>
      <c r="P199" t="s">
        <v>1405</v>
      </c>
    </row>
    <row r="200" spans="1:16" x14ac:dyDescent="0.25">
      <c r="A200" t="s">
        <v>118</v>
      </c>
      <c r="B200">
        <v>2023</v>
      </c>
      <c r="C200" t="s">
        <v>1405</v>
      </c>
      <c r="D200" t="s">
        <v>1405</v>
      </c>
      <c r="E200" t="s">
        <v>1405</v>
      </c>
      <c r="F200" t="s">
        <v>1405</v>
      </c>
      <c r="G200">
        <v>2026</v>
      </c>
      <c r="H200" t="s">
        <v>1405</v>
      </c>
      <c r="I200" t="s">
        <v>1405</v>
      </c>
      <c r="J200" t="s">
        <v>1405</v>
      </c>
      <c r="K200" t="s">
        <v>1405</v>
      </c>
      <c r="L200">
        <v>2029</v>
      </c>
      <c r="M200" t="s">
        <v>1405</v>
      </c>
      <c r="N200" t="s">
        <v>1405</v>
      </c>
      <c r="O200" t="s">
        <v>1405</v>
      </c>
      <c r="P200" t="s">
        <v>1405</v>
      </c>
    </row>
    <row r="201" spans="1:16" x14ac:dyDescent="0.25">
      <c r="A201" t="s">
        <v>49</v>
      </c>
      <c r="B201">
        <v>2022</v>
      </c>
      <c r="C201" t="s">
        <v>1405</v>
      </c>
      <c r="D201" t="s">
        <v>1405</v>
      </c>
      <c r="E201" t="s">
        <v>1405</v>
      </c>
      <c r="F201" t="s">
        <v>1405</v>
      </c>
      <c r="G201">
        <v>2025</v>
      </c>
      <c r="H201" t="s">
        <v>1405</v>
      </c>
      <c r="I201" t="s">
        <v>1405</v>
      </c>
      <c r="J201" t="s">
        <v>1405</v>
      </c>
      <c r="K201" t="s">
        <v>1405</v>
      </c>
      <c r="L201">
        <v>2028</v>
      </c>
      <c r="M201" t="s">
        <v>1405</v>
      </c>
      <c r="N201" t="s">
        <v>1405</v>
      </c>
      <c r="O201" t="s">
        <v>1405</v>
      </c>
      <c r="P201" t="s">
        <v>1405</v>
      </c>
    </row>
    <row r="202" spans="1:16" x14ac:dyDescent="0.25">
      <c r="A202" t="s">
        <v>244</v>
      </c>
      <c r="B202">
        <v>2026</v>
      </c>
      <c r="C202" t="s">
        <v>1405</v>
      </c>
      <c r="D202" t="s">
        <v>1405</v>
      </c>
      <c r="E202" t="s">
        <v>1405</v>
      </c>
      <c r="F202" t="s">
        <v>1405</v>
      </c>
      <c r="G202">
        <v>2029</v>
      </c>
      <c r="H202" t="s">
        <v>1405</v>
      </c>
      <c r="I202" t="s">
        <v>1405</v>
      </c>
      <c r="J202" t="s">
        <v>1405</v>
      </c>
      <c r="K202" t="s">
        <v>1405</v>
      </c>
      <c r="L202">
        <v>2032</v>
      </c>
      <c r="M202" t="s">
        <v>1405</v>
      </c>
      <c r="N202" t="s">
        <v>1405</v>
      </c>
      <c r="O202" t="s">
        <v>1405</v>
      </c>
      <c r="P202" t="s">
        <v>1405</v>
      </c>
    </row>
    <row r="203" spans="1:16" x14ac:dyDescent="0.25">
      <c r="A203" t="s">
        <v>417</v>
      </c>
      <c r="B203">
        <v>2025</v>
      </c>
      <c r="C203" t="s">
        <v>1405</v>
      </c>
      <c r="D203" t="s">
        <v>1405</v>
      </c>
      <c r="E203" t="s">
        <v>1405</v>
      </c>
      <c r="F203" t="s">
        <v>1405</v>
      </c>
      <c r="G203">
        <v>2028</v>
      </c>
      <c r="H203" t="s">
        <v>1405</v>
      </c>
      <c r="I203" t="s">
        <v>1405</v>
      </c>
      <c r="J203" t="s">
        <v>1405</v>
      </c>
      <c r="K203" t="s">
        <v>1405</v>
      </c>
      <c r="L203">
        <v>2031</v>
      </c>
      <c r="M203" t="s">
        <v>1405</v>
      </c>
      <c r="N203" t="s">
        <v>1405</v>
      </c>
      <c r="O203" t="s">
        <v>1405</v>
      </c>
      <c r="P203" t="s">
        <v>1405</v>
      </c>
    </row>
    <row r="204" spans="1:16" x14ac:dyDescent="0.25">
      <c r="A204" t="s">
        <v>949</v>
      </c>
      <c r="B204">
        <v>2024</v>
      </c>
      <c r="C204" t="s">
        <v>1405</v>
      </c>
      <c r="D204" t="s">
        <v>1405</v>
      </c>
      <c r="E204" t="s">
        <v>1405</v>
      </c>
      <c r="F204" t="s">
        <v>1405</v>
      </c>
      <c r="G204">
        <v>2027</v>
      </c>
      <c r="H204" t="s">
        <v>1405</v>
      </c>
      <c r="I204" t="s">
        <v>1405</v>
      </c>
      <c r="J204" t="s">
        <v>1405</v>
      </c>
      <c r="K204" t="s">
        <v>1405</v>
      </c>
      <c r="L204">
        <v>2030</v>
      </c>
      <c r="M204" t="s">
        <v>1405</v>
      </c>
      <c r="N204" t="s">
        <v>1405</v>
      </c>
      <c r="O204" t="s">
        <v>1405</v>
      </c>
      <c r="P204" t="s">
        <v>1405</v>
      </c>
    </row>
    <row r="205" spans="1:16" x14ac:dyDescent="0.25">
      <c r="A205" t="s">
        <v>74</v>
      </c>
      <c r="B205">
        <v>2022</v>
      </c>
      <c r="C205" t="s">
        <v>1405</v>
      </c>
      <c r="D205" t="s">
        <v>1405</v>
      </c>
      <c r="E205" t="s">
        <v>1405</v>
      </c>
      <c r="F205" t="s">
        <v>1405</v>
      </c>
      <c r="G205">
        <v>2025</v>
      </c>
      <c r="H205" t="s">
        <v>1405</v>
      </c>
      <c r="I205" t="s">
        <v>1405</v>
      </c>
      <c r="J205" t="s">
        <v>1405</v>
      </c>
      <c r="K205" t="s">
        <v>1405</v>
      </c>
      <c r="L205">
        <v>2028</v>
      </c>
      <c r="M205" t="s">
        <v>1405</v>
      </c>
      <c r="N205" t="s">
        <v>1405</v>
      </c>
      <c r="O205" t="s">
        <v>1405</v>
      </c>
      <c r="P205" t="s">
        <v>1405</v>
      </c>
    </row>
    <row r="206" spans="1:16" x14ac:dyDescent="0.25">
      <c r="A206" t="s">
        <v>81</v>
      </c>
      <c r="B206">
        <v>2022</v>
      </c>
      <c r="C206" t="s">
        <v>1405</v>
      </c>
      <c r="D206" t="s">
        <v>1405</v>
      </c>
      <c r="E206" t="s">
        <v>1405</v>
      </c>
      <c r="F206" t="s">
        <v>1405</v>
      </c>
      <c r="G206">
        <v>2025</v>
      </c>
      <c r="H206" t="s">
        <v>1405</v>
      </c>
      <c r="I206" t="s">
        <v>1405</v>
      </c>
      <c r="J206" t="s">
        <v>1405</v>
      </c>
      <c r="K206" t="s">
        <v>1405</v>
      </c>
      <c r="L206">
        <v>2028</v>
      </c>
      <c r="M206" t="s">
        <v>1405</v>
      </c>
      <c r="N206" t="s">
        <v>1405</v>
      </c>
      <c r="O206" t="s">
        <v>1405</v>
      </c>
      <c r="P206" t="s">
        <v>1405</v>
      </c>
    </row>
    <row r="207" spans="1:16" x14ac:dyDescent="0.25">
      <c r="A207" t="s">
        <v>537</v>
      </c>
      <c r="B207">
        <v>2025</v>
      </c>
      <c r="C207" t="s">
        <v>1405</v>
      </c>
      <c r="D207" t="s">
        <v>1405</v>
      </c>
      <c r="E207" t="s">
        <v>1405</v>
      </c>
      <c r="F207" t="s">
        <v>1405</v>
      </c>
      <c r="G207">
        <v>2028</v>
      </c>
      <c r="H207" t="s">
        <v>1405</v>
      </c>
      <c r="I207" t="s">
        <v>1405</v>
      </c>
      <c r="J207" t="s">
        <v>1405</v>
      </c>
      <c r="K207" t="s">
        <v>1405</v>
      </c>
      <c r="L207">
        <v>2031</v>
      </c>
      <c r="M207" t="s">
        <v>1405</v>
      </c>
      <c r="N207" t="s">
        <v>1405</v>
      </c>
      <c r="O207" t="s">
        <v>1405</v>
      </c>
      <c r="P207" t="s">
        <v>1405</v>
      </c>
    </row>
    <row r="208" spans="1:16" x14ac:dyDescent="0.25">
      <c r="A208" t="s">
        <v>98</v>
      </c>
      <c r="B208">
        <v>2023</v>
      </c>
      <c r="C208" t="s">
        <v>1405</v>
      </c>
      <c r="D208" t="s">
        <v>1405</v>
      </c>
      <c r="E208" t="s">
        <v>1405</v>
      </c>
      <c r="F208" t="s">
        <v>1405</v>
      </c>
      <c r="G208">
        <v>2026</v>
      </c>
      <c r="H208" t="s">
        <v>1405</v>
      </c>
      <c r="I208" t="s">
        <v>1405</v>
      </c>
      <c r="J208" t="s">
        <v>1405</v>
      </c>
      <c r="K208" t="s">
        <v>1405</v>
      </c>
      <c r="L208">
        <v>2029</v>
      </c>
      <c r="M208" t="s">
        <v>1405</v>
      </c>
      <c r="N208" t="s">
        <v>1405</v>
      </c>
      <c r="O208" t="s">
        <v>1405</v>
      </c>
      <c r="P208" t="s">
        <v>1405</v>
      </c>
    </row>
    <row r="209" spans="1:16" x14ac:dyDescent="0.25">
      <c r="A209" t="s">
        <v>884</v>
      </c>
      <c r="B209">
        <v>2021</v>
      </c>
      <c r="C209" t="s">
        <v>1405</v>
      </c>
      <c r="D209" t="s">
        <v>1405</v>
      </c>
      <c r="E209" t="s">
        <v>1405</v>
      </c>
      <c r="F209" t="s">
        <v>1405</v>
      </c>
      <c r="G209">
        <v>2024</v>
      </c>
      <c r="H209" t="s">
        <v>1405</v>
      </c>
      <c r="I209" t="s">
        <v>1405</v>
      </c>
      <c r="J209" t="s">
        <v>1405</v>
      </c>
      <c r="K209" t="s">
        <v>1405</v>
      </c>
      <c r="L209">
        <v>2027</v>
      </c>
      <c r="M209" t="s">
        <v>1405</v>
      </c>
      <c r="N209" t="s">
        <v>1405</v>
      </c>
      <c r="O209" t="s">
        <v>1405</v>
      </c>
      <c r="P209" t="s">
        <v>1405</v>
      </c>
    </row>
    <row r="210" spans="1:16" x14ac:dyDescent="0.25">
      <c r="A210" t="s">
        <v>89</v>
      </c>
      <c r="B210">
        <v>2022</v>
      </c>
      <c r="C210" t="s">
        <v>1405</v>
      </c>
      <c r="D210" t="s">
        <v>1405</v>
      </c>
      <c r="E210" t="s">
        <v>1405</v>
      </c>
      <c r="F210" t="s">
        <v>1405</v>
      </c>
      <c r="G210">
        <v>2025</v>
      </c>
      <c r="H210" t="s">
        <v>1405</v>
      </c>
      <c r="I210" t="s">
        <v>1405</v>
      </c>
      <c r="J210" t="s">
        <v>1405</v>
      </c>
      <c r="K210" t="s">
        <v>1405</v>
      </c>
      <c r="L210">
        <v>2028</v>
      </c>
      <c r="M210" t="s">
        <v>1405</v>
      </c>
      <c r="N210" t="s">
        <v>1405</v>
      </c>
      <c r="O210" t="s">
        <v>1405</v>
      </c>
      <c r="P210" t="s">
        <v>1405</v>
      </c>
    </row>
    <row r="211" spans="1:16" x14ac:dyDescent="0.25">
      <c r="A211" t="s">
        <v>861</v>
      </c>
      <c r="B211">
        <v>2021</v>
      </c>
      <c r="C211" t="s">
        <v>1405</v>
      </c>
      <c r="D211" t="s">
        <v>1405</v>
      </c>
      <c r="E211" t="s">
        <v>1405</v>
      </c>
      <c r="F211" t="s">
        <v>1405</v>
      </c>
      <c r="G211">
        <v>2024</v>
      </c>
      <c r="H211" t="s">
        <v>1405</v>
      </c>
      <c r="I211" t="s">
        <v>1405</v>
      </c>
      <c r="J211" t="s">
        <v>1405</v>
      </c>
      <c r="K211" t="s">
        <v>1405</v>
      </c>
      <c r="L211">
        <v>2027</v>
      </c>
      <c r="M211" t="s">
        <v>1405</v>
      </c>
      <c r="N211" t="s">
        <v>1405</v>
      </c>
      <c r="O211" t="s">
        <v>1405</v>
      </c>
      <c r="P211" t="s">
        <v>1405</v>
      </c>
    </row>
    <row r="212" spans="1:16" x14ac:dyDescent="0.25">
      <c r="A212" t="s">
        <v>1216</v>
      </c>
      <c r="B212">
        <v>2026</v>
      </c>
      <c r="C212" t="s">
        <v>1405</v>
      </c>
      <c r="D212" t="s">
        <v>1405</v>
      </c>
      <c r="E212" t="s">
        <v>1405</v>
      </c>
      <c r="F212" t="s">
        <v>1405</v>
      </c>
      <c r="G212">
        <v>2029</v>
      </c>
      <c r="H212" t="s">
        <v>1405</v>
      </c>
      <c r="I212" t="s">
        <v>1405</v>
      </c>
      <c r="J212" t="s">
        <v>1405</v>
      </c>
      <c r="K212" t="s">
        <v>1405</v>
      </c>
      <c r="L212">
        <v>2032</v>
      </c>
      <c r="M212" t="s">
        <v>1405</v>
      </c>
      <c r="N212" t="s">
        <v>1405</v>
      </c>
      <c r="O212" t="s">
        <v>1405</v>
      </c>
      <c r="P212" t="s">
        <v>1405</v>
      </c>
    </row>
    <row r="213" spans="1:16" x14ac:dyDescent="0.25">
      <c r="A213" t="s">
        <v>100</v>
      </c>
      <c r="B213">
        <v>2023</v>
      </c>
      <c r="C213" t="s">
        <v>1405</v>
      </c>
      <c r="D213" t="s">
        <v>1405</v>
      </c>
      <c r="E213" t="s">
        <v>1405</v>
      </c>
      <c r="F213" t="s">
        <v>1405</v>
      </c>
      <c r="G213">
        <v>2026</v>
      </c>
      <c r="H213" t="s">
        <v>1405</v>
      </c>
      <c r="I213" t="s">
        <v>1405</v>
      </c>
      <c r="J213" t="s">
        <v>1405</v>
      </c>
      <c r="K213" t="s">
        <v>1405</v>
      </c>
      <c r="L213">
        <v>2029</v>
      </c>
      <c r="M213" t="s">
        <v>1405</v>
      </c>
      <c r="N213" t="s">
        <v>1405</v>
      </c>
      <c r="O213" t="s">
        <v>1405</v>
      </c>
      <c r="P213" t="s">
        <v>1405</v>
      </c>
    </row>
    <row r="214" spans="1:16" x14ac:dyDescent="0.25">
      <c r="A214" t="s">
        <v>1110</v>
      </c>
      <c r="B214">
        <v>2025</v>
      </c>
      <c r="C214" t="s">
        <v>1405</v>
      </c>
      <c r="D214" t="s">
        <v>1405</v>
      </c>
      <c r="E214" t="s">
        <v>1405</v>
      </c>
      <c r="F214" t="s">
        <v>1405</v>
      </c>
      <c r="G214">
        <v>2028</v>
      </c>
      <c r="H214" t="s">
        <v>1405</v>
      </c>
      <c r="I214" t="s">
        <v>1405</v>
      </c>
      <c r="J214" t="s">
        <v>1405</v>
      </c>
      <c r="K214" t="s">
        <v>1405</v>
      </c>
      <c r="L214">
        <v>2031</v>
      </c>
      <c r="M214" t="s">
        <v>1405</v>
      </c>
      <c r="N214" t="s">
        <v>1405</v>
      </c>
      <c r="O214" t="s">
        <v>1405</v>
      </c>
      <c r="P214" t="s">
        <v>1405</v>
      </c>
    </row>
    <row r="215" spans="1:16" x14ac:dyDescent="0.25">
      <c r="A215" t="s">
        <v>193</v>
      </c>
      <c r="B215">
        <v>2025</v>
      </c>
      <c r="C215" t="s">
        <v>1405</v>
      </c>
      <c r="D215" t="s">
        <v>1405</v>
      </c>
      <c r="E215" t="s">
        <v>1405</v>
      </c>
      <c r="F215" t="s">
        <v>1405</v>
      </c>
      <c r="G215">
        <v>2028</v>
      </c>
      <c r="H215" t="s">
        <v>1405</v>
      </c>
      <c r="I215" t="s">
        <v>1405</v>
      </c>
      <c r="J215" t="s">
        <v>1405</v>
      </c>
      <c r="K215" t="s">
        <v>1405</v>
      </c>
      <c r="L215">
        <v>2031</v>
      </c>
      <c r="M215" t="s">
        <v>1405</v>
      </c>
      <c r="N215" t="s">
        <v>1405</v>
      </c>
      <c r="O215" t="s">
        <v>1405</v>
      </c>
      <c r="P215" t="s">
        <v>1405</v>
      </c>
    </row>
    <row r="216" spans="1:16" x14ac:dyDescent="0.25">
      <c r="A216" t="s">
        <v>1083</v>
      </c>
      <c r="B216">
        <v>2025</v>
      </c>
      <c r="C216" t="s">
        <v>1405</v>
      </c>
      <c r="D216" t="s">
        <v>1405</v>
      </c>
      <c r="E216" t="s">
        <v>1405</v>
      </c>
      <c r="F216" t="s">
        <v>1405</v>
      </c>
      <c r="G216">
        <v>2028</v>
      </c>
      <c r="H216" t="s">
        <v>1405</v>
      </c>
      <c r="I216" t="s">
        <v>1405</v>
      </c>
      <c r="J216" t="s">
        <v>1405</v>
      </c>
      <c r="K216" t="s">
        <v>1405</v>
      </c>
      <c r="L216">
        <v>2031</v>
      </c>
      <c r="M216" t="s">
        <v>1405</v>
      </c>
      <c r="N216" t="s">
        <v>1405</v>
      </c>
      <c r="O216" t="s">
        <v>1405</v>
      </c>
      <c r="P216" t="s">
        <v>1405</v>
      </c>
    </row>
    <row r="217" spans="1:16" x14ac:dyDescent="0.25">
      <c r="A217" t="s">
        <v>509</v>
      </c>
      <c r="B217">
        <v>2024</v>
      </c>
      <c r="C217" t="s">
        <v>1405</v>
      </c>
      <c r="D217" t="s">
        <v>1405</v>
      </c>
      <c r="E217" t="s">
        <v>1405</v>
      </c>
      <c r="F217" t="s">
        <v>1405</v>
      </c>
      <c r="G217">
        <v>2027</v>
      </c>
      <c r="H217" t="s">
        <v>1405</v>
      </c>
      <c r="I217" t="s">
        <v>1405</v>
      </c>
      <c r="J217" t="s">
        <v>1405</v>
      </c>
      <c r="K217" t="s">
        <v>1405</v>
      </c>
      <c r="L217">
        <v>2030</v>
      </c>
      <c r="M217" t="s">
        <v>1405</v>
      </c>
      <c r="N217" t="s">
        <v>1405</v>
      </c>
      <c r="O217" t="s">
        <v>1405</v>
      </c>
      <c r="P217" t="s">
        <v>1405</v>
      </c>
    </row>
    <row r="218" spans="1:16" x14ac:dyDescent="0.25">
      <c r="A218" t="s">
        <v>271</v>
      </c>
      <c r="B218">
        <v>2024</v>
      </c>
      <c r="C218" t="s">
        <v>1405</v>
      </c>
      <c r="D218" t="s">
        <v>1405</v>
      </c>
      <c r="E218" t="s">
        <v>1405</v>
      </c>
      <c r="F218" t="s">
        <v>1405</v>
      </c>
      <c r="G218">
        <v>2027</v>
      </c>
      <c r="H218" t="s">
        <v>1405</v>
      </c>
      <c r="I218" t="s">
        <v>1405</v>
      </c>
      <c r="J218" t="s">
        <v>1405</v>
      </c>
      <c r="K218" t="s">
        <v>1405</v>
      </c>
      <c r="L218">
        <v>2030</v>
      </c>
      <c r="M218" t="s">
        <v>1405</v>
      </c>
      <c r="N218" t="s">
        <v>1405</v>
      </c>
      <c r="O218" t="s">
        <v>1405</v>
      </c>
      <c r="P218" t="s">
        <v>1405</v>
      </c>
    </row>
    <row r="219" spans="1:16" x14ac:dyDescent="0.25">
      <c r="A219" t="s">
        <v>274</v>
      </c>
      <c r="B219">
        <v>2024</v>
      </c>
      <c r="C219" t="s">
        <v>1405</v>
      </c>
      <c r="D219" t="s">
        <v>1405</v>
      </c>
      <c r="E219" t="s">
        <v>1405</v>
      </c>
      <c r="F219" t="s">
        <v>1405</v>
      </c>
      <c r="G219">
        <v>2027</v>
      </c>
      <c r="H219" t="s">
        <v>1405</v>
      </c>
      <c r="I219" t="s">
        <v>1405</v>
      </c>
      <c r="J219" t="s">
        <v>1405</v>
      </c>
      <c r="K219" t="s">
        <v>1405</v>
      </c>
      <c r="L219">
        <v>2030</v>
      </c>
      <c r="M219" t="s">
        <v>1405</v>
      </c>
      <c r="N219" t="s">
        <v>1405</v>
      </c>
      <c r="O219" t="s">
        <v>1405</v>
      </c>
      <c r="P219" t="s">
        <v>1405</v>
      </c>
    </row>
    <row r="220" spans="1:16" x14ac:dyDescent="0.25">
      <c r="A220" t="s">
        <v>1167</v>
      </c>
      <c r="B220">
        <v>2026</v>
      </c>
      <c r="C220" t="s">
        <v>1405</v>
      </c>
      <c r="D220" t="s">
        <v>1405</v>
      </c>
      <c r="E220" t="s">
        <v>1405</v>
      </c>
      <c r="F220" t="s">
        <v>1405</v>
      </c>
      <c r="G220">
        <v>2029</v>
      </c>
      <c r="H220" t="s">
        <v>1405</v>
      </c>
      <c r="I220" t="s">
        <v>1405</v>
      </c>
      <c r="J220" t="s">
        <v>1405</v>
      </c>
      <c r="K220" t="s">
        <v>1405</v>
      </c>
      <c r="L220">
        <v>2032</v>
      </c>
      <c r="M220" t="s">
        <v>1405</v>
      </c>
      <c r="N220" t="s">
        <v>1405</v>
      </c>
      <c r="O220" t="s">
        <v>1405</v>
      </c>
      <c r="P220" t="s">
        <v>1405</v>
      </c>
    </row>
    <row r="221" spans="1:16" x14ac:dyDescent="0.25">
      <c r="A221" t="s">
        <v>991</v>
      </c>
      <c r="B221">
        <v>2024</v>
      </c>
      <c r="C221" t="s">
        <v>1405</v>
      </c>
      <c r="D221" t="s">
        <v>1405</v>
      </c>
      <c r="E221" t="s">
        <v>1405</v>
      </c>
      <c r="F221" t="s">
        <v>1405</v>
      </c>
      <c r="G221">
        <v>2027</v>
      </c>
      <c r="H221" t="s">
        <v>1405</v>
      </c>
      <c r="I221" t="s">
        <v>1405</v>
      </c>
      <c r="J221" t="s">
        <v>1405</v>
      </c>
      <c r="K221" t="s">
        <v>1405</v>
      </c>
      <c r="L221">
        <v>2030</v>
      </c>
      <c r="M221" t="s">
        <v>1405</v>
      </c>
      <c r="N221" t="s">
        <v>1405</v>
      </c>
      <c r="O221" t="s">
        <v>1405</v>
      </c>
      <c r="P221" t="s">
        <v>1405</v>
      </c>
    </row>
    <row r="222" spans="1:16" x14ac:dyDescent="0.25">
      <c r="A222" t="s">
        <v>457</v>
      </c>
      <c r="B222">
        <v>2025</v>
      </c>
      <c r="C222" t="s">
        <v>1405</v>
      </c>
      <c r="D222" t="s">
        <v>1405</v>
      </c>
      <c r="E222" t="s">
        <v>1405</v>
      </c>
      <c r="F222" t="s">
        <v>1405</v>
      </c>
      <c r="G222">
        <v>2028</v>
      </c>
      <c r="H222" t="s">
        <v>1405</v>
      </c>
      <c r="I222" t="s">
        <v>1405</v>
      </c>
      <c r="J222" t="s">
        <v>1405</v>
      </c>
      <c r="K222" t="s">
        <v>1405</v>
      </c>
      <c r="L222">
        <v>2031</v>
      </c>
      <c r="M222" t="s">
        <v>1405</v>
      </c>
      <c r="N222" t="s">
        <v>1405</v>
      </c>
      <c r="O222" t="s">
        <v>1405</v>
      </c>
      <c r="P222" t="s">
        <v>1405</v>
      </c>
    </row>
    <row r="223" spans="1:16" x14ac:dyDescent="0.25">
      <c r="A223" t="s">
        <v>414</v>
      </c>
      <c r="B223">
        <v>2025</v>
      </c>
      <c r="C223" t="s">
        <v>1405</v>
      </c>
      <c r="D223" t="s">
        <v>1405</v>
      </c>
      <c r="E223" t="s">
        <v>1405</v>
      </c>
      <c r="F223" t="s">
        <v>1405</v>
      </c>
      <c r="G223">
        <v>2028</v>
      </c>
      <c r="H223" t="s">
        <v>1405</v>
      </c>
      <c r="I223" t="s">
        <v>1405</v>
      </c>
      <c r="J223" t="s">
        <v>1405</v>
      </c>
      <c r="K223" t="s">
        <v>1405</v>
      </c>
      <c r="L223">
        <v>2031</v>
      </c>
      <c r="M223" t="s">
        <v>1405</v>
      </c>
      <c r="N223" t="s">
        <v>1405</v>
      </c>
      <c r="O223" t="s">
        <v>1405</v>
      </c>
      <c r="P223" t="s">
        <v>1405</v>
      </c>
    </row>
    <row r="224" spans="1:16" x14ac:dyDescent="0.25">
      <c r="A224" t="s">
        <v>858</v>
      </c>
      <c r="B224">
        <v>2021</v>
      </c>
      <c r="C224" t="s">
        <v>1405</v>
      </c>
      <c r="D224" t="s">
        <v>1405</v>
      </c>
      <c r="E224" t="s">
        <v>1405</v>
      </c>
      <c r="F224" t="s">
        <v>1405</v>
      </c>
      <c r="G224">
        <v>2024</v>
      </c>
      <c r="H224" t="s">
        <v>1405</v>
      </c>
      <c r="I224" t="s">
        <v>1405</v>
      </c>
      <c r="J224" t="s">
        <v>1405</v>
      </c>
      <c r="K224" t="s">
        <v>1405</v>
      </c>
      <c r="L224">
        <v>2027</v>
      </c>
      <c r="M224" t="s">
        <v>1405</v>
      </c>
      <c r="N224" t="s">
        <v>1405</v>
      </c>
      <c r="O224" t="s">
        <v>1405</v>
      </c>
      <c r="P224" t="s">
        <v>1405</v>
      </c>
    </row>
    <row r="225" spans="1:16" x14ac:dyDescent="0.25">
      <c r="A225" t="s">
        <v>869</v>
      </c>
      <c r="B225">
        <v>2021</v>
      </c>
      <c r="C225" t="s">
        <v>1405</v>
      </c>
      <c r="D225" t="s">
        <v>1405</v>
      </c>
      <c r="E225" t="s">
        <v>1405</v>
      </c>
      <c r="F225" t="s">
        <v>1405</v>
      </c>
      <c r="G225">
        <v>2024</v>
      </c>
      <c r="H225" t="s">
        <v>1405</v>
      </c>
      <c r="I225" t="s">
        <v>1405</v>
      </c>
      <c r="J225" t="s">
        <v>1405</v>
      </c>
      <c r="K225" t="s">
        <v>1405</v>
      </c>
      <c r="L225">
        <v>2027</v>
      </c>
      <c r="M225" t="s">
        <v>1405</v>
      </c>
      <c r="N225" t="s">
        <v>1405</v>
      </c>
      <c r="O225" t="s">
        <v>1405</v>
      </c>
      <c r="P225" t="s">
        <v>1405</v>
      </c>
    </row>
    <row r="226" spans="1:16" x14ac:dyDescent="0.25">
      <c r="A226" t="s">
        <v>449</v>
      </c>
      <c r="B226">
        <v>2025</v>
      </c>
      <c r="C226" t="s">
        <v>1405</v>
      </c>
      <c r="D226" t="s">
        <v>1405</v>
      </c>
      <c r="E226" t="s">
        <v>1405</v>
      </c>
      <c r="F226" t="s">
        <v>1405</v>
      </c>
      <c r="G226">
        <v>2028</v>
      </c>
      <c r="H226" t="s">
        <v>1405</v>
      </c>
      <c r="I226" t="s">
        <v>1405</v>
      </c>
      <c r="J226" t="s">
        <v>1405</v>
      </c>
      <c r="K226" t="s">
        <v>1405</v>
      </c>
      <c r="L226">
        <v>2031</v>
      </c>
      <c r="M226" t="s">
        <v>1405</v>
      </c>
      <c r="N226" t="s">
        <v>1405</v>
      </c>
      <c r="O226" t="s">
        <v>1405</v>
      </c>
      <c r="P226" t="s">
        <v>1405</v>
      </c>
    </row>
    <row r="227" spans="1:16" x14ac:dyDescent="0.25">
      <c r="A227" t="s">
        <v>170</v>
      </c>
      <c r="B227">
        <v>2025</v>
      </c>
      <c r="C227" t="s">
        <v>1405</v>
      </c>
      <c r="D227" t="s">
        <v>1405</v>
      </c>
      <c r="E227" t="s">
        <v>1405</v>
      </c>
      <c r="F227" t="s">
        <v>1405</v>
      </c>
      <c r="G227">
        <v>2028</v>
      </c>
      <c r="H227" t="s">
        <v>1405</v>
      </c>
      <c r="I227" t="s">
        <v>1405</v>
      </c>
      <c r="J227" t="s">
        <v>1405</v>
      </c>
      <c r="K227" t="s">
        <v>1405</v>
      </c>
      <c r="L227">
        <v>2031</v>
      </c>
      <c r="M227" t="s">
        <v>1405</v>
      </c>
      <c r="N227" t="s">
        <v>1405</v>
      </c>
      <c r="O227" t="s">
        <v>1405</v>
      </c>
      <c r="P227" t="s">
        <v>1405</v>
      </c>
    </row>
    <row r="228" spans="1:16" x14ac:dyDescent="0.25">
      <c r="A228" t="s">
        <v>443</v>
      </c>
      <c r="B228">
        <v>2025</v>
      </c>
      <c r="C228" t="s">
        <v>1405</v>
      </c>
      <c r="D228" t="s">
        <v>1405</v>
      </c>
      <c r="E228" t="s">
        <v>1405</v>
      </c>
      <c r="F228" t="s">
        <v>1405</v>
      </c>
      <c r="G228">
        <v>2028</v>
      </c>
      <c r="H228" t="s">
        <v>1405</v>
      </c>
      <c r="I228" t="s">
        <v>1405</v>
      </c>
      <c r="J228" t="s">
        <v>1405</v>
      </c>
      <c r="K228" t="s">
        <v>1405</v>
      </c>
      <c r="L228">
        <v>2031</v>
      </c>
      <c r="M228" t="s">
        <v>1405</v>
      </c>
      <c r="N228" t="s">
        <v>1405</v>
      </c>
      <c r="O228" t="s">
        <v>1405</v>
      </c>
      <c r="P228" t="s">
        <v>1405</v>
      </c>
    </row>
    <row r="229" spans="1:16" x14ac:dyDescent="0.25">
      <c r="A229" t="s">
        <v>914</v>
      </c>
      <c r="B229">
        <v>2023</v>
      </c>
      <c r="C229" t="s">
        <v>1405</v>
      </c>
      <c r="D229" t="s">
        <v>1405</v>
      </c>
      <c r="E229" t="s">
        <v>1405</v>
      </c>
      <c r="F229" t="s">
        <v>1405</v>
      </c>
      <c r="G229">
        <v>2026</v>
      </c>
      <c r="H229" t="s">
        <v>1405</v>
      </c>
      <c r="I229" t="s">
        <v>1405</v>
      </c>
      <c r="J229" t="s">
        <v>1405</v>
      </c>
      <c r="K229" t="s">
        <v>1405</v>
      </c>
      <c r="L229">
        <v>2029</v>
      </c>
      <c r="M229" t="s">
        <v>1405</v>
      </c>
      <c r="N229" t="s">
        <v>1405</v>
      </c>
      <c r="O229" t="s">
        <v>1405</v>
      </c>
      <c r="P229" t="s">
        <v>1405</v>
      </c>
    </row>
    <row r="230" spans="1:16" x14ac:dyDescent="0.25">
      <c r="A230" t="s">
        <v>533</v>
      </c>
      <c r="B230">
        <v>2025</v>
      </c>
      <c r="C230" t="s">
        <v>1405</v>
      </c>
      <c r="D230" t="s">
        <v>1405</v>
      </c>
      <c r="E230" t="s">
        <v>1405</v>
      </c>
      <c r="F230" t="s">
        <v>1405</v>
      </c>
      <c r="G230">
        <v>2028</v>
      </c>
      <c r="H230" t="s">
        <v>1405</v>
      </c>
      <c r="I230" t="s">
        <v>1405</v>
      </c>
      <c r="J230" t="s">
        <v>1405</v>
      </c>
      <c r="K230" t="s">
        <v>1405</v>
      </c>
      <c r="L230">
        <v>2031</v>
      </c>
      <c r="M230" t="s">
        <v>1405</v>
      </c>
      <c r="N230" t="s">
        <v>1405</v>
      </c>
      <c r="O230" t="s">
        <v>1405</v>
      </c>
      <c r="P230" t="s">
        <v>1405</v>
      </c>
    </row>
    <row r="231" spans="1:16" x14ac:dyDescent="0.25">
      <c r="A231" t="s">
        <v>464</v>
      </c>
      <c r="B231">
        <v>2025</v>
      </c>
      <c r="C231" t="s">
        <v>1405</v>
      </c>
      <c r="D231" t="s">
        <v>1405</v>
      </c>
      <c r="E231" t="s">
        <v>1405</v>
      </c>
      <c r="F231" t="s">
        <v>1405</v>
      </c>
      <c r="G231">
        <v>2028</v>
      </c>
      <c r="H231" t="s">
        <v>1405</v>
      </c>
      <c r="I231" t="s">
        <v>1405</v>
      </c>
      <c r="J231" t="s">
        <v>1405</v>
      </c>
      <c r="K231" t="s">
        <v>1405</v>
      </c>
      <c r="L231">
        <v>2031</v>
      </c>
      <c r="M231" t="s">
        <v>1405</v>
      </c>
      <c r="N231" t="s">
        <v>1405</v>
      </c>
      <c r="O231" t="s">
        <v>1405</v>
      </c>
      <c r="P231" t="s">
        <v>1405</v>
      </c>
    </row>
    <row r="232" spans="1:16" x14ac:dyDescent="0.25">
      <c r="A232" t="s">
        <v>23</v>
      </c>
      <c r="B232">
        <v>2021</v>
      </c>
      <c r="C232" t="s">
        <v>1405</v>
      </c>
      <c r="D232" t="s">
        <v>1405</v>
      </c>
      <c r="E232" t="s">
        <v>1405</v>
      </c>
      <c r="F232" t="s">
        <v>1405</v>
      </c>
      <c r="G232">
        <v>2024</v>
      </c>
      <c r="H232" t="s">
        <v>1405</v>
      </c>
      <c r="I232" t="s">
        <v>1405</v>
      </c>
      <c r="J232" t="s">
        <v>1405</v>
      </c>
      <c r="K232" t="s">
        <v>1405</v>
      </c>
      <c r="L232">
        <v>2027</v>
      </c>
      <c r="M232" t="s">
        <v>1405</v>
      </c>
      <c r="N232" t="s">
        <v>1405</v>
      </c>
      <c r="O232" t="s">
        <v>1405</v>
      </c>
      <c r="P232" t="s">
        <v>1405</v>
      </c>
    </row>
    <row r="233" spans="1:16" x14ac:dyDescent="0.25">
      <c r="A233" t="s">
        <v>901</v>
      </c>
      <c r="B233">
        <v>2022</v>
      </c>
      <c r="C233" t="s">
        <v>1405</v>
      </c>
      <c r="D233" t="s">
        <v>1405</v>
      </c>
      <c r="E233" t="s">
        <v>1405</v>
      </c>
      <c r="F233" t="s">
        <v>1405</v>
      </c>
      <c r="G233">
        <v>2025</v>
      </c>
      <c r="H233" t="s">
        <v>1405</v>
      </c>
      <c r="I233" t="s">
        <v>1405</v>
      </c>
      <c r="J233" t="s">
        <v>1405</v>
      </c>
      <c r="K233" t="s">
        <v>1405</v>
      </c>
      <c r="L233">
        <v>2028</v>
      </c>
      <c r="M233" t="s">
        <v>1405</v>
      </c>
      <c r="N233" t="s">
        <v>1405</v>
      </c>
      <c r="O233" t="s">
        <v>1405</v>
      </c>
      <c r="P233" t="s">
        <v>1405</v>
      </c>
    </row>
    <row r="234" spans="1:16" x14ac:dyDescent="0.25">
      <c r="A234" t="s">
        <v>153</v>
      </c>
      <c r="B234">
        <v>2025</v>
      </c>
      <c r="C234" t="s">
        <v>1405</v>
      </c>
      <c r="D234" t="s">
        <v>1405</v>
      </c>
      <c r="E234" t="s">
        <v>1405</v>
      </c>
      <c r="F234" t="s">
        <v>1405</v>
      </c>
      <c r="G234">
        <v>2028</v>
      </c>
      <c r="H234" t="s">
        <v>1405</v>
      </c>
      <c r="I234" t="s">
        <v>1405</v>
      </c>
      <c r="J234" t="s">
        <v>1405</v>
      </c>
      <c r="K234" t="s">
        <v>1405</v>
      </c>
      <c r="L234">
        <v>2031</v>
      </c>
      <c r="M234" t="s">
        <v>1405</v>
      </c>
      <c r="N234" t="s">
        <v>1405</v>
      </c>
      <c r="O234" t="s">
        <v>1405</v>
      </c>
      <c r="P234" t="s">
        <v>1405</v>
      </c>
    </row>
    <row r="235" spans="1:16" x14ac:dyDescent="0.25">
      <c r="A235" t="s">
        <v>1182</v>
      </c>
      <c r="B235">
        <v>2026</v>
      </c>
      <c r="C235" t="s">
        <v>1405</v>
      </c>
      <c r="D235" t="s">
        <v>1405</v>
      </c>
      <c r="E235" t="s">
        <v>1405</v>
      </c>
      <c r="F235" t="s">
        <v>1405</v>
      </c>
      <c r="G235">
        <v>2029</v>
      </c>
      <c r="H235" t="s">
        <v>1405</v>
      </c>
      <c r="I235" t="s">
        <v>1405</v>
      </c>
      <c r="J235" t="s">
        <v>1405</v>
      </c>
      <c r="K235" t="s">
        <v>1405</v>
      </c>
      <c r="L235">
        <v>2032</v>
      </c>
      <c r="M235" t="s">
        <v>1405</v>
      </c>
      <c r="N235" t="s">
        <v>1405</v>
      </c>
      <c r="O235" t="s">
        <v>1405</v>
      </c>
      <c r="P235" t="s">
        <v>1405</v>
      </c>
    </row>
    <row r="236" spans="1:16" x14ac:dyDescent="0.25">
      <c r="A236" t="s">
        <v>1140</v>
      </c>
      <c r="B236">
        <v>2026</v>
      </c>
      <c r="C236" t="s">
        <v>1405</v>
      </c>
      <c r="D236" t="s">
        <v>1405</v>
      </c>
      <c r="E236" t="s">
        <v>1405</v>
      </c>
      <c r="F236" t="s">
        <v>1405</v>
      </c>
      <c r="G236">
        <v>2029</v>
      </c>
      <c r="H236" t="s">
        <v>1405</v>
      </c>
      <c r="I236" t="s">
        <v>1405</v>
      </c>
      <c r="J236" t="s">
        <v>1405</v>
      </c>
      <c r="K236" t="s">
        <v>1405</v>
      </c>
      <c r="L236">
        <v>2032</v>
      </c>
      <c r="M236" t="s">
        <v>1405</v>
      </c>
      <c r="N236" t="s">
        <v>1405</v>
      </c>
      <c r="O236" t="s">
        <v>1405</v>
      </c>
      <c r="P236" t="s">
        <v>1405</v>
      </c>
    </row>
    <row r="237" spans="1:16" x14ac:dyDescent="0.25">
      <c r="A237" t="s">
        <v>908</v>
      </c>
      <c r="B237">
        <v>2022</v>
      </c>
      <c r="C237" t="s">
        <v>1405</v>
      </c>
      <c r="D237" t="s">
        <v>1405</v>
      </c>
      <c r="E237" t="s">
        <v>1405</v>
      </c>
      <c r="F237" t="s">
        <v>1405</v>
      </c>
      <c r="G237">
        <v>2025</v>
      </c>
      <c r="H237" t="s">
        <v>1405</v>
      </c>
      <c r="I237" t="s">
        <v>1405</v>
      </c>
      <c r="J237" t="s">
        <v>1405</v>
      </c>
      <c r="K237" t="s">
        <v>1405</v>
      </c>
      <c r="L237">
        <v>2028</v>
      </c>
      <c r="M237" t="s">
        <v>1405</v>
      </c>
      <c r="N237" t="s">
        <v>1405</v>
      </c>
      <c r="O237" t="s">
        <v>1405</v>
      </c>
      <c r="P237" t="s">
        <v>1405</v>
      </c>
    </row>
    <row r="238" spans="1:16" x14ac:dyDescent="0.25">
      <c r="A238" t="s">
        <v>56</v>
      </c>
      <c r="B238">
        <v>2022</v>
      </c>
      <c r="C238" t="s">
        <v>1405</v>
      </c>
      <c r="D238" t="s">
        <v>1405</v>
      </c>
      <c r="E238" t="s">
        <v>1405</v>
      </c>
      <c r="F238" t="s">
        <v>1405</v>
      </c>
      <c r="G238">
        <v>2025</v>
      </c>
      <c r="H238" t="s">
        <v>1405</v>
      </c>
      <c r="I238" t="s">
        <v>1405</v>
      </c>
      <c r="J238" t="s">
        <v>1405</v>
      </c>
      <c r="K238" t="s">
        <v>1405</v>
      </c>
      <c r="L238">
        <v>2028</v>
      </c>
      <c r="M238" t="s">
        <v>1405</v>
      </c>
      <c r="N238" t="s">
        <v>1405</v>
      </c>
      <c r="O238" t="s">
        <v>1405</v>
      </c>
      <c r="P238" t="s">
        <v>1405</v>
      </c>
    </row>
    <row r="239" spans="1:16" x14ac:dyDescent="0.25">
      <c r="A239" t="s">
        <v>107</v>
      </c>
      <c r="B239">
        <v>2023</v>
      </c>
      <c r="C239" t="s">
        <v>1405</v>
      </c>
      <c r="D239" t="s">
        <v>1405</v>
      </c>
      <c r="E239" t="s">
        <v>1405</v>
      </c>
      <c r="F239" t="s">
        <v>1405</v>
      </c>
      <c r="G239">
        <v>2026</v>
      </c>
      <c r="H239" t="s">
        <v>1405</v>
      </c>
      <c r="I239" t="s">
        <v>1405</v>
      </c>
      <c r="J239" t="s">
        <v>1405</v>
      </c>
      <c r="K239" t="s">
        <v>1405</v>
      </c>
      <c r="L239">
        <v>2029</v>
      </c>
      <c r="M239" t="s">
        <v>1405</v>
      </c>
      <c r="N239" t="s">
        <v>1405</v>
      </c>
      <c r="O239" t="s">
        <v>1405</v>
      </c>
      <c r="P239" t="s">
        <v>1405</v>
      </c>
    </row>
    <row r="240" spans="1:16" x14ac:dyDescent="0.25">
      <c r="A240" t="s">
        <v>904</v>
      </c>
      <c r="B240">
        <v>2022</v>
      </c>
      <c r="C240" t="s">
        <v>1405</v>
      </c>
      <c r="D240" t="s">
        <v>1405</v>
      </c>
      <c r="E240" t="s">
        <v>1405</v>
      </c>
      <c r="F240" t="s">
        <v>1405</v>
      </c>
      <c r="G240">
        <v>2025</v>
      </c>
      <c r="H240" t="s">
        <v>1405</v>
      </c>
      <c r="I240" t="s">
        <v>1405</v>
      </c>
      <c r="J240" t="s">
        <v>1405</v>
      </c>
      <c r="K240" t="s">
        <v>1405</v>
      </c>
      <c r="L240">
        <v>2028</v>
      </c>
      <c r="M240" t="s">
        <v>1405</v>
      </c>
      <c r="N240" t="s">
        <v>1405</v>
      </c>
      <c r="O240" t="s">
        <v>1405</v>
      </c>
      <c r="P240" t="s">
        <v>1405</v>
      </c>
    </row>
    <row r="241" spans="1:16" x14ac:dyDescent="0.25">
      <c r="A241" t="s">
        <v>114</v>
      </c>
      <c r="B241">
        <v>2023</v>
      </c>
      <c r="C241" t="s">
        <v>1405</v>
      </c>
      <c r="D241" t="s">
        <v>1405</v>
      </c>
      <c r="E241" t="s">
        <v>1405</v>
      </c>
      <c r="F241" t="s">
        <v>1405</v>
      </c>
      <c r="G241">
        <v>2026</v>
      </c>
      <c r="H241" t="s">
        <v>1405</v>
      </c>
      <c r="I241" t="s">
        <v>1405</v>
      </c>
      <c r="J241" t="s">
        <v>1405</v>
      </c>
      <c r="K241" t="s">
        <v>1405</v>
      </c>
      <c r="L241">
        <v>2029</v>
      </c>
      <c r="M241" t="s">
        <v>1405</v>
      </c>
      <c r="N241" t="s">
        <v>1405</v>
      </c>
      <c r="O241" t="s">
        <v>1405</v>
      </c>
      <c r="P241" t="s">
        <v>1405</v>
      </c>
    </row>
    <row r="242" spans="1:16" x14ac:dyDescent="0.25">
      <c r="A242" t="s">
        <v>1208</v>
      </c>
      <c r="B242">
        <v>2026</v>
      </c>
      <c r="C242" t="s">
        <v>1405</v>
      </c>
      <c r="D242" t="s">
        <v>1405</v>
      </c>
      <c r="E242" t="s">
        <v>1405</v>
      </c>
      <c r="F242" t="s">
        <v>1405</v>
      </c>
      <c r="G242">
        <v>2029</v>
      </c>
      <c r="H242" t="s">
        <v>1405</v>
      </c>
      <c r="I242" t="s">
        <v>1405</v>
      </c>
      <c r="J242" t="s">
        <v>1405</v>
      </c>
      <c r="K242" t="s">
        <v>1405</v>
      </c>
      <c r="L242">
        <v>2032</v>
      </c>
      <c r="M242" t="s">
        <v>1405</v>
      </c>
      <c r="N242" t="s">
        <v>1405</v>
      </c>
      <c r="O242" t="s">
        <v>1405</v>
      </c>
      <c r="P242" t="s">
        <v>1405</v>
      </c>
    </row>
    <row r="243" spans="1:16" x14ac:dyDescent="0.25">
      <c r="A243" t="s">
        <v>515</v>
      </c>
      <c r="B243">
        <v>2025</v>
      </c>
      <c r="C243" t="s">
        <v>1405</v>
      </c>
      <c r="D243" t="s">
        <v>1405</v>
      </c>
      <c r="E243" t="s">
        <v>1405</v>
      </c>
      <c r="F243" t="s">
        <v>1405</v>
      </c>
      <c r="G243">
        <v>2028</v>
      </c>
      <c r="H243" t="s">
        <v>1405</v>
      </c>
      <c r="I243" t="s">
        <v>1405</v>
      </c>
      <c r="J243" t="s">
        <v>1405</v>
      </c>
      <c r="K243" t="s">
        <v>1405</v>
      </c>
      <c r="L243">
        <v>2031</v>
      </c>
      <c r="M243" t="s">
        <v>1405</v>
      </c>
      <c r="N243" t="s">
        <v>1405</v>
      </c>
      <c r="O243" t="s">
        <v>1405</v>
      </c>
      <c r="P243" t="s">
        <v>1405</v>
      </c>
    </row>
    <row r="244" spans="1:16" x14ac:dyDescent="0.25">
      <c r="A244" t="s">
        <v>932</v>
      </c>
      <c r="B244">
        <v>2023</v>
      </c>
      <c r="C244" t="s">
        <v>1405</v>
      </c>
      <c r="D244" t="s">
        <v>1405</v>
      </c>
      <c r="E244" t="s">
        <v>1405</v>
      </c>
      <c r="F244" t="s">
        <v>1405</v>
      </c>
      <c r="G244">
        <v>2026</v>
      </c>
      <c r="H244" t="s">
        <v>1405</v>
      </c>
      <c r="I244" t="s">
        <v>1405</v>
      </c>
      <c r="J244" t="s">
        <v>1405</v>
      </c>
      <c r="K244" t="s">
        <v>1405</v>
      </c>
      <c r="L244">
        <v>2029</v>
      </c>
      <c r="M244" t="s">
        <v>1405</v>
      </c>
      <c r="N244" t="s">
        <v>1405</v>
      </c>
      <c r="O244" t="s">
        <v>1405</v>
      </c>
      <c r="P244" t="s">
        <v>1405</v>
      </c>
    </row>
    <row r="245" spans="1:16" x14ac:dyDescent="0.25">
      <c r="A245" t="s">
        <v>929</v>
      </c>
      <c r="B245">
        <v>2023</v>
      </c>
      <c r="C245" t="s">
        <v>1405</v>
      </c>
      <c r="D245" t="s">
        <v>1405</v>
      </c>
      <c r="E245" t="s">
        <v>1405</v>
      </c>
      <c r="F245" t="s">
        <v>1405</v>
      </c>
      <c r="G245">
        <v>2026</v>
      </c>
      <c r="H245" t="s">
        <v>1405</v>
      </c>
      <c r="I245" t="s">
        <v>1405</v>
      </c>
      <c r="J245" t="s">
        <v>1405</v>
      </c>
      <c r="K245" t="s">
        <v>1405</v>
      </c>
      <c r="L245">
        <v>2029</v>
      </c>
      <c r="M245" t="s">
        <v>1405</v>
      </c>
      <c r="N245" t="s">
        <v>1405</v>
      </c>
      <c r="O245" t="s">
        <v>1405</v>
      </c>
      <c r="P245" t="s">
        <v>1405</v>
      </c>
    </row>
    <row r="246" spans="1:16" x14ac:dyDescent="0.25">
      <c r="A246" t="s">
        <v>135</v>
      </c>
      <c r="B246">
        <v>2025</v>
      </c>
      <c r="C246" t="s">
        <v>1405</v>
      </c>
      <c r="D246" t="s">
        <v>1405</v>
      </c>
      <c r="E246" t="s">
        <v>1405</v>
      </c>
      <c r="F246" t="s">
        <v>1405</v>
      </c>
      <c r="G246">
        <v>2028</v>
      </c>
      <c r="H246" t="s">
        <v>1405</v>
      </c>
      <c r="I246" t="s">
        <v>1405</v>
      </c>
      <c r="J246" t="s">
        <v>1405</v>
      </c>
      <c r="K246" t="s">
        <v>1405</v>
      </c>
      <c r="L246">
        <v>2031</v>
      </c>
      <c r="M246" t="s">
        <v>1405</v>
      </c>
      <c r="N246" t="s">
        <v>1405</v>
      </c>
      <c r="O246" t="s">
        <v>1405</v>
      </c>
      <c r="P246" t="s">
        <v>1405</v>
      </c>
    </row>
    <row r="247" spans="1:16" x14ac:dyDescent="0.25">
      <c r="A247" t="s">
        <v>291</v>
      </c>
      <c r="B247">
        <v>2024</v>
      </c>
      <c r="C247" t="s">
        <v>1405</v>
      </c>
      <c r="D247" t="s">
        <v>1405</v>
      </c>
      <c r="E247" t="s">
        <v>1405</v>
      </c>
      <c r="F247" t="s">
        <v>1405</v>
      </c>
      <c r="G247">
        <v>2027</v>
      </c>
      <c r="H247" t="s">
        <v>1405</v>
      </c>
      <c r="I247" t="s">
        <v>1405</v>
      </c>
      <c r="J247" t="s">
        <v>1405</v>
      </c>
      <c r="K247" t="s">
        <v>1405</v>
      </c>
      <c r="L247">
        <v>2030</v>
      </c>
      <c r="M247" t="s">
        <v>1405</v>
      </c>
      <c r="N247" t="s">
        <v>1405</v>
      </c>
      <c r="O247" t="s">
        <v>1405</v>
      </c>
      <c r="P247" t="s">
        <v>1405</v>
      </c>
    </row>
    <row r="248" spans="1:16" x14ac:dyDescent="0.25">
      <c r="A248" t="s">
        <v>506</v>
      </c>
      <c r="B248">
        <v>2024</v>
      </c>
      <c r="C248" t="s">
        <v>1405</v>
      </c>
      <c r="D248" t="s">
        <v>1405</v>
      </c>
      <c r="E248" t="s">
        <v>1405</v>
      </c>
      <c r="F248" t="s">
        <v>1405</v>
      </c>
      <c r="G248">
        <v>2027</v>
      </c>
      <c r="H248" t="s">
        <v>1405</v>
      </c>
      <c r="I248" t="s">
        <v>1405</v>
      </c>
      <c r="J248" t="s">
        <v>1405</v>
      </c>
      <c r="K248" t="s">
        <v>1405</v>
      </c>
      <c r="L248">
        <v>2030</v>
      </c>
      <c r="M248" t="s">
        <v>1405</v>
      </c>
      <c r="N248" t="s">
        <v>1405</v>
      </c>
      <c r="O248" t="s">
        <v>1405</v>
      </c>
      <c r="P248" t="s">
        <v>1405</v>
      </c>
    </row>
    <row r="249" spans="1:16" x14ac:dyDescent="0.25">
      <c r="A249" t="s">
        <v>19</v>
      </c>
      <c r="B249">
        <v>2021</v>
      </c>
      <c r="C249" t="s">
        <v>1405</v>
      </c>
      <c r="D249" t="s">
        <v>1405</v>
      </c>
      <c r="E249" t="s">
        <v>1405</v>
      </c>
      <c r="F249" t="s">
        <v>1405</v>
      </c>
      <c r="G249">
        <v>2024</v>
      </c>
      <c r="H249" t="s">
        <v>1405</v>
      </c>
      <c r="I249" t="s">
        <v>1405</v>
      </c>
      <c r="J249" t="s">
        <v>1405</v>
      </c>
      <c r="K249" t="s">
        <v>1405</v>
      </c>
      <c r="L249">
        <v>2027</v>
      </c>
      <c r="M249" t="s">
        <v>1405</v>
      </c>
      <c r="N249" t="s">
        <v>1405</v>
      </c>
      <c r="O249" t="s">
        <v>1405</v>
      </c>
      <c r="P249" t="s">
        <v>1405</v>
      </c>
    </row>
    <row r="250" spans="1:16" x14ac:dyDescent="0.25">
      <c r="A250" t="s">
        <v>34</v>
      </c>
      <c r="B250">
        <v>2021</v>
      </c>
      <c r="C250" t="s">
        <v>1405</v>
      </c>
      <c r="D250" t="s">
        <v>1405</v>
      </c>
      <c r="E250" t="s">
        <v>1405</v>
      </c>
      <c r="F250" t="s">
        <v>1405</v>
      </c>
      <c r="G250">
        <v>2024</v>
      </c>
      <c r="H250" t="s">
        <v>1405</v>
      </c>
      <c r="I250" t="s">
        <v>1405</v>
      </c>
      <c r="J250" t="s">
        <v>1405</v>
      </c>
      <c r="K250" t="s">
        <v>1405</v>
      </c>
      <c r="L250">
        <v>2027</v>
      </c>
      <c r="M250" t="s">
        <v>1405</v>
      </c>
      <c r="N250" t="s">
        <v>1405</v>
      </c>
      <c r="O250" t="s">
        <v>1405</v>
      </c>
      <c r="P250" t="s">
        <v>1405</v>
      </c>
    </row>
    <row r="251" spans="1:16" x14ac:dyDescent="0.25">
      <c r="A251" t="s">
        <v>221</v>
      </c>
      <c r="B251">
        <v>2025</v>
      </c>
      <c r="C251" t="s">
        <v>1405</v>
      </c>
      <c r="D251" t="s">
        <v>1405</v>
      </c>
      <c r="E251" t="s">
        <v>1405</v>
      </c>
      <c r="F251" t="s">
        <v>1405</v>
      </c>
      <c r="G251">
        <v>2028</v>
      </c>
      <c r="H251" t="s">
        <v>1405</v>
      </c>
      <c r="I251" t="s">
        <v>1405</v>
      </c>
      <c r="J251" t="s">
        <v>1405</v>
      </c>
      <c r="K251" t="s">
        <v>1405</v>
      </c>
      <c r="L251">
        <v>2031</v>
      </c>
      <c r="M251" t="s">
        <v>1405</v>
      </c>
      <c r="N251" t="s">
        <v>1405</v>
      </c>
      <c r="O251" t="s">
        <v>1405</v>
      </c>
      <c r="P251" t="s">
        <v>1405</v>
      </c>
    </row>
    <row r="252" spans="1:16" x14ac:dyDescent="0.25">
      <c r="A252" t="s">
        <v>997</v>
      </c>
      <c r="B252">
        <v>2024</v>
      </c>
      <c r="C252" t="s">
        <v>1405</v>
      </c>
      <c r="D252" t="s">
        <v>1405</v>
      </c>
      <c r="E252" t="s">
        <v>1405</v>
      </c>
      <c r="F252" t="s">
        <v>1405</v>
      </c>
      <c r="G252">
        <v>2027</v>
      </c>
      <c r="H252" t="s">
        <v>1405</v>
      </c>
      <c r="I252" t="s">
        <v>1405</v>
      </c>
      <c r="J252" t="s">
        <v>1405</v>
      </c>
      <c r="K252" t="s">
        <v>1405</v>
      </c>
      <c r="L252">
        <v>2030</v>
      </c>
      <c r="M252" t="s">
        <v>1405</v>
      </c>
      <c r="N252" t="s">
        <v>1405</v>
      </c>
      <c r="O252" t="s">
        <v>1405</v>
      </c>
      <c r="P252" t="s">
        <v>1405</v>
      </c>
    </row>
    <row r="253" spans="1:16" x14ac:dyDescent="0.25">
      <c r="A253" t="s">
        <v>911</v>
      </c>
      <c r="B253">
        <v>2022</v>
      </c>
      <c r="C253" t="s">
        <v>1405</v>
      </c>
      <c r="D253" t="s">
        <v>1405</v>
      </c>
      <c r="E253" t="s">
        <v>1405</v>
      </c>
      <c r="F253" t="s">
        <v>1405</v>
      </c>
      <c r="G253">
        <v>2025</v>
      </c>
      <c r="H253" t="s">
        <v>1405</v>
      </c>
      <c r="I253" t="s">
        <v>1405</v>
      </c>
      <c r="J253" t="s">
        <v>1405</v>
      </c>
      <c r="K253" t="s">
        <v>1405</v>
      </c>
      <c r="L253">
        <v>2028</v>
      </c>
      <c r="M253" t="s">
        <v>1405</v>
      </c>
      <c r="N253" t="s">
        <v>1405</v>
      </c>
      <c r="O253" t="s">
        <v>1405</v>
      </c>
      <c r="P253" t="s">
        <v>1405</v>
      </c>
    </row>
    <row r="254" spans="1:16" x14ac:dyDescent="0.25">
      <c r="A254" t="s">
        <v>305</v>
      </c>
      <c r="B254">
        <v>2024</v>
      </c>
      <c r="C254" t="s">
        <v>1405</v>
      </c>
      <c r="D254" t="s">
        <v>1405</v>
      </c>
      <c r="E254" t="s">
        <v>1405</v>
      </c>
      <c r="F254" t="s">
        <v>1405</v>
      </c>
      <c r="G254">
        <v>2027</v>
      </c>
      <c r="H254" t="s">
        <v>1405</v>
      </c>
      <c r="I254" t="s">
        <v>1405</v>
      </c>
      <c r="J254" t="s">
        <v>1405</v>
      </c>
      <c r="K254" t="s">
        <v>1405</v>
      </c>
      <c r="L254">
        <v>2030</v>
      </c>
      <c r="M254" t="s">
        <v>1405</v>
      </c>
      <c r="N254" t="s">
        <v>1405</v>
      </c>
      <c r="O254" t="s">
        <v>1405</v>
      </c>
      <c r="P254" t="s">
        <v>1405</v>
      </c>
    </row>
    <row r="255" spans="1:16" x14ac:dyDescent="0.25">
      <c r="A255" t="s">
        <v>566</v>
      </c>
      <c r="B255">
        <v>2025</v>
      </c>
      <c r="C255" t="s">
        <v>1405</v>
      </c>
      <c r="D255" t="s">
        <v>1405</v>
      </c>
      <c r="E255" t="s">
        <v>1405</v>
      </c>
      <c r="F255" t="s">
        <v>1405</v>
      </c>
      <c r="G255">
        <v>2028</v>
      </c>
      <c r="H255" t="s">
        <v>1405</v>
      </c>
      <c r="I255" t="s">
        <v>1405</v>
      </c>
      <c r="J255" t="s">
        <v>1405</v>
      </c>
      <c r="K255" t="s">
        <v>1405</v>
      </c>
      <c r="L255">
        <v>2031</v>
      </c>
      <c r="M255" t="s">
        <v>1405</v>
      </c>
      <c r="N255" t="s">
        <v>1405</v>
      </c>
      <c r="O255" t="s">
        <v>1405</v>
      </c>
      <c r="P255" t="s">
        <v>1405</v>
      </c>
    </row>
    <row r="256" spans="1:16" x14ac:dyDescent="0.25">
      <c r="A256" t="s">
        <v>525</v>
      </c>
      <c r="B256">
        <v>2025</v>
      </c>
      <c r="C256" t="s">
        <v>1405</v>
      </c>
      <c r="D256" t="s">
        <v>1405</v>
      </c>
      <c r="E256" t="s">
        <v>1405</v>
      </c>
      <c r="F256" t="s">
        <v>1405</v>
      </c>
      <c r="G256">
        <v>2028</v>
      </c>
      <c r="H256" t="s">
        <v>1405</v>
      </c>
      <c r="I256" t="s">
        <v>1405</v>
      </c>
      <c r="J256" t="s">
        <v>1405</v>
      </c>
      <c r="K256" t="s">
        <v>1405</v>
      </c>
      <c r="L256">
        <v>2031</v>
      </c>
      <c r="M256" t="s">
        <v>1405</v>
      </c>
      <c r="N256" t="s">
        <v>1405</v>
      </c>
      <c r="O256" t="s">
        <v>1405</v>
      </c>
      <c r="P256" t="s">
        <v>1405</v>
      </c>
    </row>
    <row r="257" spans="1:16" x14ac:dyDescent="0.25">
      <c r="A257" t="s">
        <v>196</v>
      </c>
      <c r="B257">
        <v>2025</v>
      </c>
      <c r="C257" t="s">
        <v>1405</v>
      </c>
      <c r="D257" t="s">
        <v>1405</v>
      </c>
      <c r="E257" t="s">
        <v>1405</v>
      </c>
      <c r="F257" t="s">
        <v>1405</v>
      </c>
      <c r="G257">
        <v>2028</v>
      </c>
      <c r="H257" t="s">
        <v>1405</v>
      </c>
      <c r="I257" t="s">
        <v>1405</v>
      </c>
      <c r="J257" t="s">
        <v>1405</v>
      </c>
      <c r="K257" t="s">
        <v>1405</v>
      </c>
      <c r="L257">
        <v>2031</v>
      </c>
      <c r="M257" t="s">
        <v>1405</v>
      </c>
      <c r="N257" t="s">
        <v>1405</v>
      </c>
      <c r="O257" t="s">
        <v>1405</v>
      </c>
      <c r="P257" t="s">
        <v>1405</v>
      </c>
    </row>
    <row r="258" spans="1:16" x14ac:dyDescent="0.25">
      <c r="A258" t="s">
        <v>392</v>
      </c>
      <c r="B258">
        <v>2024</v>
      </c>
      <c r="C258" t="s">
        <v>1405</v>
      </c>
      <c r="D258" t="s">
        <v>1405</v>
      </c>
      <c r="E258" t="s">
        <v>1405</v>
      </c>
      <c r="F258" t="s">
        <v>1405</v>
      </c>
      <c r="G258">
        <v>2027</v>
      </c>
      <c r="H258" t="s">
        <v>1405</v>
      </c>
      <c r="I258" t="s">
        <v>1405</v>
      </c>
      <c r="J258" t="s">
        <v>1405</v>
      </c>
      <c r="K258" t="s">
        <v>1405</v>
      </c>
      <c r="L258">
        <v>2030</v>
      </c>
      <c r="M258" t="s">
        <v>1405</v>
      </c>
      <c r="N258" t="s">
        <v>1405</v>
      </c>
      <c r="O258" t="s">
        <v>1405</v>
      </c>
      <c r="P258" t="s">
        <v>1405</v>
      </c>
    </row>
    <row r="259" spans="1:16" x14ac:dyDescent="0.25">
      <c r="A259" t="s">
        <v>46</v>
      </c>
      <c r="B259">
        <v>2022</v>
      </c>
      <c r="C259" t="s">
        <v>1405</v>
      </c>
      <c r="D259" t="s">
        <v>1405</v>
      </c>
      <c r="E259" t="s">
        <v>1405</v>
      </c>
      <c r="F259" t="s">
        <v>1405</v>
      </c>
      <c r="G259">
        <v>2025</v>
      </c>
      <c r="H259" t="s">
        <v>1405</v>
      </c>
      <c r="I259" t="s">
        <v>1405</v>
      </c>
      <c r="J259" t="s">
        <v>1405</v>
      </c>
      <c r="K259" t="s">
        <v>1405</v>
      </c>
      <c r="L259">
        <v>2028</v>
      </c>
      <c r="M259" t="s">
        <v>1405</v>
      </c>
      <c r="N259" t="s">
        <v>1405</v>
      </c>
      <c r="O259" t="s">
        <v>1405</v>
      </c>
      <c r="P259" t="s">
        <v>1405</v>
      </c>
    </row>
    <row r="260" spans="1:16" x14ac:dyDescent="0.25">
      <c r="A260" t="s">
        <v>95</v>
      </c>
      <c r="B260">
        <v>2023</v>
      </c>
      <c r="C260" t="s">
        <v>1405</v>
      </c>
      <c r="D260" t="s">
        <v>1405</v>
      </c>
      <c r="E260" t="s">
        <v>1405</v>
      </c>
      <c r="F260" t="s">
        <v>1405</v>
      </c>
      <c r="G260">
        <v>2026</v>
      </c>
      <c r="H260" t="s">
        <v>1405</v>
      </c>
      <c r="I260" t="s">
        <v>1405</v>
      </c>
      <c r="J260" t="s">
        <v>1405</v>
      </c>
      <c r="K260" t="s">
        <v>1405</v>
      </c>
      <c r="L260">
        <v>2029</v>
      </c>
      <c r="M260" t="s">
        <v>1405</v>
      </c>
      <c r="N260" t="s">
        <v>1405</v>
      </c>
      <c r="O260" t="s">
        <v>1405</v>
      </c>
      <c r="P260" t="s">
        <v>1405</v>
      </c>
    </row>
    <row r="261" spans="1:16" x14ac:dyDescent="0.25">
      <c r="A261" t="s">
        <v>410</v>
      </c>
      <c r="B261">
        <v>2024</v>
      </c>
      <c r="C261" t="s">
        <v>1405</v>
      </c>
      <c r="D261" t="s">
        <v>1405</v>
      </c>
      <c r="E261" t="s">
        <v>1405</v>
      </c>
      <c r="F261" t="s">
        <v>1405</v>
      </c>
      <c r="G261">
        <v>2027</v>
      </c>
      <c r="H261" t="s">
        <v>1405</v>
      </c>
      <c r="I261" t="s">
        <v>1405</v>
      </c>
      <c r="J261" t="s">
        <v>1405</v>
      </c>
      <c r="K261" t="s">
        <v>1405</v>
      </c>
      <c r="L261">
        <v>2030</v>
      </c>
      <c r="M261" t="s">
        <v>1405</v>
      </c>
      <c r="N261" t="s">
        <v>1405</v>
      </c>
      <c r="O261" t="s">
        <v>1405</v>
      </c>
      <c r="P261" t="s">
        <v>1405</v>
      </c>
    </row>
    <row r="262" spans="1:16" x14ac:dyDescent="0.25">
      <c r="A262" t="s">
        <v>446</v>
      </c>
      <c r="B262">
        <v>2025</v>
      </c>
      <c r="C262" t="s">
        <v>1405</v>
      </c>
      <c r="D262" t="s">
        <v>1405</v>
      </c>
      <c r="E262" t="s">
        <v>1405</v>
      </c>
      <c r="F262" t="s">
        <v>1405</v>
      </c>
      <c r="G262">
        <v>2028</v>
      </c>
      <c r="H262" t="s">
        <v>1405</v>
      </c>
      <c r="I262" t="s">
        <v>1405</v>
      </c>
      <c r="J262" t="s">
        <v>1405</v>
      </c>
      <c r="K262" t="s">
        <v>1405</v>
      </c>
      <c r="L262">
        <v>2031</v>
      </c>
      <c r="M262" t="s">
        <v>1405</v>
      </c>
      <c r="N262" t="s">
        <v>1405</v>
      </c>
      <c r="O262" t="s">
        <v>1405</v>
      </c>
      <c r="P262" t="s">
        <v>1405</v>
      </c>
    </row>
    <row r="263" spans="1:16" x14ac:dyDescent="0.25">
      <c r="A263" t="s">
        <v>85</v>
      </c>
      <c r="B263">
        <v>2022</v>
      </c>
      <c r="C263" t="s">
        <v>1405</v>
      </c>
      <c r="D263" t="s">
        <v>1405</v>
      </c>
      <c r="E263" t="s">
        <v>1405</v>
      </c>
      <c r="F263" t="s">
        <v>1405</v>
      </c>
      <c r="G263">
        <v>2025</v>
      </c>
      <c r="H263" t="s">
        <v>1405</v>
      </c>
      <c r="I263" t="s">
        <v>1405</v>
      </c>
      <c r="J263" t="s">
        <v>1405</v>
      </c>
      <c r="K263" t="s">
        <v>1405</v>
      </c>
      <c r="L263">
        <v>2028</v>
      </c>
      <c r="M263" t="s">
        <v>1405</v>
      </c>
      <c r="N263" t="s">
        <v>1405</v>
      </c>
      <c r="O263" t="s">
        <v>1405</v>
      </c>
      <c r="P263" t="s">
        <v>1405</v>
      </c>
    </row>
    <row r="264" spans="1:16" x14ac:dyDescent="0.25">
      <c r="A264" t="s">
        <v>42</v>
      </c>
      <c r="B264">
        <v>2021</v>
      </c>
      <c r="C264" t="s">
        <v>1405</v>
      </c>
      <c r="D264" t="s">
        <v>1405</v>
      </c>
      <c r="E264" t="s">
        <v>1405</v>
      </c>
      <c r="F264" t="s">
        <v>1405</v>
      </c>
      <c r="G264">
        <v>2024</v>
      </c>
      <c r="H264" t="s">
        <v>1405</v>
      </c>
      <c r="I264" t="s">
        <v>1405</v>
      </c>
      <c r="J264" t="s">
        <v>1405</v>
      </c>
      <c r="K264" t="s">
        <v>1405</v>
      </c>
      <c r="L264">
        <v>2027</v>
      </c>
      <c r="M264" t="s">
        <v>1405</v>
      </c>
      <c r="N264" t="s">
        <v>1405</v>
      </c>
      <c r="O264" t="s">
        <v>1405</v>
      </c>
      <c r="P264" t="s">
        <v>1405</v>
      </c>
    </row>
    <row r="265" spans="1:16" x14ac:dyDescent="0.25">
      <c r="A265" t="s">
        <v>146</v>
      </c>
      <c r="B265">
        <v>2025</v>
      </c>
      <c r="C265" t="s">
        <v>1405</v>
      </c>
      <c r="D265" t="s">
        <v>1405</v>
      </c>
      <c r="E265" t="s">
        <v>1405</v>
      </c>
      <c r="F265" t="s">
        <v>1405</v>
      </c>
      <c r="G265">
        <v>2028</v>
      </c>
      <c r="H265" t="s">
        <v>1405</v>
      </c>
      <c r="I265" t="s">
        <v>1405</v>
      </c>
      <c r="J265" t="s">
        <v>1405</v>
      </c>
      <c r="K265" t="s">
        <v>1405</v>
      </c>
      <c r="L265">
        <v>2031</v>
      </c>
      <c r="M265" t="s">
        <v>1405</v>
      </c>
      <c r="N265" t="s">
        <v>1405</v>
      </c>
      <c r="O265" t="s">
        <v>1405</v>
      </c>
      <c r="P265" t="s">
        <v>1405</v>
      </c>
    </row>
    <row r="266" spans="1:16" x14ac:dyDescent="0.25">
      <c r="A266" t="s">
        <v>282</v>
      </c>
      <c r="B266">
        <v>2024</v>
      </c>
      <c r="C266" t="s">
        <v>1405</v>
      </c>
      <c r="D266" t="s">
        <v>1405</v>
      </c>
      <c r="E266" t="s">
        <v>1405</v>
      </c>
      <c r="F266" t="s">
        <v>1405</v>
      </c>
      <c r="G266">
        <v>2027</v>
      </c>
      <c r="H266" t="s">
        <v>1405</v>
      </c>
      <c r="I266" t="s">
        <v>1405</v>
      </c>
      <c r="J266" t="s">
        <v>1405</v>
      </c>
      <c r="K266" t="s">
        <v>1405</v>
      </c>
      <c r="L266">
        <v>2030</v>
      </c>
      <c r="M266" t="s">
        <v>1405</v>
      </c>
      <c r="N266" t="s">
        <v>1405</v>
      </c>
      <c r="O266" t="s">
        <v>1405</v>
      </c>
      <c r="P266" t="s">
        <v>1405</v>
      </c>
    </row>
    <row r="267" spans="1:16" x14ac:dyDescent="0.25">
      <c r="A267" t="s">
        <v>878</v>
      </c>
      <c r="B267">
        <v>2021</v>
      </c>
      <c r="C267" t="s">
        <v>1405</v>
      </c>
      <c r="D267" t="s">
        <v>1405</v>
      </c>
      <c r="E267" t="s">
        <v>1405</v>
      </c>
      <c r="F267" t="s">
        <v>1405</v>
      </c>
      <c r="G267">
        <v>2024</v>
      </c>
      <c r="H267" t="s">
        <v>1405</v>
      </c>
      <c r="I267" t="s">
        <v>1405</v>
      </c>
      <c r="J267" t="s">
        <v>1405</v>
      </c>
      <c r="K267" t="s">
        <v>1405</v>
      </c>
      <c r="L267">
        <v>2027</v>
      </c>
      <c r="M267" t="s">
        <v>1405</v>
      </c>
      <c r="N267" t="s">
        <v>1405</v>
      </c>
      <c r="O267" t="s">
        <v>1405</v>
      </c>
      <c r="P267" t="s">
        <v>1405</v>
      </c>
    </row>
    <row r="268" spans="1:16" x14ac:dyDescent="0.25">
      <c r="A268" t="s">
        <v>59</v>
      </c>
      <c r="B268">
        <v>2022</v>
      </c>
      <c r="C268" t="s">
        <v>1405</v>
      </c>
      <c r="D268" t="s">
        <v>1405</v>
      </c>
      <c r="E268" t="s">
        <v>1405</v>
      </c>
      <c r="F268" t="s">
        <v>1405</v>
      </c>
      <c r="G268">
        <v>2025</v>
      </c>
      <c r="H268" t="s">
        <v>1405</v>
      </c>
      <c r="I268" t="s">
        <v>1405</v>
      </c>
      <c r="J268" t="s">
        <v>1405</v>
      </c>
      <c r="K268" t="s">
        <v>1405</v>
      </c>
      <c r="L268">
        <v>2028</v>
      </c>
      <c r="M268" t="s">
        <v>1405</v>
      </c>
      <c r="N268" t="s">
        <v>1405</v>
      </c>
      <c r="O268" t="s">
        <v>1405</v>
      </c>
      <c r="P268" t="s">
        <v>1405</v>
      </c>
    </row>
    <row r="269" spans="1:16" x14ac:dyDescent="0.25">
      <c r="A269" t="s">
        <v>315</v>
      </c>
      <c r="B269">
        <v>2021</v>
      </c>
      <c r="C269" t="s">
        <v>1405</v>
      </c>
      <c r="D269" t="s">
        <v>1405</v>
      </c>
      <c r="E269" t="s">
        <v>1405</v>
      </c>
      <c r="F269" t="s">
        <v>1405</v>
      </c>
      <c r="G269">
        <v>2024</v>
      </c>
      <c r="H269" t="s">
        <v>1405</v>
      </c>
      <c r="I269" t="s">
        <v>1405</v>
      </c>
      <c r="J269" t="s">
        <v>1405</v>
      </c>
      <c r="K269" t="s">
        <v>1405</v>
      </c>
      <c r="L269">
        <v>2027</v>
      </c>
      <c r="M269" t="s">
        <v>1405</v>
      </c>
      <c r="N269" t="s">
        <v>1405</v>
      </c>
      <c r="O269" t="s">
        <v>1405</v>
      </c>
      <c r="P269" t="s">
        <v>1405</v>
      </c>
    </row>
    <row r="270" spans="1:16" x14ac:dyDescent="0.25">
      <c r="A270" t="s">
        <v>1228</v>
      </c>
      <c r="B270">
        <v>2026</v>
      </c>
      <c r="C270" t="s">
        <v>1405</v>
      </c>
      <c r="D270" t="s">
        <v>1405</v>
      </c>
      <c r="E270" t="s">
        <v>1405</v>
      </c>
      <c r="F270" t="s">
        <v>1405</v>
      </c>
      <c r="G270">
        <v>2029</v>
      </c>
      <c r="H270" t="s">
        <v>1405</v>
      </c>
      <c r="I270" t="s">
        <v>1405</v>
      </c>
      <c r="J270" t="s">
        <v>1405</v>
      </c>
      <c r="K270" t="s">
        <v>1405</v>
      </c>
      <c r="L270">
        <v>2032</v>
      </c>
      <c r="M270" t="s">
        <v>1405</v>
      </c>
      <c r="N270" t="s">
        <v>1405</v>
      </c>
      <c r="O270" t="s">
        <v>1405</v>
      </c>
      <c r="P270" t="s">
        <v>1405</v>
      </c>
    </row>
    <row r="271" spans="1:16" x14ac:dyDescent="0.25">
      <c r="A271" t="s">
        <v>460</v>
      </c>
      <c r="B271">
        <v>2025</v>
      </c>
      <c r="C271" t="s">
        <v>1405</v>
      </c>
      <c r="D271" t="s">
        <v>1405</v>
      </c>
      <c r="E271" t="s">
        <v>1405</v>
      </c>
      <c r="F271" t="s">
        <v>1405</v>
      </c>
      <c r="G271">
        <v>2028</v>
      </c>
      <c r="H271" t="s">
        <v>1405</v>
      </c>
      <c r="I271" t="s">
        <v>1405</v>
      </c>
      <c r="J271" t="s">
        <v>1405</v>
      </c>
      <c r="K271" t="s">
        <v>1405</v>
      </c>
      <c r="L271">
        <v>2031</v>
      </c>
      <c r="M271" t="s">
        <v>1405</v>
      </c>
      <c r="N271" t="s">
        <v>1405</v>
      </c>
      <c r="O271" t="s">
        <v>1405</v>
      </c>
      <c r="P271" t="s">
        <v>1405</v>
      </c>
    </row>
    <row r="272" spans="1:16" x14ac:dyDescent="0.25">
      <c r="A272" t="s">
        <v>70</v>
      </c>
      <c r="B272">
        <v>2022</v>
      </c>
      <c r="C272" t="s">
        <v>1405</v>
      </c>
      <c r="D272" t="s">
        <v>1405</v>
      </c>
      <c r="E272" t="s">
        <v>1405</v>
      </c>
      <c r="F272" t="s">
        <v>1405</v>
      </c>
      <c r="G272">
        <v>2025</v>
      </c>
      <c r="H272" t="s">
        <v>1405</v>
      </c>
      <c r="I272" t="s">
        <v>1405</v>
      </c>
      <c r="J272" t="s">
        <v>1405</v>
      </c>
      <c r="K272" t="s">
        <v>1405</v>
      </c>
      <c r="L272">
        <v>2028</v>
      </c>
      <c r="M272" t="s">
        <v>1405</v>
      </c>
      <c r="N272" t="s">
        <v>1405</v>
      </c>
      <c r="O272" t="s">
        <v>1405</v>
      </c>
      <c r="P272" t="s">
        <v>1405</v>
      </c>
    </row>
    <row r="273" spans="1:16" x14ac:dyDescent="0.25">
      <c r="A273" t="s">
        <v>1063</v>
      </c>
      <c r="B273">
        <v>2025</v>
      </c>
      <c r="C273" t="s">
        <v>1405</v>
      </c>
      <c r="D273" t="s">
        <v>1405</v>
      </c>
      <c r="E273" t="s">
        <v>1405</v>
      </c>
      <c r="F273" t="s">
        <v>1405</v>
      </c>
      <c r="G273">
        <v>2028</v>
      </c>
      <c r="H273" t="s">
        <v>1405</v>
      </c>
      <c r="I273" t="s">
        <v>1405</v>
      </c>
      <c r="J273" t="s">
        <v>1405</v>
      </c>
      <c r="K273" t="s">
        <v>1405</v>
      </c>
      <c r="L273">
        <v>2031</v>
      </c>
      <c r="M273" t="s">
        <v>1405</v>
      </c>
      <c r="N273" t="s">
        <v>1405</v>
      </c>
      <c r="O273" t="s">
        <v>1405</v>
      </c>
      <c r="P273" t="s">
        <v>1405</v>
      </c>
    </row>
    <row r="274" spans="1:16" x14ac:dyDescent="0.25">
      <c r="A274" t="s">
        <v>432</v>
      </c>
      <c r="B274">
        <v>2025</v>
      </c>
      <c r="C274" t="s">
        <v>1405</v>
      </c>
      <c r="D274" t="s">
        <v>1405</v>
      </c>
      <c r="E274" t="s">
        <v>1405</v>
      </c>
      <c r="F274" t="s">
        <v>1405</v>
      </c>
      <c r="G274">
        <v>2028</v>
      </c>
      <c r="H274" t="s">
        <v>1405</v>
      </c>
      <c r="I274" t="s">
        <v>1405</v>
      </c>
      <c r="J274" t="s">
        <v>1405</v>
      </c>
      <c r="K274" t="s">
        <v>1405</v>
      </c>
      <c r="L274">
        <v>2031</v>
      </c>
      <c r="M274" t="s">
        <v>1405</v>
      </c>
      <c r="N274" t="s">
        <v>1405</v>
      </c>
      <c r="O274" t="s">
        <v>1405</v>
      </c>
      <c r="P274" t="s">
        <v>1405</v>
      </c>
    </row>
    <row r="275" spans="1:16" x14ac:dyDescent="0.25">
      <c r="A275" t="s">
        <v>957</v>
      </c>
      <c r="B275">
        <v>2024</v>
      </c>
      <c r="C275" t="s">
        <v>1405</v>
      </c>
      <c r="D275" t="s">
        <v>1405</v>
      </c>
      <c r="E275" t="s">
        <v>1405</v>
      </c>
      <c r="F275" t="s">
        <v>1405</v>
      </c>
      <c r="G275">
        <v>2027</v>
      </c>
      <c r="H275" t="s">
        <v>1405</v>
      </c>
      <c r="I275" t="s">
        <v>1405</v>
      </c>
      <c r="J275" t="s">
        <v>1405</v>
      </c>
      <c r="K275" t="s">
        <v>1405</v>
      </c>
      <c r="L275">
        <v>2030</v>
      </c>
      <c r="M275" t="s">
        <v>1405</v>
      </c>
      <c r="N275" t="s">
        <v>1405</v>
      </c>
      <c r="O275" t="s">
        <v>1405</v>
      </c>
      <c r="P275" t="s">
        <v>1405</v>
      </c>
    </row>
    <row r="276" spans="1:16" x14ac:dyDescent="0.25">
      <c r="A276" t="s">
        <v>557</v>
      </c>
      <c r="B276">
        <v>2025</v>
      </c>
      <c r="C276" t="s">
        <v>1405</v>
      </c>
      <c r="D276" t="s">
        <v>1405</v>
      </c>
      <c r="E276" t="s">
        <v>1405</v>
      </c>
      <c r="F276" t="s">
        <v>1405</v>
      </c>
      <c r="G276">
        <v>2028</v>
      </c>
      <c r="H276" t="s">
        <v>1405</v>
      </c>
      <c r="I276" t="s">
        <v>1405</v>
      </c>
      <c r="J276" t="s">
        <v>1405</v>
      </c>
      <c r="K276" t="s">
        <v>1405</v>
      </c>
      <c r="L276">
        <v>2031</v>
      </c>
      <c r="M276" t="s">
        <v>1405</v>
      </c>
      <c r="N276" t="s">
        <v>1405</v>
      </c>
      <c r="O276" t="s">
        <v>1405</v>
      </c>
      <c r="P276" t="s">
        <v>1405</v>
      </c>
    </row>
    <row r="277" spans="1:16" x14ac:dyDescent="0.25">
      <c r="A277" t="s">
        <v>203</v>
      </c>
      <c r="B277">
        <v>2025</v>
      </c>
      <c r="C277" t="s">
        <v>1405</v>
      </c>
      <c r="D277" t="s">
        <v>1405</v>
      </c>
      <c r="E277" t="s">
        <v>1405</v>
      </c>
      <c r="F277" t="s">
        <v>1405</v>
      </c>
      <c r="G277">
        <v>2028</v>
      </c>
      <c r="H277" t="s">
        <v>1405</v>
      </c>
      <c r="I277" t="s">
        <v>1405</v>
      </c>
      <c r="J277" t="s">
        <v>1405</v>
      </c>
      <c r="K277" t="s">
        <v>1405</v>
      </c>
      <c r="L277">
        <v>2031</v>
      </c>
      <c r="M277" t="s">
        <v>1405</v>
      </c>
      <c r="N277" t="s">
        <v>1405</v>
      </c>
      <c r="O277" t="s">
        <v>1405</v>
      </c>
      <c r="P277" t="s">
        <v>1405</v>
      </c>
    </row>
    <row r="278" spans="1:16" x14ac:dyDescent="0.25">
      <c r="A278" t="s">
        <v>875</v>
      </c>
      <c r="B278">
        <v>2021</v>
      </c>
      <c r="C278" t="s">
        <v>1405</v>
      </c>
      <c r="D278" t="s">
        <v>1405</v>
      </c>
      <c r="E278" t="s">
        <v>1405</v>
      </c>
      <c r="F278" t="s">
        <v>1405</v>
      </c>
      <c r="G278">
        <v>2024</v>
      </c>
      <c r="H278" t="s">
        <v>1405</v>
      </c>
      <c r="I278" t="s">
        <v>1405</v>
      </c>
      <c r="J278" t="s">
        <v>1405</v>
      </c>
      <c r="K278" t="s">
        <v>1405</v>
      </c>
      <c r="L278">
        <v>2027</v>
      </c>
      <c r="M278" t="s">
        <v>1405</v>
      </c>
      <c r="N278" t="s">
        <v>1405</v>
      </c>
      <c r="O278" t="s">
        <v>1405</v>
      </c>
      <c r="P278" t="s">
        <v>1405</v>
      </c>
    </row>
    <row r="279" spans="1:16" x14ac:dyDescent="0.25">
      <c r="A279" t="s">
        <v>67</v>
      </c>
      <c r="B279">
        <v>2022</v>
      </c>
      <c r="C279" t="s">
        <v>1405</v>
      </c>
      <c r="D279" t="s">
        <v>1405</v>
      </c>
      <c r="E279" t="s">
        <v>1405</v>
      </c>
      <c r="F279" t="s">
        <v>1405</v>
      </c>
      <c r="G279">
        <v>2025</v>
      </c>
      <c r="H279" t="s">
        <v>1405</v>
      </c>
      <c r="I279" t="s">
        <v>1405</v>
      </c>
      <c r="J279" t="s">
        <v>1405</v>
      </c>
      <c r="K279" t="s">
        <v>1405</v>
      </c>
      <c r="L279">
        <v>2028</v>
      </c>
      <c r="M279" t="s">
        <v>1405</v>
      </c>
      <c r="N279" t="s">
        <v>1405</v>
      </c>
      <c r="O279" t="s">
        <v>1405</v>
      </c>
      <c r="P279" t="s">
        <v>1405</v>
      </c>
    </row>
    <row r="280" spans="1:16" x14ac:dyDescent="0.25">
      <c r="A280" t="s">
        <v>978</v>
      </c>
      <c r="B280">
        <v>2024</v>
      </c>
      <c r="C280" t="s">
        <v>1405</v>
      </c>
      <c r="D280" t="s">
        <v>1405</v>
      </c>
      <c r="E280" t="s">
        <v>1405</v>
      </c>
      <c r="F280" t="s">
        <v>1405</v>
      </c>
      <c r="G280">
        <v>2027</v>
      </c>
      <c r="H280" t="s">
        <v>1405</v>
      </c>
      <c r="I280" t="s">
        <v>1405</v>
      </c>
      <c r="J280" t="s">
        <v>1405</v>
      </c>
      <c r="K280" t="s">
        <v>1405</v>
      </c>
      <c r="L280">
        <v>2030</v>
      </c>
      <c r="M280" t="s">
        <v>1405</v>
      </c>
      <c r="N280" t="s">
        <v>1405</v>
      </c>
      <c r="O280" t="s">
        <v>1405</v>
      </c>
      <c r="P280" t="s">
        <v>1405</v>
      </c>
    </row>
    <row r="281" spans="1:16" x14ac:dyDescent="0.25">
      <c r="A281" t="s">
        <v>1125</v>
      </c>
      <c r="B281">
        <v>2026</v>
      </c>
      <c r="C281" t="s">
        <v>1405</v>
      </c>
      <c r="D281" t="s">
        <v>1405</v>
      </c>
      <c r="E281" t="s">
        <v>1405</v>
      </c>
      <c r="F281" t="s">
        <v>1405</v>
      </c>
      <c r="G281">
        <v>2029</v>
      </c>
      <c r="H281" t="s">
        <v>1405</v>
      </c>
      <c r="I281" t="s">
        <v>1405</v>
      </c>
      <c r="J281" t="s">
        <v>1405</v>
      </c>
      <c r="K281" t="s">
        <v>1405</v>
      </c>
      <c r="L281">
        <v>2032</v>
      </c>
      <c r="M281" t="s">
        <v>1405</v>
      </c>
      <c r="N281" t="s">
        <v>1405</v>
      </c>
      <c r="O281" t="s">
        <v>1405</v>
      </c>
      <c r="P281" t="s">
        <v>1405</v>
      </c>
    </row>
    <row r="282" spans="1:16" x14ac:dyDescent="0.25">
      <c r="A282" t="s">
        <v>407</v>
      </c>
      <c r="B282">
        <v>2024</v>
      </c>
      <c r="C282" t="s">
        <v>1405</v>
      </c>
      <c r="D282" t="s">
        <v>1405</v>
      </c>
      <c r="E282" t="s">
        <v>1405</v>
      </c>
      <c r="F282" t="s">
        <v>1405</v>
      </c>
      <c r="G282">
        <v>2027</v>
      </c>
      <c r="H282" t="s">
        <v>1405</v>
      </c>
      <c r="I282" t="s">
        <v>1405</v>
      </c>
      <c r="J282" t="s">
        <v>1405</v>
      </c>
      <c r="K282" t="s">
        <v>1405</v>
      </c>
      <c r="L282">
        <v>2030</v>
      </c>
      <c r="M282" t="s">
        <v>1405</v>
      </c>
      <c r="N282" t="s">
        <v>1405</v>
      </c>
      <c r="O282" t="s">
        <v>1405</v>
      </c>
      <c r="P282" t="s">
        <v>1405</v>
      </c>
    </row>
    <row r="283" spans="1:16" x14ac:dyDescent="0.25">
      <c r="A283" t="s">
        <v>439</v>
      </c>
      <c r="B283">
        <v>2025</v>
      </c>
      <c r="C283" t="s">
        <v>1405</v>
      </c>
      <c r="D283" t="s">
        <v>1405</v>
      </c>
      <c r="E283" t="s">
        <v>1405</v>
      </c>
      <c r="F283" t="s">
        <v>1405</v>
      </c>
      <c r="G283">
        <v>2028</v>
      </c>
      <c r="H283" t="s">
        <v>1405</v>
      </c>
      <c r="I283" t="s">
        <v>1405</v>
      </c>
      <c r="J283" t="s">
        <v>1405</v>
      </c>
      <c r="K283" t="s">
        <v>1405</v>
      </c>
      <c r="L283">
        <v>2031</v>
      </c>
      <c r="M283" t="s">
        <v>1405</v>
      </c>
      <c r="N283" t="s">
        <v>1405</v>
      </c>
      <c r="O283" t="s">
        <v>1405</v>
      </c>
      <c r="P283" t="s">
        <v>1405</v>
      </c>
    </row>
    <row r="284" spans="1:16" x14ac:dyDescent="0.25">
      <c r="A284" t="s">
        <v>77</v>
      </c>
      <c r="B284">
        <v>2022</v>
      </c>
      <c r="C284" t="s">
        <v>1405</v>
      </c>
      <c r="D284" t="s">
        <v>1405</v>
      </c>
      <c r="E284" t="s">
        <v>1405</v>
      </c>
      <c r="F284" t="s">
        <v>1405</v>
      </c>
      <c r="G284">
        <v>2025</v>
      </c>
      <c r="H284" t="s">
        <v>1405</v>
      </c>
      <c r="I284" t="s">
        <v>1405</v>
      </c>
      <c r="J284" t="s">
        <v>1405</v>
      </c>
      <c r="K284" t="s">
        <v>1405</v>
      </c>
      <c r="L284">
        <v>2028</v>
      </c>
      <c r="M284" t="s">
        <v>1405</v>
      </c>
      <c r="N284" t="s">
        <v>1405</v>
      </c>
      <c r="O284" t="s">
        <v>1405</v>
      </c>
      <c r="P284" t="s">
        <v>1405</v>
      </c>
    </row>
    <row r="285" spans="1:16" x14ac:dyDescent="0.25">
      <c r="A285" t="s">
        <v>200</v>
      </c>
      <c r="B285">
        <v>2025</v>
      </c>
      <c r="C285" t="s">
        <v>1405</v>
      </c>
      <c r="D285" t="s">
        <v>1405</v>
      </c>
      <c r="E285" t="s">
        <v>1405</v>
      </c>
      <c r="F285" t="s">
        <v>1405</v>
      </c>
      <c r="G285">
        <v>2028</v>
      </c>
      <c r="H285" t="s">
        <v>1405</v>
      </c>
      <c r="I285" t="s">
        <v>1405</v>
      </c>
      <c r="J285" t="s">
        <v>1405</v>
      </c>
      <c r="K285" t="s">
        <v>1405</v>
      </c>
      <c r="L285">
        <v>2031</v>
      </c>
      <c r="M285" t="s">
        <v>1405</v>
      </c>
      <c r="N285" t="s">
        <v>1405</v>
      </c>
      <c r="O285" t="s">
        <v>1405</v>
      </c>
      <c r="P285" t="s">
        <v>1405</v>
      </c>
    </row>
    <row r="286" spans="1:16" x14ac:dyDescent="0.25">
      <c r="A286" t="s">
        <v>311</v>
      </c>
      <c r="B286">
        <v>2021</v>
      </c>
      <c r="C286" t="s">
        <v>1405</v>
      </c>
      <c r="D286" t="s">
        <v>1405</v>
      </c>
      <c r="E286" t="s">
        <v>1405</v>
      </c>
      <c r="F286" t="s">
        <v>1405</v>
      </c>
      <c r="G286">
        <v>2024</v>
      </c>
      <c r="H286" t="s">
        <v>1405</v>
      </c>
      <c r="I286" t="s">
        <v>1405</v>
      </c>
      <c r="J286" t="s">
        <v>1405</v>
      </c>
      <c r="K286" t="s">
        <v>1405</v>
      </c>
      <c r="L286">
        <v>2027</v>
      </c>
      <c r="M286" t="s">
        <v>1405</v>
      </c>
      <c r="N286" t="s">
        <v>1405</v>
      </c>
      <c r="O286" t="s">
        <v>1405</v>
      </c>
      <c r="P286" t="s">
        <v>1405</v>
      </c>
    </row>
    <row r="287" spans="1:16" x14ac:dyDescent="0.25">
      <c r="A287" t="s">
        <v>1438</v>
      </c>
      <c r="B287">
        <v>2022</v>
      </c>
      <c r="C287" t="s">
        <v>1405</v>
      </c>
      <c r="D287" t="s">
        <v>1405</v>
      </c>
      <c r="E287" t="s">
        <v>1405</v>
      </c>
      <c r="F287" t="s">
        <v>1405</v>
      </c>
      <c r="G287">
        <v>2025</v>
      </c>
      <c r="H287" t="s">
        <v>1405</v>
      </c>
      <c r="I287" t="s">
        <v>1405</v>
      </c>
      <c r="J287" t="s">
        <v>1405</v>
      </c>
      <c r="K287" t="s">
        <v>1405</v>
      </c>
      <c r="L287">
        <v>2028</v>
      </c>
      <c r="M287" t="s">
        <v>1405</v>
      </c>
      <c r="N287" t="s">
        <v>1405</v>
      </c>
      <c r="O287" t="s">
        <v>1405</v>
      </c>
      <c r="P287" t="s">
        <v>1405</v>
      </c>
    </row>
    <row r="288" spans="1:16" x14ac:dyDescent="0.25">
      <c r="A288" t="s">
        <v>53</v>
      </c>
      <c r="B288">
        <v>2022</v>
      </c>
      <c r="C288" t="s">
        <v>1405</v>
      </c>
      <c r="D288" t="s">
        <v>1405</v>
      </c>
      <c r="E288" t="s">
        <v>1405</v>
      </c>
      <c r="F288" t="s">
        <v>1405</v>
      </c>
      <c r="G288">
        <v>2025</v>
      </c>
      <c r="H288" t="s">
        <v>1405</v>
      </c>
      <c r="I288" t="s">
        <v>1405</v>
      </c>
      <c r="J288" t="s">
        <v>1405</v>
      </c>
      <c r="K288" t="s">
        <v>1405</v>
      </c>
      <c r="L288">
        <v>2028</v>
      </c>
      <c r="M288" t="s">
        <v>1405</v>
      </c>
      <c r="N288" t="s">
        <v>1405</v>
      </c>
      <c r="O288" t="s">
        <v>1405</v>
      </c>
      <c r="P288" t="s">
        <v>1405</v>
      </c>
    </row>
    <row r="289" spans="1:16" x14ac:dyDescent="0.25">
      <c r="A289" t="s">
        <v>99</v>
      </c>
      <c r="B289">
        <v>2023</v>
      </c>
      <c r="C289" t="s">
        <v>1405</v>
      </c>
      <c r="D289" t="s">
        <v>1405</v>
      </c>
      <c r="E289" t="s">
        <v>1405</v>
      </c>
      <c r="F289" t="s">
        <v>1405</v>
      </c>
      <c r="G289">
        <v>2026</v>
      </c>
      <c r="H289" t="s">
        <v>1405</v>
      </c>
      <c r="I289" t="s">
        <v>1405</v>
      </c>
      <c r="J289" t="s">
        <v>1405</v>
      </c>
      <c r="K289" t="s">
        <v>1405</v>
      </c>
      <c r="L289">
        <v>2029</v>
      </c>
      <c r="M289" t="s">
        <v>1405</v>
      </c>
      <c r="N289" t="s">
        <v>1405</v>
      </c>
      <c r="O289" t="s">
        <v>1405</v>
      </c>
      <c r="P289" t="s">
        <v>1405</v>
      </c>
    </row>
    <row r="290" spans="1:16" x14ac:dyDescent="0.25">
      <c r="A290" t="s">
        <v>1043</v>
      </c>
      <c r="B290">
        <v>2025</v>
      </c>
      <c r="C290" t="s">
        <v>1405</v>
      </c>
      <c r="D290" t="s">
        <v>1405</v>
      </c>
      <c r="E290" t="s">
        <v>1405</v>
      </c>
      <c r="F290" t="s">
        <v>1405</v>
      </c>
      <c r="G290">
        <v>2028</v>
      </c>
      <c r="H290" t="s">
        <v>1405</v>
      </c>
      <c r="I290" t="s">
        <v>1405</v>
      </c>
      <c r="J290" t="s">
        <v>1405</v>
      </c>
      <c r="K290" t="s">
        <v>1405</v>
      </c>
      <c r="L290">
        <v>2031</v>
      </c>
      <c r="M290" t="s">
        <v>1405</v>
      </c>
      <c r="N290" t="s">
        <v>1405</v>
      </c>
      <c r="O290" t="s">
        <v>1405</v>
      </c>
      <c r="P290" t="s">
        <v>1405</v>
      </c>
    </row>
    <row r="291" spans="1:16" x14ac:dyDescent="0.25">
      <c r="A291" t="s">
        <v>326</v>
      </c>
      <c r="B291">
        <v>2027</v>
      </c>
      <c r="C291" t="s">
        <v>1405</v>
      </c>
      <c r="D291" t="s">
        <v>1405</v>
      </c>
      <c r="E291" t="s">
        <v>1405</v>
      </c>
      <c r="F291" t="s">
        <v>1405</v>
      </c>
      <c r="G291">
        <v>2030</v>
      </c>
      <c r="H291" t="s">
        <v>1405</v>
      </c>
      <c r="I291" t="s">
        <v>1405</v>
      </c>
      <c r="J291" t="s">
        <v>1405</v>
      </c>
      <c r="K291" t="s">
        <v>1405</v>
      </c>
      <c r="L291">
        <v>2033</v>
      </c>
      <c r="M291" t="s">
        <v>1405</v>
      </c>
      <c r="N291" t="s">
        <v>1405</v>
      </c>
      <c r="O291" t="s">
        <v>1405</v>
      </c>
      <c r="P291" t="s">
        <v>1405</v>
      </c>
    </row>
    <row r="292" spans="1:16" x14ac:dyDescent="0.25">
      <c r="A292" t="s">
        <v>926</v>
      </c>
      <c r="B292">
        <v>2023</v>
      </c>
      <c r="C292" t="s">
        <v>1405</v>
      </c>
      <c r="D292" t="s">
        <v>1405</v>
      </c>
      <c r="E292" t="s">
        <v>1405</v>
      </c>
      <c r="F292" t="s">
        <v>1405</v>
      </c>
      <c r="G292">
        <v>2026</v>
      </c>
      <c r="H292" t="s">
        <v>1405</v>
      </c>
      <c r="I292" t="s">
        <v>1405</v>
      </c>
      <c r="J292" t="s">
        <v>1405</v>
      </c>
      <c r="K292" t="s">
        <v>1405</v>
      </c>
      <c r="L292">
        <v>2029</v>
      </c>
      <c r="M292" t="s">
        <v>1405</v>
      </c>
      <c r="N292" t="s">
        <v>1405</v>
      </c>
      <c r="O292" t="s">
        <v>1405</v>
      </c>
      <c r="P292" t="s">
        <v>1405</v>
      </c>
    </row>
    <row r="293" spans="1:16" x14ac:dyDescent="0.25">
      <c r="A293" t="s">
        <v>38</v>
      </c>
      <c r="B293">
        <v>2021</v>
      </c>
      <c r="C293" t="s">
        <v>1405</v>
      </c>
      <c r="D293" t="s">
        <v>1405</v>
      </c>
      <c r="E293" t="s">
        <v>1405</v>
      </c>
      <c r="F293" t="s">
        <v>1405</v>
      </c>
      <c r="G293">
        <v>2024</v>
      </c>
      <c r="H293" t="s">
        <v>1405</v>
      </c>
      <c r="I293" t="s">
        <v>1405</v>
      </c>
      <c r="J293" t="s">
        <v>1405</v>
      </c>
      <c r="K293" t="s">
        <v>1405</v>
      </c>
      <c r="L293">
        <v>2027</v>
      </c>
      <c r="M293" t="s">
        <v>1405</v>
      </c>
      <c r="N293" t="s">
        <v>1405</v>
      </c>
      <c r="O293" t="s">
        <v>1405</v>
      </c>
      <c r="P293" t="s">
        <v>1405</v>
      </c>
    </row>
    <row r="294" spans="1:16" x14ac:dyDescent="0.25">
      <c r="A294" t="s">
        <v>295</v>
      </c>
      <c r="B294">
        <v>2024</v>
      </c>
      <c r="C294" t="s">
        <v>1405</v>
      </c>
      <c r="D294" t="s">
        <v>1405</v>
      </c>
      <c r="E294" t="s">
        <v>1405</v>
      </c>
      <c r="F294" t="s">
        <v>1405</v>
      </c>
      <c r="G294">
        <v>2027</v>
      </c>
      <c r="H294" t="s">
        <v>1405</v>
      </c>
      <c r="I294" t="s">
        <v>1405</v>
      </c>
      <c r="J294" t="s">
        <v>1405</v>
      </c>
      <c r="K294" t="s">
        <v>1405</v>
      </c>
      <c r="L294">
        <v>2030</v>
      </c>
      <c r="M294" t="s">
        <v>1405</v>
      </c>
      <c r="N294" t="s">
        <v>1405</v>
      </c>
      <c r="O294" t="s">
        <v>1405</v>
      </c>
      <c r="P294" t="s">
        <v>1405</v>
      </c>
    </row>
    <row r="295" spans="1:16" x14ac:dyDescent="0.25">
      <c r="A295" t="s">
        <v>121</v>
      </c>
      <c r="B295">
        <v>2023</v>
      </c>
      <c r="C295" t="s">
        <v>1405</v>
      </c>
      <c r="D295" t="s">
        <v>1405</v>
      </c>
      <c r="E295" t="s">
        <v>1405</v>
      </c>
      <c r="F295" t="s">
        <v>1405</v>
      </c>
      <c r="G295">
        <v>2026</v>
      </c>
      <c r="H295" t="s">
        <v>1405</v>
      </c>
      <c r="I295" t="s">
        <v>1405</v>
      </c>
      <c r="J295" t="s">
        <v>1405</v>
      </c>
      <c r="K295" t="s">
        <v>1405</v>
      </c>
      <c r="L295">
        <v>2029</v>
      </c>
      <c r="M295" t="s">
        <v>1405</v>
      </c>
      <c r="N295" t="s">
        <v>1405</v>
      </c>
      <c r="O295" t="s">
        <v>1405</v>
      </c>
      <c r="P295" t="s">
        <v>1405</v>
      </c>
    </row>
    <row r="296" spans="1:16" x14ac:dyDescent="0.25">
      <c r="A296" t="s">
        <v>522</v>
      </c>
      <c r="B296">
        <v>2025</v>
      </c>
      <c r="C296" t="s">
        <v>1405</v>
      </c>
      <c r="D296" t="s">
        <v>1405</v>
      </c>
      <c r="E296" t="s">
        <v>1405</v>
      </c>
      <c r="F296" t="s">
        <v>1405</v>
      </c>
      <c r="G296">
        <v>2028</v>
      </c>
      <c r="H296" t="s">
        <v>1405</v>
      </c>
      <c r="I296" t="s">
        <v>1405</v>
      </c>
      <c r="J296" t="s">
        <v>1405</v>
      </c>
      <c r="K296" t="s">
        <v>1405</v>
      </c>
      <c r="L296">
        <v>2031</v>
      </c>
      <c r="M296" t="s">
        <v>1405</v>
      </c>
      <c r="N296" t="s">
        <v>1405</v>
      </c>
      <c r="O296" t="s">
        <v>1405</v>
      </c>
      <c r="P296" t="s">
        <v>1405</v>
      </c>
    </row>
    <row r="297" spans="1:16" x14ac:dyDescent="0.25">
      <c r="A297" t="s">
        <v>190</v>
      </c>
      <c r="B297">
        <v>2025</v>
      </c>
      <c r="C297" t="s">
        <v>1405</v>
      </c>
      <c r="D297" t="s">
        <v>1405</v>
      </c>
      <c r="E297" t="s">
        <v>1405</v>
      </c>
      <c r="F297" t="s">
        <v>1405</v>
      </c>
      <c r="G297">
        <v>2028</v>
      </c>
      <c r="H297" t="s">
        <v>1405</v>
      </c>
      <c r="I297" t="s">
        <v>1405</v>
      </c>
      <c r="J297" t="s">
        <v>1405</v>
      </c>
      <c r="K297" t="s">
        <v>1405</v>
      </c>
      <c r="L297">
        <v>2031</v>
      </c>
      <c r="M297" t="s">
        <v>1405</v>
      </c>
      <c r="N297" t="s">
        <v>1405</v>
      </c>
      <c r="O297" t="s">
        <v>1405</v>
      </c>
      <c r="P297" t="s">
        <v>1405</v>
      </c>
    </row>
    <row r="298" spans="1:16" x14ac:dyDescent="0.25">
      <c r="A298" t="s">
        <v>92</v>
      </c>
      <c r="B298">
        <v>2023</v>
      </c>
      <c r="C298" t="s">
        <v>1405</v>
      </c>
      <c r="D298" t="s">
        <v>1405</v>
      </c>
      <c r="E298" t="s">
        <v>1405</v>
      </c>
      <c r="F298" t="s">
        <v>1405</v>
      </c>
      <c r="G298">
        <v>2026</v>
      </c>
      <c r="H298" t="s">
        <v>1405</v>
      </c>
      <c r="I298" t="s">
        <v>1405</v>
      </c>
      <c r="J298" t="s">
        <v>1405</v>
      </c>
      <c r="K298" t="s">
        <v>1405</v>
      </c>
      <c r="L298">
        <v>2029</v>
      </c>
      <c r="M298" t="s">
        <v>1405</v>
      </c>
      <c r="N298" t="s">
        <v>1405</v>
      </c>
      <c r="O298" t="s">
        <v>1405</v>
      </c>
      <c r="P298" t="s">
        <v>1405</v>
      </c>
    </row>
    <row r="299" spans="1:16" x14ac:dyDescent="0.25">
      <c r="A299" t="s">
        <v>1113</v>
      </c>
      <c r="B299">
        <v>2026</v>
      </c>
      <c r="C299" t="s">
        <v>1405</v>
      </c>
      <c r="D299" t="s">
        <v>1405</v>
      </c>
      <c r="E299" t="s">
        <v>1405</v>
      </c>
      <c r="F299" t="s">
        <v>1405</v>
      </c>
      <c r="G299">
        <v>2029</v>
      </c>
      <c r="H299" t="s">
        <v>1405</v>
      </c>
      <c r="I299" t="s">
        <v>1405</v>
      </c>
      <c r="J299" t="s">
        <v>1405</v>
      </c>
      <c r="K299" t="s">
        <v>1405</v>
      </c>
      <c r="L299">
        <v>2032</v>
      </c>
      <c r="M299" t="s">
        <v>1405</v>
      </c>
      <c r="N299" t="s">
        <v>1405</v>
      </c>
      <c r="O299" t="s">
        <v>1405</v>
      </c>
      <c r="P299" t="s">
        <v>1405</v>
      </c>
    </row>
    <row r="300" spans="1:16" x14ac:dyDescent="0.25">
      <c r="A300" t="s">
        <v>496</v>
      </c>
      <c r="B300">
        <v>2026</v>
      </c>
      <c r="C300" t="s">
        <v>1405</v>
      </c>
      <c r="D300" t="s">
        <v>1405</v>
      </c>
      <c r="E300" t="s">
        <v>1405</v>
      </c>
      <c r="F300" t="s">
        <v>1405</v>
      </c>
      <c r="G300">
        <v>2029</v>
      </c>
      <c r="H300" t="s">
        <v>1405</v>
      </c>
      <c r="I300" t="s">
        <v>1405</v>
      </c>
      <c r="J300" t="s">
        <v>1405</v>
      </c>
      <c r="K300" t="s">
        <v>1405</v>
      </c>
      <c r="L300">
        <v>2032</v>
      </c>
      <c r="M300" t="s">
        <v>1405</v>
      </c>
      <c r="N300" t="s">
        <v>1405</v>
      </c>
      <c r="O300" t="s">
        <v>1405</v>
      </c>
      <c r="P300" t="s">
        <v>1405</v>
      </c>
    </row>
    <row r="301" spans="1:16" x14ac:dyDescent="0.25">
      <c r="A301" t="s">
        <v>283</v>
      </c>
      <c r="B301">
        <v>2024</v>
      </c>
      <c r="C301" t="s">
        <v>1405</v>
      </c>
      <c r="D301" t="s">
        <v>1405</v>
      </c>
      <c r="E301" t="s">
        <v>1405</v>
      </c>
      <c r="F301" t="s">
        <v>1405</v>
      </c>
      <c r="G301">
        <v>2027</v>
      </c>
      <c r="H301" t="s">
        <v>1405</v>
      </c>
      <c r="I301" t="s">
        <v>1405</v>
      </c>
      <c r="J301" t="s">
        <v>1405</v>
      </c>
      <c r="K301" t="s">
        <v>1405</v>
      </c>
      <c r="L301">
        <v>2030</v>
      </c>
      <c r="M301" t="s">
        <v>1405</v>
      </c>
      <c r="N301" t="s">
        <v>1405</v>
      </c>
      <c r="O301" t="s">
        <v>1405</v>
      </c>
      <c r="P301" t="s">
        <v>1405</v>
      </c>
    </row>
    <row r="302" spans="1:16" x14ac:dyDescent="0.25">
      <c r="A302" t="s">
        <v>286</v>
      </c>
      <c r="B302">
        <v>2024</v>
      </c>
      <c r="C302" t="s">
        <v>1405</v>
      </c>
      <c r="D302" t="s">
        <v>1405</v>
      </c>
      <c r="E302" t="s">
        <v>1405</v>
      </c>
      <c r="F302" t="s">
        <v>1405</v>
      </c>
      <c r="G302">
        <v>2027</v>
      </c>
      <c r="H302" t="s">
        <v>1405</v>
      </c>
      <c r="I302" t="s">
        <v>1405</v>
      </c>
      <c r="J302" t="s">
        <v>1405</v>
      </c>
      <c r="K302" t="s">
        <v>1405</v>
      </c>
      <c r="L302">
        <v>2030</v>
      </c>
      <c r="M302" t="s">
        <v>1405</v>
      </c>
      <c r="N302" t="s">
        <v>1405</v>
      </c>
      <c r="O302" t="s">
        <v>1405</v>
      </c>
      <c r="P302" t="s">
        <v>1405</v>
      </c>
    </row>
    <row r="303" spans="1:16" x14ac:dyDescent="0.25">
      <c r="A303" t="s">
        <v>428</v>
      </c>
      <c r="B303">
        <v>2025</v>
      </c>
      <c r="C303" t="s">
        <v>1405</v>
      </c>
      <c r="D303" t="s">
        <v>1405</v>
      </c>
      <c r="E303" t="s">
        <v>1405</v>
      </c>
      <c r="F303" t="s">
        <v>1405</v>
      </c>
      <c r="G303">
        <v>2028</v>
      </c>
      <c r="H303" t="s">
        <v>1405</v>
      </c>
      <c r="I303" t="s">
        <v>1405</v>
      </c>
      <c r="J303" t="s">
        <v>1405</v>
      </c>
      <c r="K303" t="s">
        <v>1405</v>
      </c>
      <c r="L303">
        <v>2031</v>
      </c>
      <c r="M303" t="s">
        <v>1405</v>
      </c>
      <c r="N303" t="s">
        <v>1405</v>
      </c>
      <c r="O303" t="s">
        <v>1405</v>
      </c>
      <c r="P303" t="s">
        <v>1405</v>
      </c>
    </row>
    <row r="304" spans="1:16" x14ac:dyDescent="0.25">
      <c r="A304" t="s">
        <v>103</v>
      </c>
      <c r="B304">
        <v>2023</v>
      </c>
      <c r="C304" t="s">
        <v>1405</v>
      </c>
      <c r="D304" t="s">
        <v>1405</v>
      </c>
      <c r="E304" t="s">
        <v>1405</v>
      </c>
      <c r="F304" t="s">
        <v>1405</v>
      </c>
      <c r="G304">
        <v>2026</v>
      </c>
      <c r="H304" t="s">
        <v>1405</v>
      </c>
      <c r="I304" t="s">
        <v>1405</v>
      </c>
      <c r="J304" t="s">
        <v>1405</v>
      </c>
      <c r="K304" t="s">
        <v>1405</v>
      </c>
      <c r="L304">
        <v>2029</v>
      </c>
      <c r="M304" t="s">
        <v>1405</v>
      </c>
      <c r="N304" t="s">
        <v>1405</v>
      </c>
      <c r="O304" t="s">
        <v>1405</v>
      </c>
      <c r="P304" t="s">
        <v>1405</v>
      </c>
    </row>
    <row r="305" spans="1:16" x14ac:dyDescent="0.25">
      <c r="A305" t="s">
        <v>66</v>
      </c>
      <c r="B305">
        <v>2022</v>
      </c>
      <c r="C305" t="s">
        <v>1405</v>
      </c>
      <c r="D305" t="s">
        <v>1405</v>
      </c>
      <c r="E305" t="s">
        <v>1405</v>
      </c>
      <c r="F305" t="s">
        <v>1405</v>
      </c>
      <c r="G305">
        <v>2025</v>
      </c>
      <c r="H305" t="s">
        <v>1405</v>
      </c>
      <c r="I305" t="s">
        <v>1405</v>
      </c>
      <c r="J305" t="s">
        <v>1405</v>
      </c>
      <c r="K305" t="s">
        <v>1405</v>
      </c>
      <c r="L305">
        <v>2028</v>
      </c>
      <c r="M305" t="s">
        <v>1405</v>
      </c>
      <c r="N305" t="s">
        <v>1405</v>
      </c>
      <c r="O305" t="s">
        <v>1405</v>
      </c>
      <c r="P305" t="s">
        <v>1405</v>
      </c>
    </row>
    <row r="306" spans="1:16" x14ac:dyDescent="0.25">
      <c r="A306" t="s">
        <v>551</v>
      </c>
      <c r="B306">
        <v>2025</v>
      </c>
      <c r="C306" t="s">
        <v>1405</v>
      </c>
      <c r="D306" t="s">
        <v>1405</v>
      </c>
      <c r="E306" t="s">
        <v>1405</v>
      </c>
      <c r="F306" t="s">
        <v>1405</v>
      </c>
      <c r="G306">
        <v>2028</v>
      </c>
      <c r="H306" t="s">
        <v>1405</v>
      </c>
      <c r="I306" t="s">
        <v>1405</v>
      </c>
      <c r="J306" t="s">
        <v>1405</v>
      </c>
      <c r="K306" t="s">
        <v>1405</v>
      </c>
      <c r="L306">
        <v>2031</v>
      </c>
      <c r="M306" t="s">
        <v>1405</v>
      </c>
      <c r="N306" t="s">
        <v>1405</v>
      </c>
      <c r="O306" t="s">
        <v>1405</v>
      </c>
      <c r="P306" t="s">
        <v>1405</v>
      </c>
    </row>
    <row r="307" spans="1:16" x14ac:dyDescent="0.25">
      <c r="A307" t="s">
        <v>1006</v>
      </c>
      <c r="B307">
        <v>2025</v>
      </c>
      <c r="C307" t="s">
        <v>1405</v>
      </c>
      <c r="D307" t="s">
        <v>1405</v>
      </c>
      <c r="E307" t="s">
        <v>1405</v>
      </c>
      <c r="F307" t="s">
        <v>1405</v>
      </c>
      <c r="G307">
        <v>2028</v>
      </c>
      <c r="H307" t="s">
        <v>1405</v>
      </c>
      <c r="I307" t="s">
        <v>1405</v>
      </c>
      <c r="J307" t="s">
        <v>1405</v>
      </c>
      <c r="K307" t="s">
        <v>1405</v>
      </c>
      <c r="L307">
        <v>2031</v>
      </c>
      <c r="M307" t="s">
        <v>1405</v>
      </c>
      <c r="N307" t="s">
        <v>1405</v>
      </c>
      <c r="O307" t="s">
        <v>1405</v>
      </c>
      <c r="P307" t="s">
        <v>1405</v>
      </c>
    </row>
    <row r="308" spans="1:16" x14ac:dyDescent="0.25">
      <c r="A308" t="s">
        <v>468</v>
      </c>
      <c r="B308">
        <v>2025</v>
      </c>
      <c r="C308" t="s">
        <v>1405</v>
      </c>
      <c r="D308" t="s">
        <v>1405</v>
      </c>
      <c r="E308" t="s">
        <v>1405</v>
      </c>
      <c r="F308" t="s">
        <v>1405</v>
      </c>
      <c r="G308">
        <v>2028</v>
      </c>
      <c r="H308" t="s">
        <v>1405</v>
      </c>
      <c r="I308" t="s">
        <v>1405</v>
      </c>
      <c r="J308" t="s">
        <v>1405</v>
      </c>
      <c r="K308" t="s">
        <v>1405</v>
      </c>
      <c r="L308">
        <v>2031</v>
      </c>
      <c r="M308" t="s">
        <v>1405</v>
      </c>
      <c r="N308" t="s">
        <v>1405</v>
      </c>
      <c r="O308" t="s">
        <v>1405</v>
      </c>
      <c r="P308" t="s">
        <v>1405</v>
      </c>
    </row>
    <row r="309" spans="1:16" x14ac:dyDescent="0.25">
      <c r="A309" t="s">
        <v>554</v>
      </c>
      <c r="B309">
        <v>2025</v>
      </c>
      <c r="C309" t="s">
        <v>1405</v>
      </c>
      <c r="D309" t="s">
        <v>1405</v>
      </c>
      <c r="E309" t="s">
        <v>1405</v>
      </c>
      <c r="F309" t="s">
        <v>1405</v>
      </c>
      <c r="G309">
        <v>2028</v>
      </c>
      <c r="H309" t="s">
        <v>1405</v>
      </c>
      <c r="I309" t="s">
        <v>1405</v>
      </c>
      <c r="J309" t="s">
        <v>1405</v>
      </c>
      <c r="K309" t="s">
        <v>1405</v>
      </c>
      <c r="L309">
        <v>2031</v>
      </c>
      <c r="M309" t="s">
        <v>1405</v>
      </c>
      <c r="N309" t="s">
        <v>1405</v>
      </c>
      <c r="O309" t="s">
        <v>1405</v>
      </c>
      <c r="P309" t="s">
        <v>1405</v>
      </c>
    </row>
    <row r="310" spans="1:16" x14ac:dyDescent="0.25">
      <c r="A310" t="s">
        <v>425</v>
      </c>
      <c r="B310">
        <v>2025</v>
      </c>
      <c r="C310" t="s">
        <v>1405</v>
      </c>
      <c r="D310" t="s">
        <v>1405</v>
      </c>
      <c r="E310" t="s">
        <v>1405</v>
      </c>
      <c r="F310" t="s">
        <v>1405</v>
      </c>
      <c r="G310">
        <v>2028</v>
      </c>
      <c r="H310" t="s">
        <v>1405</v>
      </c>
      <c r="I310" t="s">
        <v>1405</v>
      </c>
      <c r="J310" t="s">
        <v>1405</v>
      </c>
      <c r="K310" t="s">
        <v>1405</v>
      </c>
      <c r="L310">
        <v>2031</v>
      </c>
      <c r="M310" t="s">
        <v>1405</v>
      </c>
      <c r="N310" t="s">
        <v>1405</v>
      </c>
      <c r="O310" t="s">
        <v>1405</v>
      </c>
      <c r="P310" t="s">
        <v>1405</v>
      </c>
    </row>
    <row r="311" spans="1:16" x14ac:dyDescent="0.25">
      <c r="A311" t="s">
        <v>232</v>
      </c>
      <c r="B311">
        <v>2025</v>
      </c>
      <c r="C311" t="s">
        <v>1405</v>
      </c>
      <c r="D311" t="s">
        <v>1405</v>
      </c>
      <c r="E311" t="s">
        <v>1405</v>
      </c>
      <c r="F311" t="s">
        <v>1405</v>
      </c>
      <c r="G311">
        <v>2028</v>
      </c>
      <c r="H311" t="s">
        <v>1405</v>
      </c>
      <c r="I311" t="s">
        <v>1405</v>
      </c>
      <c r="J311" t="s">
        <v>1405</v>
      </c>
      <c r="K311" t="s">
        <v>1405</v>
      </c>
      <c r="L311">
        <v>2031</v>
      </c>
      <c r="M311" t="s">
        <v>1405</v>
      </c>
      <c r="N311" t="s">
        <v>1405</v>
      </c>
      <c r="O311" t="s">
        <v>1405</v>
      </c>
      <c r="P311" t="s">
        <v>1405</v>
      </c>
    </row>
    <row r="312" spans="1:16" x14ac:dyDescent="0.25">
      <c r="A312" t="s">
        <v>389</v>
      </c>
      <c r="B312">
        <v>2024</v>
      </c>
      <c r="C312" t="s">
        <v>1405</v>
      </c>
      <c r="D312" t="s">
        <v>1405</v>
      </c>
      <c r="E312" t="s">
        <v>1405</v>
      </c>
      <c r="F312" t="s">
        <v>1405</v>
      </c>
      <c r="G312">
        <v>2027</v>
      </c>
      <c r="H312" t="s">
        <v>1405</v>
      </c>
      <c r="I312" t="s">
        <v>1405</v>
      </c>
      <c r="J312" t="s">
        <v>1405</v>
      </c>
      <c r="K312" t="s">
        <v>1405</v>
      </c>
      <c r="L312">
        <v>2030</v>
      </c>
      <c r="M312" t="s">
        <v>1405</v>
      </c>
      <c r="N312" t="s">
        <v>1405</v>
      </c>
      <c r="O312" t="s">
        <v>1405</v>
      </c>
      <c r="P312" t="s">
        <v>1405</v>
      </c>
    </row>
    <row r="313" spans="1:16" x14ac:dyDescent="0.25">
      <c r="A313" t="s">
        <v>177</v>
      </c>
      <c r="B313">
        <v>2025</v>
      </c>
      <c r="C313" t="s">
        <v>1405</v>
      </c>
      <c r="D313" t="s">
        <v>1405</v>
      </c>
      <c r="E313" t="s">
        <v>1405</v>
      </c>
      <c r="F313" t="s">
        <v>1405</v>
      </c>
      <c r="G313">
        <v>2028</v>
      </c>
      <c r="H313" t="s">
        <v>1405</v>
      </c>
      <c r="I313" t="s">
        <v>1405</v>
      </c>
      <c r="J313" t="s">
        <v>1405</v>
      </c>
      <c r="K313" t="s">
        <v>1405</v>
      </c>
      <c r="L313">
        <v>2031</v>
      </c>
      <c r="M313" t="s">
        <v>1405</v>
      </c>
      <c r="N313" t="s">
        <v>1405</v>
      </c>
      <c r="O313" t="s">
        <v>1405</v>
      </c>
      <c r="P313" t="s">
        <v>1405</v>
      </c>
    </row>
    <row r="314" spans="1:16" x14ac:dyDescent="0.25">
      <c r="A314" t="s">
        <v>127</v>
      </c>
      <c r="B314">
        <v>2025</v>
      </c>
      <c r="C314" t="s">
        <v>1405</v>
      </c>
      <c r="D314" t="s">
        <v>1405</v>
      </c>
      <c r="E314" t="s">
        <v>1405</v>
      </c>
      <c r="F314" t="s">
        <v>1405</v>
      </c>
      <c r="G314">
        <v>2028</v>
      </c>
      <c r="H314" t="s">
        <v>1405</v>
      </c>
      <c r="I314" t="s">
        <v>1405</v>
      </c>
      <c r="J314" t="s">
        <v>1405</v>
      </c>
      <c r="K314" t="s">
        <v>1405</v>
      </c>
      <c r="L314">
        <v>2031</v>
      </c>
      <c r="M314" t="s">
        <v>1405</v>
      </c>
      <c r="N314" t="s">
        <v>1405</v>
      </c>
      <c r="O314" t="s">
        <v>1405</v>
      </c>
      <c r="P314" t="s">
        <v>1405</v>
      </c>
    </row>
    <row r="315" spans="1:16" x14ac:dyDescent="0.25">
      <c r="A315" t="s">
        <v>383</v>
      </c>
      <c r="B315">
        <v>2024</v>
      </c>
      <c r="C315" t="s">
        <v>1405</v>
      </c>
      <c r="D315" t="s">
        <v>1405</v>
      </c>
      <c r="E315" t="s">
        <v>1405</v>
      </c>
      <c r="F315" t="s">
        <v>1405</v>
      </c>
      <c r="G315">
        <v>2027</v>
      </c>
      <c r="H315" t="s">
        <v>1405</v>
      </c>
      <c r="I315" t="s">
        <v>1405</v>
      </c>
      <c r="J315" t="s">
        <v>1405</v>
      </c>
      <c r="K315" t="s">
        <v>1405</v>
      </c>
      <c r="L315">
        <v>2030</v>
      </c>
      <c r="M315" t="s">
        <v>1405</v>
      </c>
      <c r="N315" t="s">
        <v>1405</v>
      </c>
      <c r="O315" t="s">
        <v>1405</v>
      </c>
      <c r="P315" t="s">
        <v>1405</v>
      </c>
    </row>
    <row r="316" spans="1:16" x14ac:dyDescent="0.25">
      <c r="A316" t="s">
        <v>1174</v>
      </c>
      <c r="B316">
        <v>2026</v>
      </c>
      <c r="C316" t="s">
        <v>1405</v>
      </c>
      <c r="D316" t="s">
        <v>1405</v>
      </c>
      <c r="E316" t="s">
        <v>1405</v>
      </c>
      <c r="F316" t="s">
        <v>1405</v>
      </c>
      <c r="G316">
        <v>2029</v>
      </c>
      <c r="H316" t="s">
        <v>1405</v>
      </c>
      <c r="I316" t="s">
        <v>1405</v>
      </c>
      <c r="J316" t="s">
        <v>1405</v>
      </c>
      <c r="K316" t="s">
        <v>1405</v>
      </c>
      <c r="L316">
        <v>2032</v>
      </c>
      <c r="M316" t="s">
        <v>1405</v>
      </c>
      <c r="N316" t="s">
        <v>1405</v>
      </c>
      <c r="O316" t="s">
        <v>1405</v>
      </c>
      <c r="P316" t="s">
        <v>1405</v>
      </c>
    </row>
    <row r="317" spans="1:16" x14ac:dyDescent="0.25">
      <c r="A317" t="s">
        <v>26</v>
      </c>
      <c r="B317">
        <v>2021</v>
      </c>
      <c r="C317" t="s">
        <v>1405</v>
      </c>
      <c r="D317" t="s">
        <v>1405</v>
      </c>
      <c r="E317" t="s">
        <v>1405</v>
      </c>
      <c r="F317" t="s">
        <v>1405</v>
      </c>
      <c r="G317">
        <v>2024</v>
      </c>
      <c r="H317" t="s">
        <v>1405</v>
      </c>
      <c r="I317" t="s">
        <v>1405</v>
      </c>
      <c r="J317" t="s">
        <v>1405</v>
      </c>
      <c r="K317" t="s">
        <v>1405</v>
      </c>
      <c r="L317">
        <v>2027</v>
      </c>
      <c r="M317" t="s">
        <v>1405</v>
      </c>
      <c r="N317" t="s">
        <v>1405</v>
      </c>
      <c r="O317" t="s">
        <v>1405</v>
      </c>
      <c r="P317" t="s">
        <v>1405</v>
      </c>
    </row>
    <row r="318" spans="1:16" x14ac:dyDescent="0.25">
      <c r="A318" t="s">
        <v>30</v>
      </c>
      <c r="B318">
        <v>2021</v>
      </c>
      <c r="C318" t="s">
        <v>1405</v>
      </c>
      <c r="D318" t="s">
        <v>1405</v>
      </c>
      <c r="E318" t="s">
        <v>1405</v>
      </c>
      <c r="F318" t="s">
        <v>1405</v>
      </c>
      <c r="G318">
        <v>2024</v>
      </c>
      <c r="H318" t="s">
        <v>1405</v>
      </c>
      <c r="I318" t="s">
        <v>1405</v>
      </c>
      <c r="J318" t="s">
        <v>1405</v>
      </c>
      <c r="K318" t="s">
        <v>1405</v>
      </c>
      <c r="L318">
        <v>2027</v>
      </c>
      <c r="M318" t="s">
        <v>1405</v>
      </c>
      <c r="N318" t="s">
        <v>1405</v>
      </c>
      <c r="O318" t="s">
        <v>1405</v>
      </c>
      <c r="P318" t="s">
        <v>1405</v>
      </c>
    </row>
    <row r="319" spans="1:16" x14ac:dyDescent="0.25">
      <c r="A319" t="s">
        <v>319</v>
      </c>
      <c r="B319">
        <v>2021</v>
      </c>
      <c r="C319" t="s">
        <v>1405</v>
      </c>
      <c r="D319" t="s">
        <v>1405</v>
      </c>
      <c r="E319" t="s">
        <v>1405</v>
      </c>
      <c r="F319" t="s">
        <v>1405</v>
      </c>
      <c r="G319">
        <v>2024</v>
      </c>
      <c r="H319" t="s">
        <v>1405</v>
      </c>
      <c r="I319" t="s">
        <v>1405</v>
      </c>
      <c r="J319" t="s">
        <v>1405</v>
      </c>
      <c r="K319" t="s">
        <v>1405</v>
      </c>
      <c r="L319">
        <v>2027</v>
      </c>
      <c r="M319" t="s">
        <v>1405</v>
      </c>
      <c r="N319" t="s">
        <v>1405</v>
      </c>
      <c r="O319" t="s">
        <v>1405</v>
      </c>
      <c r="P319" t="s">
        <v>1405</v>
      </c>
    </row>
    <row r="320" spans="1:16" x14ac:dyDescent="0.25">
      <c r="A320" t="s">
        <v>984</v>
      </c>
      <c r="B320">
        <v>2024</v>
      </c>
      <c r="C320" t="s">
        <v>1405</v>
      </c>
      <c r="D320" t="s">
        <v>1405</v>
      </c>
      <c r="E320" t="s">
        <v>1405</v>
      </c>
      <c r="F320" t="s">
        <v>1405</v>
      </c>
      <c r="G320">
        <v>2027</v>
      </c>
      <c r="H320" t="s">
        <v>1405</v>
      </c>
      <c r="I320" t="s">
        <v>1405</v>
      </c>
      <c r="J320" t="s">
        <v>1405</v>
      </c>
      <c r="K320" t="s">
        <v>1405</v>
      </c>
      <c r="L320">
        <v>2030</v>
      </c>
      <c r="M320" t="s">
        <v>1405</v>
      </c>
      <c r="N320" t="s">
        <v>1405</v>
      </c>
      <c r="O320" t="s">
        <v>1405</v>
      </c>
      <c r="P320" t="s">
        <v>1405</v>
      </c>
    </row>
    <row r="321" spans="1:16" x14ac:dyDescent="0.25">
      <c r="A321" t="s">
        <v>323</v>
      </c>
      <c r="B321">
        <v>2021</v>
      </c>
      <c r="C321" t="s">
        <v>1405</v>
      </c>
      <c r="D321" t="s">
        <v>1405</v>
      </c>
      <c r="E321" t="s">
        <v>1405</v>
      </c>
      <c r="F321" t="s">
        <v>1405</v>
      </c>
      <c r="G321">
        <v>2024</v>
      </c>
      <c r="H321" t="s">
        <v>1405</v>
      </c>
      <c r="I321" t="s">
        <v>1405</v>
      </c>
      <c r="J321" t="s">
        <v>1405</v>
      </c>
      <c r="K321" t="s">
        <v>1405</v>
      </c>
      <c r="L321">
        <v>2027</v>
      </c>
      <c r="M321" t="s">
        <v>1405</v>
      </c>
      <c r="N321" t="s">
        <v>1405</v>
      </c>
      <c r="O321" t="s">
        <v>1405</v>
      </c>
      <c r="P321" t="s">
        <v>1405</v>
      </c>
    </row>
    <row r="322" spans="1:16" x14ac:dyDescent="0.25">
      <c r="A322" t="s">
        <v>1171</v>
      </c>
      <c r="B322">
        <v>2026</v>
      </c>
      <c r="C322" t="s">
        <v>1405</v>
      </c>
      <c r="D322" t="s">
        <v>1405</v>
      </c>
      <c r="E322" t="s">
        <v>1405</v>
      </c>
      <c r="F322" t="s">
        <v>1405</v>
      </c>
      <c r="G322">
        <v>2029</v>
      </c>
      <c r="H322" t="s">
        <v>1405</v>
      </c>
      <c r="I322" t="s">
        <v>1405</v>
      </c>
      <c r="J322" t="s">
        <v>1405</v>
      </c>
      <c r="K322" t="s">
        <v>1405</v>
      </c>
      <c r="L322">
        <v>2032</v>
      </c>
      <c r="M322" t="s">
        <v>1405</v>
      </c>
      <c r="N322" t="s">
        <v>1405</v>
      </c>
      <c r="O322" t="s">
        <v>1405</v>
      </c>
      <c r="P322" t="s">
        <v>1405</v>
      </c>
    </row>
    <row r="323" spans="1:16" x14ac:dyDescent="0.25">
      <c r="A323" t="s">
        <v>887</v>
      </c>
      <c r="B323">
        <v>2021</v>
      </c>
      <c r="C323" t="s">
        <v>1405</v>
      </c>
      <c r="D323" t="s">
        <v>1405</v>
      </c>
      <c r="E323" t="s">
        <v>1405</v>
      </c>
      <c r="F323" t="s">
        <v>1405</v>
      </c>
      <c r="G323">
        <v>2024</v>
      </c>
      <c r="H323" t="s">
        <v>1405</v>
      </c>
      <c r="I323" t="s">
        <v>1405</v>
      </c>
      <c r="J323" t="s">
        <v>1405</v>
      </c>
      <c r="K323" t="s">
        <v>1405</v>
      </c>
      <c r="L323">
        <v>2027</v>
      </c>
      <c r="M323" t="s">
        <v>1405</v>
      </c>
      <c r="N323" t="s">
        <v>1405</v>
      </c>
      <c r="O323" t="s">
        <v>1405</v>
      </c>
      <c r="P323" t="s">
        <v>1405</v>
      </c>
    </row>
    <row r="324" spans="1:16" x14ac:dyDescent="0.25">
      <c r="A324" t="s">
        <v>63</v>
      </c>
      <c r="B324">
        <v>2022</v>
      </c>
      <c r="C324" t="s">
        <v>1405</v>
      </c>
      <c r="D324" t="s">
        <v>1405</v>
      </c>
      <c r="E324" t="s">
        <v>1405</v>
      </c>
      <c r="F324" t="s">
        <v>1405</v>
      </c>
      <c r="G324">
        <v>2025</v>
      </c>
      <c r="H324" t="s">
        <v>1405</v>
      </c>
      <c r="I324" t="s">
        <v>1405</v>
      </c>
      <c r="J324" t="s">
        <v>1405</v>
      </c>
      <c r="K324" t="s">
        <v>1405</v>
      </c>
      <c r="L324">
        <v>2028</v>
      </c>
      <c r="M324" t="s">
        <v>1405</v>
      </c>
      <c r="N324" t="s">
        <v>1405</v>
      </c>
      <c r="O324" t="s">
        <v>1405</v>
      </c>
      <c r="P324" t="s">
        <v>1405</v>
      </c>
    </row>
    <row r="325" spans="1:16" x14ac:dyDescent="0.25">
      <c r="A325" t="s">
        <v>1259</v>
      </c>
      <c r="B325">
        <v>2027</v>
      </c>
      <c r="C325" t="s">
        <v>1405</v>
      </c>
      <c r="D325" t="s">
        <v>1405</v>
      </c>
      <c r="E325" t="s">
        <v>1405</v>
      </c>
      <c r="F325" t="s">
        <v>1405</v>
      </c>
      <c r="G325">
        <v>2030</v>
      </c>
      <c r="H325" t="s">
        <v>1405</v>
      </c>
      <c r="I325" t="s">
        <v>1405</v>
      </c>
      <c r="J325" t="s">
        <v>1405</v>
      </c>
      <c r="K325" t="s">
        <v>1405</v>
      </c>
      <c r="L325">
        <v>2033</v>
      </c>
      <c r="M325" t="s">
        <v>1405</v>
      </c>
      <c r="N325" t="s">
        <v>1405</v>
      </c>
      <c r="O325" t="s">
        <v>1405</v>
      </c>
      <c r="P325" t="s">
        <v>1405</v>
      </c>
    </row>
    <row r="326" spans="1:16" x14ac:dyDescent="0.25">
      <c r="A326" t="s">
        <v>241</v>
      </c>
      <c r="B326">
        <v>2026</v>
      </c>
      <c r="C326" t="s">
        <v>1405</v>
      </c>
      <c r="D326" t="s">
        <v>1405</v>
      </c>
      <c r="E326" t="s">
        <v>1405</v>
      </c>
      <c r="F326" t="s">
        <v>1405</v>
      </c>
      <c r="G326">
        <v>2029</v>
      </c>
      <c r="H326" t="s">
        <v>1405</v>
      </c>
      <c r="I326" t="s">
        <v>1405</v>
      </c>
      <c r="J326" t="s">
        <v>1405</v>
      </c>
      <c r="K326" t="s">
        <v>1405</v>
      </c>
      <c r="L326">
        <v>2032</v>
      </c>
      <c r="M326" t="s">
        <v>1405</v>
      </c>
      <c r="N326" t="s">
        <v>1405</v>
      </c>
      <c r="O326" t="s">
        <v>1405</v>
      </c>
      <c r="P326" t="s">
        <v>1405</v>
      </c>
    </row>
    <row r="327" spans="1:16" x14ac:dyDescent="0.25">
      <c r="A327" t="s">
        <v>898</v>
      </c>
      <c r="B327">
        <v>2022</v>
      </c>
      <c r="C327" t="s">
        <v>1405</v>
      </c>
      <c r="D327" t="s">
        <v>1405</v>
      </c>
      <c r="E327" t="s">
        <v>1405</v>
      </c>
      <c r="F327" t="s">
        <v>1405</v>
      </c>
      <c r="G327">
        <v>2025</v>
      </c>
      <c r="H327" t="s">
        <v>1405</v>
      </c>
      <c r="I327" t="s">
        <v>1405</v>
      </c>
      <c r="J327" t="s">
        <v>1405</v>
      </c>
      <c r="K327" t="s">
        <v>1405</v>
      </c>
      <c r="L327">
        <v>2028</v>
      </c>
      <c r="M327" t="s">
        <v>1405</v>
      </c>
      <c r="N327" t="s">
        <v>1405</v>
      </c>
      <c r="O327" t="s">
        <v>1405</v>
      </c>
      <c r="P327" t="s">
        <v>1405</v>
      </c>
    </row>
    <row r="328" spans="1:16" x14ac:dyDescent="0.25">
      <c r="A328" t="s">
        <v>386</v>
      </c>
      <c r="B328">
        <v>2024</v>
      </c>
      <c r="C328" t="s">
        <v>1405</v>
      </c>
      <c r="D328" t="s">
        <v>1405</v>
      </c>
      <c r="E328" t="s">
        <v>1405</v>
      </c>
      <c r="F328" t="s">
        <v>1405</v>
      </c>
      <c r="G328">
        <v>2027</v>
      </c>
      <c r="H328" t="s">
        <v>1405</v>
      </c>
      <c r="I328" t="s">
        <v>1405</v>
      </c>
      <c r="J328" t="s">
        <v>1405</v>
      </c>
      <c r="K328" t="s">
        <v>1405</v>
      </c>
      <c r="L328">
        <v>2030</v>
      </c>
      <c r="M328" t="s">
        <v>1405</v>
      </c>
      <c r="N328" t="s">
        <v>1405</v>
      </c>
      <c r="O328" t="s">
        <v>1405</v>
      </c>
      <c r="P328" t="s">
        <v>1405</v>
      </c>
    </row>
    <row r="329" spans="1:16" x14ac:dyDescent="0.25">
      <c r="A329" t="s">
        <v>113</v>
      </c>
      <c r="B329">
        <v>2023</v>
      </c>
      <c r="C329" t="s">
        <v>1405</v>
      </c>
      <c r="D329" t="s">
        <v>1405</v>
      </c>
      <c r="E329" t="s">
        <v>1405</v>
      </c>
      <c r="F329" t="s">
        <v>1405</v>
      </c>
      <c r="G329">
        <v>2026</v>
      </c>
      <c r="H329" t="s">
        <v>1405</v>
      </c>
      <c r="I329" t="s">
        <v>1405</v>
      </c>
      <c r="J329" t="s">
        <v>1405</v>
      </c>
      <c r="K329" t="s">
        <v>1405</v>
      </c>
      <c r="L329">
        <v>2029</v>
      </c>
      <c r="M329" t="s">
        <v>1405</v>
      </c>
      <c r="N329" t="s">
        <v>1405</v>
      </c>
      <c r="O329" t="s">
        <v>1405</v>
      </c>
      <c r="P329" t="s">
        <v>1405</v>
      </c>
    </row>
    <row r="330" spans="1:16" x14ac:dyDescent="0.25">
      <c r="A330" t="s">
        <v>1028</v>
      </c>
      <c r="B330">
        <v>2025</v>
      </c>
      <c r="C330" t="s">
        <v>1405</v>
      </c>
      <c r="D330" t="s">
        <v>1405</v>
      </c>
      <c r="E330" t="s">
        <v>1405</v>
      </c>
      <c r="F330" t="s">
        <v>1405</v>
      </c>
      <c r="G330">
        <v>2028</v>
      </c>
      <c r="H330" t="s">
        <v>1405</v>
      </c>
      <c r="I330" t="s">
        <v>1405</v>
      </c>
      <c r="J330" t="s">
        <v>1405</v>
      </c>
      <c r="K330" t="s">
        <v>1405</v>
      </c>
      <c r="L330">
        <v>2031</v>
      </c>
      <c r="M330" t="s">
        <v>1405</v>
      </c>
      <c r="N330" t="s">
        <v>1405</v>
      </c>
      <c r="O330" t="s">
        <v>1405</v>
      </c>
      <c r="P330" t="s">
        <v>1405</v>
      </c>
    </row>
    <row r="331" spans="1:16" x14ac:dyDescent="0.25">
      <c r="A331" t="s">
        <v>302</v>
      </c>
      <c r="B331">
        <v>2024</v>
      </c>
      <c r="C331" t="s">
        <v>1405</v>
      </c>
      <c r="D331" t="s">
        <v>1405</v>
      </c>
      <c r="E331" t="s">
        <v>1405</v>
      </c>
      <c r="F331" t="s">
        <v>1405</v>
      </c>
      <c r="G331">
        <v>2027</v>
      </c>
      <c r="H331" t="s">
        <v>1405</v>
      </c>
      <c r="I331" t="s">
        <v>1405</v>
      </c>
      <c r="J331" t="s">
        <v>1405</v>
      </c>
      <c r="K331" t="s">
        <v>1405</v>
      </c>
      <c r="L331">
        <v>2030</v>
      </c>
      <c r="M331" t="s">
        <v>1405</v>
      </c>
      <c r="N331" t="s">
        <v>1405</v>
      </c>
      <c r="O331" t="s">
        <v>1405</v>
      </c>
      <c r="P331" t="s">
        <v>1405</v>
      </c>
    </row>
    <row r="332" spans="1:16" x14ac:dyDescent="0.25">
      <c r="A332" t="s">
        <v>401</v>
      </c>
      <c r="B332">
        <v>2024</v>
      </c>
      <c r="C332" t="s">
        <v>1405</v>
      </c>
      <c r="D332" t="s">
        <v>1405</v>
      </c>
      <c r="E332" t="s">
        <v>1405</v>
      </c>
      <c r="F332" t="s">
        <v>1405</v>
      </c>
      <c r="G332">
        <v>2027</v>
      </c>
      <c r="H332" t="s">
        <v>1405</v>
      </c>
      <c r="I332" t="s">
        <v>1405</v>
      </c>
      <c r="J332" t="s">
        <v>1405</v>
      </c>
      <c r="K332" t="s">
        <v>1405</v>
      </c>
      <c r="L332">
        <v>2030</v>
      </c>
      <c r="M332" t="s">
        <v>1405</v>
      </c>
      <c r="N332" t="s">
        <v>1405</v>
      </c>
      <c r="O332" t="s">
        <v>1405</v>
      </c>
      <c r="P332" t="s">
        <v>1405</v>
      </c>
    </row>
    <row r="333" spans="1:16" x14ac:dyDescent="0.25">
      <c r="A333" t="s">
        <v>479</v>
      </c>
      <c r="B333">
        <v>2026</v>
      </c>
      <c r="C333" t="s">
        <v>1405</v>
      </c>
      <c r="D333" t="s">
        <v>1405</v>
      </c>
      <c r="E333" t="s">
        <v>1405</v>
      </c>
      <c r="F333" t="s">
        <v>1405</v>
      </c>
      <c r="G333">
        <v>2029</v>
      </c>
      <c r="H333" t="s">
        <v>1405</v>
      </c>
      <c r="I333" t="s">
        <v>1405</v>
      </c>
      <c r="J333" t="s">
        <v>1405</v>
      </c>
      <c r="K333" t="s">
        <v>1405</v>
      </c>
      <c r="L333">
        <v>2032</v>
      </c>
      <c r="M333" t="s">
        <v>1405</v>
      </c>
      <c r="N333" t="s">
        <v>1405</v>
      </c>
      <c r="O333" t="s">
        <v>1405</v>
      </c>
      <c r="P333" t="s">
        <v>1405</v>
      </c>
    </row>
    <row r="334" spans="1:16" x14ac:dyDescent="0.25">
      <c r="A334" t="s">
        <v>268</v>
      </c>
      <c r="B334">
        <v>2021</v>
      </c>
      <c r="C334" t="s">
        <v>1405</v>
      </c>
      <c r="D334" t="s">
        <v>1405</v>
      </c>
      <c r="E334" t="s">
        <v>1405</v>
      </c>
      <c r="F334" t="s">
        <v>1405</v>
      </c>
      <c r="G334">
        <v>2024</v>
      </c>
      <c r="H334" t="s">
        <v>1405</v>
      </c>
      <c r="I334" t="s">
        <v>1405</v>
      </c>
      <c r="J334" t="s">
        <v>1405</v>
      </c>
      <c r="K334" t="s">
        <v>1405</v>
      </c>
      <c r="L334">
        <v>2027</v>
      </c>
      <c r="M334" t="s">
        <v>1405</v>
      </c>
      <c r="N334" t="s">
        <v>1405</v>
      </c>
      <c r="O334" t="s">
        <v>1405</v>
      </c>
      <c r="P334" t="s">
        <v>1405</v>
      </c>
    </row>
    <row r="335" spans="1:16" x14ac:dyDescent="0.25">
      <c r="A335" t="s">
        <v>138</v>
      </c>
      <c r="B335">
        <v>2025</v>
      </c>
      <c r="C335" t="s">
        <v>1405</v>
      </c>
      <c r="D335" t="s">
        <v>1405</v>
      </c>
      <c r="E335" t="s">
        <v>1405</v>
      </c>
      <c r="F335" t="s">
        <v>1405</v>
      </c>
      <c r="G335">
        <v>2028</v>
      </c>
      <c r="H335" t="s">
        <v>1405</v>
      </c>
      <c r="I335" t="s">
        <v>1405</v>
      </c>
      <c r="J335" t="s">
        <v>1405</v>
      </c>
      <c r="K335" t="s">
        <v>1405</v>
      </c>
      <c r="L335">
        <v>2031</v>
      </c>
      <c r="M335" t="s">
        <v>1405</v>
      </c>
      <c r="N335" t="s">
        <v>1405</v>
      </c>
      <c r="O335" t="s">
        <v>1405</v>
      </c>
      <c r="P335" t="s">
        <v>1405</v>
      </c>
    </row>
    <row r="336" spans="1:16" x14ac:dyDescent="0.25">
      <c r="A336" t="s">
        <v>894</v>
      </c>
      <c r="B336">
        <v>2022</v>
      </c>
      <c r="C336" t="s">
        <v>1405</v>
      </c>
      <c r="D336" t="s">
        <v>1405</v>
      </c>
      <c r="E336" t="s">
        <v>1405</v>
      </c>
      <c r="F336" t="s">
        <v>1405</v>
      </c>
      <c r="G336">
        <v>2025</v>
      </c>
      <c r="H336" t="s">
        <v>1405</v>
      </c>
      <c r="I336" t="s">
        <v>1405</v>
      </c>
      <c r="J336" t="s">
        <v>1405</v>
      </c>
      <c r="K336" t="s">
        <v>1405</v>
      </c>
      <c r="L336">
        <v>2028</v>
      </c>
      <c r="M336" t="s">
        <v>1405</v>
      </c>
      <c r="N336" t="s">
        <v>1405</v>
      </c>
      <c r="O336" t="s">
        <v>1405</v>
      </c>
      <c r="P336" t="s">
        <v>1405</v>
      </c>
    </row>
    <row r="337" spans="1:16" x14ac:dyDescent="0.25">
      <c r="A337" t="s">
        <v>526</v>
      </c>
      <c r="B337">
        <v>2025</v>
      </c>
      <c r="C337" t="s">
        <v>1405</v>
      </c>
      <c r="D337" t="s">
        <v>1405</v>
      </c>
      <c r="E337" t="s">
        <v>1405</v>
      </c>
      <c r="F337" t="s">
        <v>1405</v>
      </c>
      <c r="G337">
        <v>2028</v>
      </c>
      <c r="H337" t="s">
        <v>1405</v>
      </c>
      <c r="I337" t="s">
        <v>1405</v>
      </c>
      <c r="J337" t="s">
        <v>1405</v>
      </c>
      <c r="K337" t="s">
        <v>1405</v>
      </c>
      <c r="L337">
        <v>2031</v>
      </c>
      <c r="M337" t="s">
        <v>1405</v>
      </c>
      <c r="N337" t="s">
        <v>1405</v>
      </c>
      <c r="O337" t="s">
        <v>1405</v>
      </c>
      <c r="P337" t="s">
        <v>1405</v>
      </c>
    </row>
    <row r="338" spans="1:16" x14ac:dyDescent="0.25">
      <c r="A338" t="s">
        <v>245</v>
      </c>
      <c r="B338">
        <v>2026</v>
      </c>
      <c r="C338" t="s">
        <v>4051</v>
      </c>
      <c r="D338" t="s">
        <v>4051</v>
      </c>
      <c r="E338" t="s">
        <v>4051</v>
      </c>
      <c r="F338" t="s">
        <v>4051</v>
      </c>
      <c r="G338">
        <v>2029</v>
      </c>
      <c r="H338" t="s">
        <v>4043</v>
      </c>
      <c r="I338" t="s">
        <v>4043</v>
      </c>
      <c r="J338" t="s">
        <v>4043</v>
      </c>
      <c r="K338" t="s">
        <v>4043</v>
      </c>
      <c r="L338">
        <v>2032</v>
      </c>
      <c r="M338" t="s">
        <v>4047</v>
      </c>
      <c r="N338" t="s">
        <v>4047</v>
      </c>
      <c r="O338" t="s">
        <v>4047</v>
      </c>
      <c r="P338" t="s">
        <v>4047</v>
      </c>
    </row>
    <row r="339" spans="1:16" x14ac:dyDescent="0.25">
      <c r="A339" t="s">
        <v>1186</v>
      </c>
      <c r="B339">
        <v>2026</v>
      </c>
      <c r="C339" t="s">
        <v>4051</v>
      </c>
      <c r="D339" t="s">
        <v>4051</v>
      </c>
      <c r="E339" t="s">
        <v>4051</v>
      </c>
      <c r="F339" t="s">
        <v>4051</v>
      </c>
      <c r="G339">
        <v>2029</v>
      </c>
      <c r="H339" t="s">
        <v>4043</v>
      </c>
      <c r="I339" t="s">
        <v>4043</v>
      </c>
      <c r="J339" t="s">
        <v>4043</v>
      </c>
      <c r="K339" t="s">
        <v>4043</v>
      </c>
      <c r="L339">
        <v>2032</v>
      </c>
      <c r="M339" t="s">
        <v>4047</v>
      </c>
      <c r="N339" t="s">
        <v>4047</v>
      </c>
      <c r="O339" t="s">
        <v>4047</v>
      </c>
      <c r="P339" t="s">
        <v>4047</v>
      </c>
    </row>
    <row r="340" spans="1:16" x14ac:dyDescent="0.25">
      <c r="A340" t="s">
        <v>611</v>
      </c>
      <c r="B340">
        <v>2027</v>
      </c>
      <c r="C340" t="s">
        <v>4046</v>
      </c>
      <c r="D340" t="s">
        <v>4046</v>
      </c>
      <c r="E340" t="s">
        <v>4046</v>
      </c>
      <c r="F340" t="s">
        <v>4046</v>
      </c>
      <c r="G340">
        <v>2030</v>
      </c>
      <c r="H340" t="s">
        <v>4044</v>
      </c>
      <c r="I340" t="s">
        <v>4044</v>
      </c>
      <c r="J340" t="s">
        <v>4044</v>
      </c>
      <c r="K340" t="s">
        <v>4044</v>
      </c>
      <c r="L340">
        <v>2033</v>
      </c>
      <c r="M340" t="s">
        <v>4048</v>
      </c>
      <c r="N340" t="s">
        <v>4048</v>
      </c>
      <c r="O340" t="s">
        <v>4048</v>
      </c>
      <c r="P340" t="s">
        <v>4048</v>
      </c>
    </row>
    <row r="341" spans="1:16" x14ac:dyDescent="0.25">
      <c r="A341" t="s">
        <v>1267</v>
      </c>
      <c r="B341">
        <v>2027</v>
      </c>
      <c r="C341" t="s">
        <v>4046</v>
      </c>
      <c r="D341" t="s">
        <v>4046</v>
      </c>
      <c r="E341" t="s">
        <v>4046</v>
      </c>
      <c r="F341" t="s">
        <v>4046</v>
      </c>
      <c r="G341">
        <v>2030</v>
      </c>
      <c r="H341" t="s">
        <v>4044</v>
      </c>
      <c r="I341" t="s">
        <v>4044</v>
      </c>
      <c r="J341" t="s">
        <v>4044</v>
      </c>
      <c r="K341" t="s">
        <v>4044</v>
      </c>
      <c r="L341">
        <v>2033</v>
      </c>
      <c r="M341" t="s">
        <v>4048</v>
      </c>
      <c r="N341" t="s">
        <v>4048</v>
      </c>
      <c r="O341" t="s">
        <v>4048</v>
      </c>
      <c r="P341" t="s">
        <v>4048</v>
      </c>
    </row>
    <row r="342" spans="1:16" x14ac:dyDescent="0.25">
      <c r="A342" t="s">
        <v>1249</v>
      </c>
      <c r="B342">
        <v>2027</v>
      </c>
      <c r="C342" t="s">
        <v>4046</v>
      </c>
      <c r="D342" t="s">
        <v>4046</v>
      </c>
      <c r="E342" t="s">
        <v>4046</v>
      </c>
      <c r="F342" t="s">
        <v>4046</v>
      </c>
      <c r="G342">
        <v>2030</v>
      </c>
      <c r="H342" t="s">
        <v>4044</v>
      </c>
      <c r="I342" t="s">
        <v>4044</v>
      </c>
      <c r="J342" t="s">
        <v>4044</v>
      </c>
      <c r="K342" t="s">
        <v>4044</v>
      </c>
      <c r="L342">
        <v>2033</v>
      </c>
      <c r="M342" t="s">
        <v>4048</v>
      </c>
      <c r="N342" t="s">
        <v>4048</v>
      </c>
      <c r="O342" t="s">
        <v>4048</v>
      </c>
      <c r="P342" t="s">
        <v>4048</v>
      </c>
    </row>
    <row r="343" spans="1:16" x14ac:dyDescent="0.25">
      <c r="A343" t="s">
        <v>1299</v>
      </c>
      <c r="B343">
        <v>2028</v>
      </c>
      <c r="C343" t="s">
        <v>4042</v>
      </c>
      <c r="D343" t="s">
        <v>4042</v>
      </c>
      <c r="E343" t="s">
        <v>4042</v>
      </c>
      <c r="F343" t="s">
        <v>4042</v>
      </c>
      <c r="G343">
        <v>2031</v>
      </c>
      <c r="H343" t="s">
        <v>4045</v>
      </c>
      <c r="I343" t="s">
        <v>4045</v>
      </c>
      <c r="J343" t="s">
        <v>4045</v>
      </c>
      <c r="K343" t="s">
        <v>4045</v>
      </c>
      <c r="L343">
        <v>2034</v>
      </c>
      <c r="M343" t="s">
        <v>4050</v>
      </c>
      <c r="N343" t="s">
        <v>4050</v>
      </c>
      <c r="O343" t="s">
        <v>4050</v>
      </c>
      <c r="P343" t="s">
        <v>4050</v>
      </c>
    </row>
    <row r="344" spans="1:16" x14ac:dyDescent="0.25">
      <c r="A344" t="s">
        <v>633</v>
      </c>
      <c r="B344">
        <v>2028</v>
      </c>
      <c r="C344" t="s">
        <v>4042</v>
      </c>
      <c r="D344" t="s">
        <v>4042</v>
      </c>
      <c r="E344" t="s">
        <v>4042</v>
      </c>
      <c r="F344" t="s">
        <v>4042</v>
      </c>
      <c r="G344">
        <v>2031</v>
      </c>
      <c r="H344" t="s">
        <v>4045</v>
      </c>
      <c r="I344" t="s">
        <v>4045</v>
      </c>
      <c r="J344" t="s">
        <v>4045</v>
      </c>
      <c r="K344" t="s">
        <v>4045</v>
      </c>
      <c r="L344">
        <v>2034</v>
      </c>
      <c r="M344" t="s">
        <v>4050</v>
      </c>
      <c r="N344" t="s">
        <v>4050</v>
      </c>
      <c r="O344" t="s">
        <v>4050</v>
      </c>
      <c r="P344" t="s">
        <v>4050</v>
      </c>
    </row>
    <row r="345" spans="1:16" x14ac:dyDescent="0.25">
      <c r="A345" t="s">
        <v>641</v>
      </c>
      <c r="B345">
        <v>2028</v>
      </c>
      <c r="C345" t="s">
        <v>4042</v>
      </c>
      <c r="D345" t="s">
        <v>4042</v>
      </c>
      <c r="E345" t="s">
        <v>4042</v>
      </c>
      <c r="F345" t="s">
        <v>4042</v>
      </c>
      <c r="G345">
        <v>2031</v>
      </c>
      <c r="H345" t="s">
        <v>4045</v>
      </c>
      <c r="I345" t="s">
        <v>4045</v>
      </c>
      <c r="J345" t="s">
        <v>4045</v>
      </c>
      <c r="K345" t="s">
        <v>4045</v>
      </c>
      <c r="L345">
        <v>2034</v>
      </c>
      <c r="M345" t="s">
        <v>4050</v>
      </c>
      <c r="N345" t="s">
        <v>4050</v>
      </c>
      <c r="O345" t="s">
        <v>4050</v>
      </c>
      <c r="P345" t="s">
        <v>4050</v>
      </c>
    </row>
    <row r="346" spans="1:16" x14ac:dyDescent="0.25">
      <c r="A346" t="s">
        <v>654</v>
      </c>
      <c r="B346">
        <v>2028</v>
      </c>
      <c r="C346" t="s">
        <v>4042</v>
      </c>
      <c r="D346" t="s">
        <v>4042</v>
      </c>
      <c r="E346" t="s">
        <v>4042</v>
      </c>
      <c r="F346" t="s">
        <v>4042</v>
      </c>
      <c r="G346">
        <v>2031</v>
      </c>
      <c r="H346" t="s">
        <v>4045</v>
      </c>
      <c r="I346" t="s">
        <v>4045</v>
      </c>
      <c r="J346" t="s">
        <v>4045</v>
      </c>
      <c r="K346" t="s">
        <v>4045</v>
      </c>
      <c r="L346">
        <v>2034</v>
      </c>
      <c r="M346" t="s">
        <v>4050</v>
      </c>
      <c r="N346" t="s">
        <v>4050</v>
      </c>
      <c r="O346" t="s">
        <v>4050</v>
      </c>
      <c r="P346" t="s">
        <v>4050</v>
      </c>
    </row>
    <row r="347" spans="1:16" x14ac:dyDescent="0.25">
      <c r="A347" t="s">
        <v>1298</v>
      </c>
      <c r="B347">
        <v>2028</v>
      </c>
      <c r="C347" t="s">
        <v>4042</v>
      </c>
      <c r="D347" t="s">
        <v>4042</v>
      </c>
      <c r="E347" t="s">
        <v>4042</v>
      </c>
      <c r="F347" t="s">
        <v>4042</v>
      </c>
      <c r="G347">
        <v>2031</v>
      </c>
      <c r="H347" t="s">
        <v>4045</v>
      </c>
      <c r="I347" t="s">
        <v>4045</v>
      </c>
      <c r="J347" t="s">
        <v>4045</v>
      </c>
      <c r="K347" t="s">
        <v>4045</v>
      </c>
      <c r="L347">
        <v>2034</v>
      </c>
      <c r="M347" t="s">
        <v>4050</v>
      </c>
      <c r="N347" t="s">
        <v>4050</v>
      </c>
      <c r="O347" t="s">
        <v>4050</v>
      </c>
      <c r="P347" t="s">
        <v>4050</v>
      </c>
    </row>
    <row r="348" spans="1:16" x14ac:dyDescent="0.25">
      <c r="A348" t="s">
        <v>348</v>
      </c>
      <c r="B348">
        <v>2028</v>
      </c>
      <c r="C348" t="s">
        <v>4042</v>
      </c>
      <c r="D348" t="s">
        <v>4042</v>
      </c>
      <c r="E348" t="s">
        <v>4042</v>
      </c>
      <c r="F348" t="s">
        <v>4042</v>
      </c>
      <c r="G348">
        <v>2031</v>
      </c>
      <c r="H348" t="s">
        <v>4045</v>
      </c>
      <c r="I348" t="s">
        <v>4045</v>
      </c>
      <c r="J348" t="s">
        <v>4045</v>
      </c>
      <c r="K348" t="s">
        <v>4045</v>
      </c>
      <c r="L348">
        <v>2034</v>
      </c>
      <c r="M348" t="s">
        <v>4050</v>
      </c>
      <c r="N348" t="s">
        <v>4050</v>
      </c>
      <c r="O348" t="s">
        <v>4050</v>
      </c>
      <c r="P348" t="s">
        <v>4050</v>
      </c>
    </row>
    <row r="349" spans="1:16" x14ac:dyDescent="0.25">
      <c r="A349" t="s">
        <v>478</v>
      </c>
      <c r="B349">
        <v>2028</v>
      </c>
      <c r="C349" t="s">
        <v>4042</v>
      </c>
      <c r="D349" t="s">
        <v>4042</v>
      </c>
      <c r="E349" t="s">
        <v>4042</v>
      </c>
      <c r="F349" t="s">
        <v>4042</v>
      </c>
      <c r="G349">
        <v>2031</v>
      </c>
      <c r="H349" t="s">
        <v>4045</v>
      </c>
      <c r="I349" t="s">
        <v>4045</v>
      </c>
      <c r="J349" t="s">
        <v>4045</v>
      </c>
      <c r="K349" t="s">
        <v>4045</v>
      </c>
      <c r="L349">
        <v>2034</v>
      </c>
      <c r="M349" t="s">
        <v>4050</v>
      </c>
      <c r="N349" t="s">
        <v>4050</v>
      </c>
      <c r="O349" t="s">
        <v>4050</v>
      </c>
      <c r="P349" t="s">
        <v>4050</v>
      </c>
    </row>
    <row r="350" spans="1:16" x14ac:dyDescent="0.25">
      <c r="A350" t="s">
        <v>743</v>
      </c>
      <c r="B350">
        <v>2029</v>
      </c>
      <c r="C350" t="s">
        <v>4043</v>
      </c>
      <c r="D350" t="s">
        <v>4043</v>
      </c>
      <c r="E350" t="s">
        <v>4043</v>
      </c>
      <c r="F350" t="s">
        <v>4043</v>
      </c>
      <c r="G350">
        <v>2032</v>
      </c>
      <c r="H350" t="s">
        <v>4047</v>
      </c>
      <c r="I350" t="s">
        <v>4047</v>
      </c>
      <c r="J350" t="s">
        <v>4047</v>
      </c>
      <c r="K350" t="s">
        <v>4047</v>
      </c>
      <c r="L350">
        <v>2035</v>
      </c>
      <c r="M350" t="s">
        <v>4049</v>
      </c>
      <c r="N350" t="s">
        <v>4049</v>
      </c>
      <c r="O350" t="s">
        <v>4049</v>
      </c>
      <c r="P350" t="s">
        <v>4049</v>
      </c>
    </row>
    <row r="351" spans="1:16" x14ac:dyDescent="0.25">
      <c r="A351" t="s">
        <v>785</v>
      </c>
      <c r="B351">
        <v>2029</v>
      </c>
      <c r="C351" t="s">
        <v>4043</v>
      </c>
      <c r="D351" t="s">
        <v>4043</v>
      </c>
      <c r="E351" t="s">
        <v>4043</v>
      </c>
      <c r="F351" t="s">
        <v>4043</v>
      </c>
      <c r="G351">
        <v>2032</v>
      </c>
      <c r="H351" t="s">
        <v>4047</v>
      </c>
      <c r="I351" t="s">
        <v>4047</v>
      </c>
      <c r="J351" t="s">
        <v>4047</v>
      </c>
      <c r="K351" t="s">
        <v>4047</v>
      </c>
      <c r="L351">
        <v>2035</v>
      </c>
      <c r="M351" t="s">
        <v>4049</v>
      </c>
      <c r="N351" t="s">
        <v>4049</v>
      </c>
      <c r="O351" t="s">
        <v>4049</v>
      </c>
      <c r="P351" t="s">
        <v>4049</v>
      </c>
    </row>
    <row r="352" spans="1:16" x14ac:dyDescent="0.25">
      <c r="A352" t="s">
        <v>770</v>
      </c>
      <c r="B352">
        <v>2029</v>
      </c>
      <c r="C352" t="s">
        <v>4043</v>
      </c>
      <c r="D352" t="s">
        <v>4043</v>
      </c>
      <c r="E352" t="s">
        <v>4043</v>
      </c>
      <c r="F352" t="s">
        <v>4043</v>
      </c>
      <c r="G352">
        <v>2032</v>
      </c>
      <c r="H352" t="s">
        <v>4047</v>
      </c>
      <c r="I352" t="s">
        <v>4047</v>
      </c>
      <c r="J352" t="s">
        <v>4047</v>
      </c>
      <c r="K352" t="s">
        <v>4047</v>
      </c>
      <c r="L352">
        <v>2035</v>
      </c>
      <c r="M352" t="s">
        <v>4049</v>
      </c>
      <c r="N352" t="s">
        <v>4049</v>
      </c>
      <c r="O352" t="s">
        <v>4049</v>
      </c>
      <c r="P352" t="s">
        <v>4049</v>
      </c>
    </row>
    <row r="353" spans="1:16" x14ac:dyDescent="0.25">
      <c r="A353" t="s">
        <v>730</v>
      </c>
      <c r="B353">
        <v>2029</v>
      </c>
      <c r="C353" t="s">
        <v>4043</v>
      </c>
      <c r="D353" t="s">
        <v>4043</v>
      </c>
      <c r="E353" t="s">
        <v>4043</v>
      </c>
      <c r="F353" t="s">
        <v>4043</v>
      </c>
      <c r="G353">
        <v>2032</v>
      </c>
      <c r="H353" t="s">
        <v>4047</v>
      </c>
      <c r="I353" t="s">
        <v>4047</v>
      </c>
      <c r="J353" t="s">
        <v>4047</v>
      </c>
      <c r="K353" t="s">
        <v>4047</v>
      </c>
      <c r="L353">
        <v>2035</v>
      </c>
      <c r="M353" t="s">
        <v>4049</v>
      </c>
      <c r="N353" t="s">
        <v>4049</v>
      </c>
      <c r="O353" t="s">
        <v>4049</v>
      </c>
      <c r="P353" t="s">
        <v>4049</v>
      </c>
    </row>
    <row r="354" spans="1:16" x14ac:dyDescent="0.25">
      <c r="A354" t="s">
        <v>697</v>
      </c>
      <c r="B354">
        <v>2029</v>
      </c>
      <c r="C354" t="s">
        <v>4043</v>
      </c>
      <c r="D354" t="s">
        <v>4043</v>
      </c>
      <c r="E354" t="s">
        <v>4043</v>
      </c>
      <c r="F354" t="s">
        <v>4043</v>
      </c>
      <c r="G354">
        <v>2032</v>
      </c>
      <c r="H354" t="s">
        <v>4047</v>
      </c>
      <c r="I354" t="s">
        <v>4047</v>
      </c>
      <c r="J354" t="s">
        <v>4047</v>
      </c>
      <c r="K354" t="s">
        <v>4047</v>
      </c>
      <c r="L354">
        <v>2035</v>
      </c>
      <c r="M354" t="s">
        <v>4049</v>
      </c>
      <c r="N354" t="s">
        <v>4049</v>
      </c>
      <c r="O354" t="s">
        <v>4049</v>
      </c>
      <c r="P354" t="s">
        <v>4049</v>
      </c>
    </row>
    <row r="355" spans="1:16" x14ac:dyDescent="0.25">
      <c r="A355" t="s">
        <v>716</v>
      </c>
      <c r="B355">
        <v>2029</v>
      </c>
      <c r="C355" t="s">
        <v>4043</v>
      </c>
      <c r="D355" t="s">
        <v>4043</v>
      </c>
      <c r="E355" t="s">
        <v>4043</v>
      </c>
      <c r="F355" t="s">
        <v>4043</v>
      </c>
      <c r="G355">
        <v>2032</v>
      </c>
      <c r="H355" t="s">
        <v>4047</v>
      </c>
      <c r="I355" t="s">
        <v>4047</v>
      </c>
      <c r="J355" t="s">
        <v>4047</v>
      </c>
      <c r="K355" t="s">
        <v>4047</v>
      </c>
      <c r="L355">
        <v>2035</v>
      </c>
      <c r="M355" t="s">
        <v>4049</v>
      </c>
      <c r="N355" t="s">
        <v>4049</v>
      </c>
      <c r="O355" t="s">
        <v>4049</v>
      </c>
      <c r="P355" t="s">
        <v>4049</v>
      </c>
    </row>
    <row r="356" spans="1:16" x14ac:dyDescent="0.25">
      <c r="A356" t="s">
        <v>680</v>
      </c>
      <c r="B356">
        <v>2029</v>
      </c>
      <c r="C356" t="s">
        <v>4043</v>
      </c>
      <c r="D356" t="s">
        <v>4043</v>
      </c>
      <c r="E356" t="s">
        <v>4043</v>
      </c>
      <c r="F356" t="s">
        <v>4043</v>
      </c>
      <c r="G356">
        <v>2032</v>
      </c>
      <c r="H356" t="s">
        <v>4047</v>
      </c>
      <c r="I356" t="s">
        <v>4047</v>
      </c>
      <c r="J356" t="s">
        <v>4047</v>
      </c>
      <c r="K356" t="s">
        <v>4047</v>
      </c>
      <c r="L356">
        <v>2035</v>
      </c>
      <c r="M356" t="s">
        <v>4049</v>
      </c>
      <c r="N356" t="s">
        <v>4049</v>
      </c>
      <c r="O356" t="s">
        <v>4049</v>
      </c>
      <c r="P356" t="s">
        <v>4049</v>
      </c>
    </row>
    <row r="357" spans="1:16" x14ac:dyDescent="0.25">
      <c r="A357" t="s">
        <v>694</v>
      </c>
      <c r="B357">
        <v>2029</v>
      </c>
      <c r="C357" t="s">
        <v>4043</v>
      </c>
      <c r="D357" t="s">
        <v>4043</v>
      </c>
      <c r="E357" t="s">
        <v>4043</v>
      </c>
      <c r="F357" t="s">
        <v>4043</v>
      </c>
      <c r="G357">
        <v>2032</v>
      </c>
      <c r="H357" t="s">
        <v>4047</v>
      </c>
      <c r="I357" t="s">
        <v>4047</v>
      </c>
      <c r="J357" t="s">
        <v>4047</v>
      </c>
      <c r="K357" t="s">
        <v>4047</v>
      </c>
      <c r="L357">
        <v>2035</v>
      </c>
      <c r="M357" t="s">
        <v>4049</v>
      </c>
      <c r="N357" t="s">
        <v>4049</v>
      </c>
      <c r="O357" t="s">
        <v>4049</v>
      </c>
      <c r="P357" t="s">
        <v>4049</v>
      </c>
    </row>
    <row r="358" spans="1:16" x14ac:dyDescent="0.25">
      <c r="A358" t="s">
        <v>667</v>
      </c>
      <c r="B358">
        <v>2029</v>
      </c>
      <c r="C358" t="s">
        <v>4043</v>
      </c>
      <c r="D358" t="s">
        <v>4043</v>
      </c>
      <c r="E358" t="s">
        <v>4043</v>
      </c>
      <c r="F358" t="s">
        <v>4043</v>
      </c>
      <c r="G358">
        <v>2032</v>
      </c>
      <c r="H358" t="s">
        <v>4047</v>
      </c>
      <c r="I358" t="s">
        <v>4047</v>
      </c>
      <c r="J358" t="s">
        <v>4047</v>
      </c>
      <c r="K358" t="s">
        <v>4047</v>
      </c>
      <c r="L358">
        <v>2035</v>
      </c>
      <c r="M358" t="s">
        <v>4049</v>
      </c>
      <c r="N358" t="s">
        <v>4049</v>
      </c>
      <c r="O358" t="s">
        <v>4049</v>
      </c>
      <c r="P358" t="s">
        <v>4049</v>
      </c>
    </row>
    <row r="359" spans="1:16" x14ac:dyDescent="0.25">
      <c r="A359" t="s">
        <v>706</v>
      </c>
      <c r="B359">
        <v>2029</v>
      </c>
      <c r="C359" t="s">
        <v>4043</v>
      </c>
      <c r="D359" t="s">
        <v>4043</v>
      </c>
      <c r="E359" t="s">
        <v>4043</v>
      </c>
      <c r="F359" t="s">
        <v>4043</v>
      </c>
      <c r="G359">
        <v>2032</v>
      </c>
      <c r="H359" t="s">
        <v>4047</v>
      </c>
      <c r="I359" t="s">
        <v>4047</v>
      </c>
      <c r="J359" t="s">
        <v>4047</v>
      </c>
      <c r="K359" t="s">
        <v>4047</v>
      </c>
      <c r="L359">
        <v>2035</v>
      </c>
      <c r="M359" t="s">
        <v>4049</v>
      </c>
      <c r="N359" t="s">
        <v>4049</v>
      </c>
      <c r="O359" t="s">
        <v>4049</v>
      </c>
      <c r="P359" t="s">
        <v>4049</v>
      </c>
    </row>
    <row r="360" spans="1:16" x14ac:dyDescent="0.25">
      <c r="A360" t="s">
        <v>372</v>
      </c>
      <c r="B360">
        <v>2029</v>
      </c>
      <c r="C360" t="s">
        <v>4043</v>
      </c>
      <c r="D360" t="s">
        <v>4043</v>
      </c>
      <c r="E360" t="s">
        <v>4043</v>
      </c>
      <c r="F360" t="s">
        <v>4043</v>
      </c>
      <c r="G360">
        <v>2032</v>
      </c>
      <c r="H360" t="s">
        <v>4047</v>
      </c>
      <c r="I360" t="s">
        <v>4047</v>
      </c>
      <c r="J360" t="s">
        <v>4047</v>
      </c>
      <c r="K360" t="s">
        <v>4047</v>
      </c>
      <c r="L360">
        <v>2035</v>
      </c>
      <c r="M360" t="s">
        <v>4049</v>
      </c>
      <c r="N360" t="s">
        <v>4049</v>
      </c>
      <c r="O360" t="s">
        <v>4049</v>
      </c>
      <c r="P360" t="s">
        <v>4049</v>
      </c>
    </row>
    <row r="361" spans="1:16" x14ac:dyDescent="0.25">
      <c r="A361" t="s">
        <v>736</v>
      </c>
      <c r="B361">
        <v>2029</v>
      </c>
      <c r="C361" t="s">
        <v>4043</v>
      </c>
      <c r="D361" t="s">
        <v>4043</v>
      </c>
      <c r="E361" t="s">
        <v>4043</v>
      </c>
      <c r="F361" t="s">
        <v>4043</v>
      </c>
      <c r="G361">
        <v>2032</v>
      </c>
      <c r="H361" t="s">
        <v>4047</v>
      </c>
      <c r="I361" t="s">
        <v>4047</v>
      </c>
      <c r="J361" t="s">
        <v>4047</v>
      </c>
      <c r="K361" t="s">
        <v>4047</v>
      </c>
      <c r="L361">
        <v>2035</v>
      </c>
      <c r="M361" t="s">
        <v>4049</v>
      </c>
      <c r="N361" t="s">
        <v>4049</v>
      </c>
      <c r="O361" t="s">
        <v>4049</v>
      </c>
      <c r="P361" t="s">
        <v>4049</v>
      </c>
    </row>
    <row r="362" spans="1:16" x14ac:dyDescent="0.25">
      <c r="A362" t="s">
        <v>776</v>
      </c>
      <c r="B362">
        <v>2029</v>
      </c>
      <c r="C362" t="s">
        <v>4043</v>
      </c>
      <c r="D362" t="s">
        <v>4043</v>
      </c>
      <c r="E362" t="s">
        <v>4043</v>
      </c>
      <c r="F362" t="s">
        <v>4043</v>
      </c>
      <c r="G362">
        <v>2032</v>
      </c>
      <c r="H362" t="s">
        <v>4047</v>
      </c>
      <c r="I362" t="s">
        <v>4047</v>
      </c>
      <c r="J362" t="s">
        <v>4047</v>
      </c>
      <c r="K362" t="s">
        <v>4047</v>
      </c>
      <c r="L362">
        <v>2035</v>
      </c>
      <c r="M362" t="s">
        <v>4049</v>
      </c>
      <c r="N362" t="s">
        <v>4049</v>
      </c>
      <c r="O362" t="s">
        <v>4049</v>
      </c>
      <c r="P362" t="s">
        <v>4049</v>
      </c>
    </row>
    <row r="363" spans="1:16" x14ac:dyDescent="0.25">
      <c r="A363" t="s">
        <v>684</v>
      </c>
      <c r="B363">
        <v>2029</v>
      </c>
      <c r="C363" t="s">
        <v>4043</v>
      </c>
      <c r="D363" t="s">
        <v>4043</v>
      </c>
      <c r="E363" t="s">
        <v>4043</v>
      </c>
      <c r="F363" t="s">
        <v>4043</v>
      </c>
      <c r="G363">
        <v>2032</v>
      </c>
      <c r="H363" t="s">
        <v>4047</v>
      </c>
      <c r="I363" t="s">
        <v>4047</v>
      </c>
      <c r="J363" t="s">
        <v>4047</v>
      </c>
      <c r="K363" t="s">
        <v>4047</v>
      </c>
      <c r="L363">
        <v>2035</v>
      </c>
      <c r="M363" t="s">
        <v>4049</v>
      </c>
      <c r="N363" t="s">
        <v>4049</v>
      </c>
      <c r="O363" t="s">
        <v>4049</v>
      </c>
      <c r="P363" t="s">
        <v>4049</v>
      </c>
    </row>
    <row r="364" spans="1:16" x14ac:dyDescent="0.25">
      <c r="A364" t="s">
        <v>713</v>
      </c>
      <c r="B364">
        <v>2029</v>
      </c>
      <c r="C364" t="s">
        <v>4043</v>
      </c>
      <c r="D364" t="s">
        <v>4043</v>
      </c>
      <c r="E364" t="s">
        <v>4043</v>
      </c>
      <c r="F364" t="s">
        <v>4043</v>
      </c>
      <c r="G364">
        <v>2032</v>
      </c>
      <c r="H364" t="s">
        <v>4047</v>
      </c>
      <c r="I364" t="s">
        <v>4047</v>
      </c>
      <c r="J364" t="s">
        <v>4047</v>
      </c>
      <c r="K364" t="s">
        <v>4047</v>
      </c>
      <c r="L364">
        <v>2035</v>
      </c>
      <c r="M364" t="s">
        <v>4049</v>
      </c>
      <c r="N364" t="s">
        <v>4049</v>
      </c>
      <c r="O364" t="s">
        <v>4049</v>
      </c>
      <c r="P364" t="s">
        <v>4049</v>
      </c>
    </row>
    <row r="365" spans="1:16" x14ac:dyDescent="0.25">
      <c r="A365" t="s">
        <v>369</v>
      </c>
      <c r="B365">
        <v>2029</v>
      </c>
      <c r="C365" t="s">
        <v>4043</v>
      </c>
      <c r="D365" t="s">
        <v>4043</v>
      </c>
      <c r="E365" t="s">
        <v>4043</v>
      </c>
      <c r="F365" t="s">
        <v>4043</v>
      </c>
      <c r="G365">
        <v>2032</v>
      </c>
      <c r="H365" t="s">
        <v>4047</v>
      </c>
      <c r="I365" t="s">
        <v>4047</v>
      </c>
      <c r="J365" t="s">
        <v>4047</v>
      </c>
      <c r="K365" t="s">
        <v>4047</v>
      </c>
      <c r="L365">
        <v>2035</v>
      </c>
      <c r="M365" t="s">
        <v>4049</v>
      </c>
      <c r="N365" t="s">
        <v>4049</v>
      </c>
      <c r="O365" t="s">
        <v>4049</v>
      </c>
      <c r="P365" t="s">
        <v>4049</v>
      </c>
    </row>
    <row r="366" spans="1:16" x14ac:dyDescent="0.25">
      <c r="A366" t="s">
        <v>782</v>
      </c>
      <c r="B366">
        <v>2029</v>
      </c>
      <c r="C366" t="s">
        <v>4043</v>
      </c>
      <c r="D366" t="s">
        <v>4043</v>
      </c>
      <c r="E366" t="s">
        <v>4043</v>
      </c>
      <c r="F366" t="s">
        <v>4043</v>
      </c>
      <c r="G366">
        <v>2032</v>
      </c>
      <c r="H366" t="s">
        <v>4047</v>
      </c>
      <c r="I366" t="s">
        <v>4047</v>
      </c>
      <c r="J366" t="s">
        <v>4047</v>
      </c>
      <c r="K366" t="s">
        <v>4047</v>
      </c>
      <c r="L366">
        <v>2035</v>
      </c>
      <c r="M366" t="s">
        <v>4049</v>
      </c>
      <c r="N366" t="s">
        <v>4049</v>
      </c>
      <c r="O366" t="s">
        <v>4049</v>
      </c>
      <c r="P366" t="s">
        <v>4049</v>
      </c>
    </row>
    <row r="367" spans="1:16" x14ac:dyDescent="0.25">
      <c r="A367" t="s">
        <v>365</v>
      </c>
      <c r="B367">
        <v>2029</v>
      </c>
      <c r="C367" t="s">
        <v>4043</v>
      </c>
      <c r="D367" t="s">
        <v>4043</v>
      </c>
      <c r="E367" t="s">
        <v>4043</v>
      </c>
      <c r="F367" t="s">
        <v>4043</v>
      </c>
      <c r="G367">
        <v>2032</v>
      </c>
      <c r="H367" t="s">
        <v>4047</v>
      </c>
      <c r="I367" t="s">
        <v>4047</v>
      </c>
      <c r="J367" t="s">
        <v>4047</v>
      </c>
      <c r="K367" t="s">
        <v>4047</v>
      </c>
      <c r="L367">
        <v>2035</v>
      </c>
      <c r="M367" t="s">
        <v>4049</v>
      </c>
      <c r="N367" t="s">
        <v>4049</v>
      </c>
      <c r="O367" t="s">
        <v>4049</v>
      </c>
      <c r="P367" t="s">
        <v>4049</v>
      </c>
    </row>
    <row r="368" spans="1:16" x14ac:dyDescent="0.25">
      <c r="A368" t="s">
        <v>750</v>
      </c>
      <c r="B368">
        <v>2029</v>
      </c>
      <c r="C368" t="s">
        <v>4043</v>
      </c>
      <c r="D368" t="s">
        <v>4043</v>
      </c>
      <c r="E368" t="s">
        <v>4043</v>
      </c>
      <c r="F368" t="s">
        <v>4043</v>
      </c>
      <c r="G368">
        <v>2032</v>
      </c>
      <c r="H368" t="s">
        <v>4047</v>
      </c>
      <c r="I368" t="s">
        <v>4047</v>
      </c>
      <c r="J368" t="s">
        <v>4047</v>
      </c>
      <c r="K368" t="s">
        <v>4047</v>
      </c>
      <c r="L368">
        <v>2035</v>
      </c>
      <c r="M368" t="s">
        <v>4049</v>
      </c>
      <c r="N368" t="s">
        <v>4049</v>
      </c>
      <c r="O368" t="s">
        <v>4049</v>
      </c>
      <c r="P368" t="s">
        <v>4049</v>
      </c>
    </row>
    <row r="369" spans="1:16" x14ac:dyDescent="0.25">
      <c r="A369" t="s">
        <v>764</v>
      </c>
      <c r="B369">
        <v>2029</v>
      </c>
      <c r="C369" t="s">
        <v>4043</v>
      </c>
      <c r="D369" t="s">
        <v>4043</v>
      </c>
      <c r="E369" t="s">
        <v>4043</v>
      </c>
      <c r="F369" t="s">
        <v>4043</v>
      </c>
      <c r="G369">
        <v>2032</v>
      </c>
      <c r="H369" t="s">
        <v>4047</v>
      </c>
      <c r="I369" t="s">
        <v>4047</v>
      </c>
      <c r="J369" t="s">
        <v>4047</v>
      </c>
      <c r="K369" t="s">
        <v>4047</v>
      </c>
      <c r="L369">
        <v>2035</v>
      </c>
      <c r="M369" t="s">
        <v>4049</v>
      </c>
      <c r="N369" t="s">
        <v>4049</v>
      </c>
      <c r="O369" t="s">
        <v>4049</v>
      </c>
      <c r="P369" t="s">
        <v>4049</v>
      </c>
    </row>
    <row r="370" spans="1:16" x14ac:dyDescent="0.25">
      <c r="A370" t="s">
        <v>786</v>
      </c>
      <c r="B370">
        <v>2029</v>
      </c>
      <c r="C370" t="s">
        <v>4043</v>
      </c>
      <c r="D370" t="s">
        <v>4043</v>
      </c>
      <c r="E370" t="s">
        <v>4043</v>
      </c>
      <c r="F370" t="s">
        <v>4043</v>
      </c>
      <c r="G370">
        <v>2032</v>
      </c>
      <c r="H370" t="s">
        <v>4047</v>
      </c>
      <c r="I370" t="s">
        <v>4047</v>
      </c>
      <c r="J370" t="s">
        <v>4047</v>
      </c>
      <c r="K370" t="s">
        <v>4047</v>
      </c>
      <c r="L370">
        <v>2035</v>
      </c>
      <c r="M370" t="s">
        <v>4049</v>
      </c>
      <c r="N370" t="s">
        <v>4049</v>
      </c>
      <c r="O370" t="s">
        <v>4049</v>
      </c>
      <c r="P370" t="s">
        <v>4049</v>
      </c>
    </row>
    <row r="371" spans="1:16" x14ac:dyDescent="0.25">
      <c r="A371" t="s">
        <v>733</v>
      </c>
      <c r="B371">
        <v>2029</v>
      </c>
      <c r="C371" t="s">
        <v>4043</v>
      </c>
      <c r="D371" t="s">
        <v>4043</v>
      </c>
      <c r="E371" t="s">
        <v>4043</v>
      </c>
      <c r="F371" t="s">
        <v>4043</v>
      </c>
      <c r="G371">
        <v>2032</v>
      </c>
      <c r="H371" t="s">
        <v>4047</v>
      </c>
      <c r="I371" t="s">
        <v>4047</v>
      </c>
      <c r="J371" t="s">
        <v>4047</v>
      </c>
      <c r="K371" t="s">
        <v>4047</v>
      </c>
      <c r="L371">
        <v>2035</v>
      </c>
      <c r="M371" t="s">
        <v>4049</v>
      </c>
      <c r="N371" t="s">
        <v>4049</v>
      </c>
      <c r="O371" t="s">
        <v>4049</v>
      </c>
      <c r="P371" t="s">
        <v>4049</v>
      </c>
    </row>
    <row r="372" spans="1:16" x14ac:dyDescent="0.25">
      <c r="A372" t="s">
        <v>664</v>
      </c>
      <c r="B372">
        <v>2029</v>
      </c>
      <c r="C372" t="s">
        <v>4043</v>
      </c>
      <c r="D372" t="s">
        <v>4043</v>
      </c>
      <c r="E372" t="s">
        <v>4043</v>
      </c>
      <c r="F372" t="s">
        <v>4043</v>
      </c>
      <c r="G372">
        <v>2032</v>
      </c>
      <c r="H372" t="s">
        <v>4047</v>
      </c>
      <c r="I372" t="s">
        <v>4047</v>
      </c>
      <c r="J372" t="s">
        <v>4047</v>
      </c>
      <c r="K372" t="s">
        <v>4047</v>
      </c>
      <c r="L372">
        <v>2035</v>
      </c>
      <c r="M372" t="s">
        <v>4049</v>
      </c>
      <c r="N372" t="s">
        <v>4049</v>
      </c>
      <c r="O372" t="s">
        <v>4049</v>
      </c>
      <c r="P372" t="s">
        <v>4049</v>
      </c>
    </row>
    <row r="373" spans="1:16" x14ac:dyDescent="0.25">
      <c r="A373" t="s">
        <v>690</v>
      </c>
      <c r="B373">
        <v>2029</v>
      </c>
      <c r="C373" t="s">
        <v>4043</v>
      </c>
      <c r="D373" t="s">
        <v>4043</v>
      </c>
      <c r="E373" t="s">
        <v>4043</v>
      </c>
      <c r="F373" t="s">
        <v>4043</v>
      </c>
      <c r="G373">
        <v>2032</v>
      </c>
      <c r="H373" t="s">
        <v>4047</v>
      </c>
      <c r="I373" t="s">
        <v>4047</v>
      </c>
      <c r="J373" t="s">
        <v>4047</v>
      </c>
      <c r="K373" t="s">
        <v>4047</v>
      </c>
      <c r="L373">
        <v>2035</v>
      </c>
      <c r="M373" t="s">
        <v>4049</v>
      </c>
      <c r="N373" t="s">
        <v>4049</v>
      </c>
      <c r="O373" t="s">
        <v>4049</v>
      </c>
      <c r="P373" t="s">
        <v>4049</v>
      </c>
    </row>
    <row r="374" spans="1:16" x14ac:dyDescent="0.25">
      <c r="A374" t="s">
        <v>746</v>
      </c>
      <c r="B374">
        <v>2029</v>
      </c>
      <c r="C374" t="s">
        <v>4043</v>
      </c>
      <c r="D374" t="s">
        <v>4043</v>
      </c>
      <c r="E374" t="s">
        <v>4043</v>
      </c>
      <c r="F374" t="s">
        <v>4043</v>
      </c>
      <c r="G374">
        <v>2032</v>
      </c>
      <c r="H374" t="s">
        <v>4047</v>
      </c>
      <c r="I374" t="s">
        <v>4047</v>
      </c>
      <c r="J374" t="s">
        <v>4047</v>
      </c>
      <c r="K374" t="s">
        <v>4047</v>
      </c>
      <c r="L374">
        <v>2035</v>
      </c>
      <c r="M374" t="s">
        <v>4049</v>
      </c>
      <c r="N374" t="s">
        <v>4049</v>
      </c>
      <c r="O374" t="s">
        <v>4049</v>
      </c>
      <c r="P374" t="s">
        <v>4049</v>
      </c>
    </row>
    <row r="375" spans="1:16" x14ac:dyDescent="0.25">
      <c r="A375" t="s">
        <v>717</v>
      </c>
      <c r="B375">
        <v>2029</v>
      </c>
      <c r="C375" t="s">
        <v>4043</v>
      </c>
      <c r="D375" t="s">
        <v>4043</v>
      </c>
      <c r="E375" t="s">
        <v>4043</v>
      </c>
      <c r="F375" t="s">
        <v>4043</v>
      </c>
      <c r="G375">
        <v>2032</v>
      </c>
      <c r="H375" t="s">
        <v>4047</v>
      </c>
      <c r="I375" t="s">
        <v>4047</v>
      </c>
      <c r="J375" t="s">
        <v>4047</v>
      </c>
      <c r="K375" t="s">
        <v>4047</v>
      </c>
      <c r="L375">
        <v>2035</v>
      </c>
      <c r="M375" t="s">
        <v>4049</v>
      </c>
      <c r="N375" t="s">
        <v>4049</v>
      </c>
      <c r="O375" t="s">
        <v>4049</v>
      </c>
      <c r="P375" t="s">
        <v>4049</v>
      </c>
    </row>
    <row r="376" spans="1:16" x14ac:dyDescent="0.25">
      <c r="A376" t="s">
        <v>773</v>
      </c>
      <c r="B376">
        <v>2029</v>
      </c>
      <c r="C376" t="s">
        <v>4043</v>
      </c>
      <c r="D376" t="s">
        <v>4043</v>
      </c>
      <c r="E376" t="s">
        <v>4043</v>
      </c>
      <c r="F376" t="s">
        <v>4043</v>
      </c>
      <c r="G376">
        <v>2032</v>
      </c>
      <c r="H376" t="s">
        <v>4047</v>
      </c>
      <c r="I376" t="s">
        <v>4047</v>
      </c>
      <c r="J376" t="s">
        <v>4047</v>
      </c>
      <c r="K376" t="s">
        <v>4047</v>
      </c>
      <c r="L376">
        <v>2035</v>
      </c>
      <c r="M376" t="s">
        <v>4049</v>
      </c>
      <c r="N376" t="s">
        <v>4049</v>
      </c>
      <c r="O376" t="s">
        <v>4049</v>
      </c>
      <c r="P376" t="s">
        <v>4049</v>
      </c>
    </row>
    <row r="377" spans="1:16" x14ac:dyDescent="0.25">
      <c r="A377" t="s">
        <v>789</v>
      </c>
      <c r="B377">
        <v>2029</v>
      </c>
      <c r="C377" t="s">
        <v>4043</v>
      </c>
      <c r="D377" t="s">
        <v>4043</v>
      </c>
      <c r="E377" t="s">
        <v>4043</v>
      </c>
      <c r="F377" t="s">
        <v>4043</v>
      </c>
      <c r="G377">
        <v>2032</v>
      </c>
      <c r="H377" t="s">
        <v>4047</v>
      </c>
      <c r="I377" t="s">
        <v>4047</v>
      </c>
      <c r="J377" t="s">
        <v>4047</v>
      </c>
      <c r="K377" t="s">
        <v>4047</v>
      </c>
      <c r="L377">
        <v>2035</v>
      </c>
      <c r="M377" t="s">
        <v>4049</v>
      </c>
      <c r="N377" t="s">
        <v>4049</v>
      </c>
      <c r="O377" t="s">
        <v>4049</v>
      </c>
      <c r="P377" t="s">
        <v>4049</v>
      </c>
    </row>
    <row r="378" spans="1:16" x14ac:dyDescent="0.25">
      <c r="A378" t="s">
        <v>755</v>
      </c>
      <c r="B378">
        <v>2029</v>
      </c>
      <c r="C378" t="s">
        <v>4043</v>
      </c>
      <c r="D378" t="s">
        <v>4043</v>
      </c>
      <c r="E378" t="s">
        <v>4043</v>
      </c>
      <c r="F378" t="s">
        <v>4043</v>
      </c>
      <c r="G378">
        <v>2032</v>
      </c>
      <c r="H378" t="s">
        <v>4047</v>
      </c>
      <c r="I378" t="s">
        <v>4047</v>
      </c>
      <c r="J378" t="s">
        <v>4047</v>
      </c>
      <c r="K378" t="s">
        <v>4047</v>
      </c>
      <c r="L378">
        <v>2035</v>
      </c>
      <c r="M378" t="s">
        <v>4049</v>
      </c>
      <c r="N378" t="s">
        <v>4049</v>
      </c>
      <c r="O378" t="s">
        <v>4049</v>
      </c>
      <c r="P378" t="s">
        <v>4049</v>
      </c>
    </row>
    <row r="379" spans="1:16" x14ac:dyDescent="0.25">
      <c r="A379" t="s">
        <v>723</v>
      </c>
      <c r="B379">
        <v>2029</v>
      </c>
      <c r="C379" t="s">
        <v>4043</v>
      </c>
      <c r="D379" t="s">
        <v>4043</v>
      </c>
      <c r="E379" t="s">
        <v>4043</v>
      </c>
      <c r="F379" t="s">
        <v>4043</v>
      </c>
      <c r="G379">
        <v>2032</v>
      </c>
      <c r="H379" t="s">
        <v>4047</v>
      </c>
      <c r="I379" t="s">
        <v>4047</v>
      </c>
      <c r="J379" t="s">
        <v>4047</v>
      </c>
      <c r="K379" t="s">
        <v>4047</v>
      </c>
      <c r="L379">
        <v>2035</v>
      </c>
      <c r="M379" t="s">
        <v>4049</v>
      </c>
      <c r="N379" t="s">
        <v>4049</v>
      </c>
      <c r="O379" t="s">
        <v>4049</v>
      </c>
      <c r="P379" t="s">
        <v>4049</v>
      </c>
    </row>
    <row r="380" spans="1:16" x14ac:dyDescent="0.25">
      <c r="A380" t="s">
        <v>359</v>
      </c>
      <c r="B380">
        <v>2029</v>
      </c>
      <c r="C380" t="s">
        <v>4043</v>
      </c>
      <c r="D380" t="s">
        <v>4043</v>
      </c>
      <c r="E380" t="s">
        <v>4043</v>
      </c>
      <c r="F380" t="s">
        <v>4043</v>
      </c>
      <c r="G380">
        <v>2032</v>
      </c>
      <c r="H380" t="s">
        <v>4047</v>
      </c>
      <c r="I380" t="s">
        <v>4047</v>
      </c>
      <c r="J380" t="s">
        <v>4047</v>
      </c>
      <c r="K380" t="s">
        <v>4047</v>
      </c>
      <c r="L380">
        <v>2035</v>
      </c>
      <c r="M380" t="s">
        <v>4049</v>
      </c>
      <c r="N380" t="s">
        <v>4049</v>
      </c>
      <c r="O380" t="s">
        <v>4049</v>
      </c>
      <c r="P380" t="s">
        <v>4049</v>
      </c>
    </row>
    <row r="381" spans="1:16" x14ac:dyDescent="0.25">
      <c r="A381" t="s">
        <v>703</v>
      </c>
      <c r="B381">
        <v>2029</v>
      </c>
      <c r="C381" t="s">
        <v>4043</v>
      </c>
      <c r="D381" t="s">
        <v>4043</v>
      </c>
      <c r="E381" t="s">
        <v>4043</v>
      </c>
      <c r="F381" t="s">
        <v>4043</v>
      </c>
      <c r="G381">
        <v>2032</v>
      </c>
      <c r="H381" t="s">
        <v>4047</v>
      </c>
      <c r="I381" t="s">
        <v>4047</v>
      </c>
      <c r="J381" t="s">
        <v>4047</v>
      </c>
      <c r="K381" t="s">
        <v>4047</v>
      </c>
      <c r="L381">
        <v>2035</v>
      </c>
      <c r="M381" t="s">
        <v>4049</v>
      </c>
      <c r="N381" t="s">
        <v>4049</v>
      </c>
      <c r="O381" t="s">
        <v>4049</v>
      </c>
      <c r="P381" t="s">
        <v>4049</v>
      </c>
    </row>
    <row r="382" spans="1:16" x14ac:dyDescent="0.25">
      <c r="A382" t="s">
        <v>373</v>
      </c>
      <c r="B382">
        <v>2029</v>
      </c>
      <c r="C382" t="s">
        <v>4043</v>
      </c>
      <c r="D382" t="s">
        <v>4043</v>
      </c>
      <c r="E382" t="s">
        <v>4043</v>
      </c>
      <c r="F382" t="s">
        <v>4043</v>
      </c>
      <c r="G382">
        <v>2032</v>
      </c>
      <c r="H382" t="s">
        <v>4047</v>
      </c>
      <c r="I382" t="s">
        <v>4047</v>
      </c>
      <c r="J382" t="s">
        <v>4047</v>
      </c>
      <c r="K382" t="s">
        <v>4047</v>
      </c>
      <c r="L382">
        <v>2035</v>
      </c>
      <c r="M382" t="s">
        <v>4049</v>
      </c>
      <c r="N382" t="s">
        <v>4049</v>
      </c>
      <c r="O382" t="s">
        <v>4049</v>
      </c>
      <c r="P382" t="s">
        <v>4049</v>
      </c>
    </row>
    <row r="383" spans="1:16" x14ac:dyDescent="0.25">
      <c r="A383" t="s">
        <v>710</v>
      </c>
      <c r="B383">
        <v>2029</v>
      </c>
      <c r="C383" t="s">
        <v>4043</v>
      </c>
      <c r="D383" t="s">
        <v>4043</v>
      </c>
      <c r="E383" t="s">
        <v>4043</v>
      </c>
      <c r="F383" t="s">
        <v>4043</v>
      </c>
      <c r="G383">
        <v>2032</v>
      </c>
      <c r="H383" t="s">
        <v>4047</v>
      </c>
      <c r="I383" t="s">
        <v>4047</v>
      </c>
      <c r="J383" t="s">
        <v>4047</v>
      </c>
      <c r="K383" t="s">
        <v>4047</v>
      </c>
      <c r="L383">
        <v>2035</v>
      </c>
      <c r="M383" t="s">
        <v>4049</v>
      </c>
      <c r="N383" t="s">
        <v>4049</v>
      </c>
      <c r="O383" t="s">
        <v>4049</v>
      </c>
      <c r="P383" t="s">
        <v>4049</v>
      </c>
    </row>
    <row r="384" spans="1:16" x14ac:dyDescent="0.25">
      <c r="A384" t="s">
        <v>686</v>
      </c>
      <c r="B384">
        <v>2029</v>
      </c>
      <c r="C384" t="s">
        <v>4043</v>
      </c>
      <c r="D384" t="s">
        <v>4043</v>
      </c>
      <c r="E384" t="s">
        <v>4043</v>
      </c>
      <c r="F384" t="s">
        <v>4043</v>
      </c>
      <c r="G384">
        <v>2032</v>
      </c>
      <c r="H384" t="s">
        <v>4047</v>
      </c>
      <c r="I384" t="s">
        <v>4047</v>
      </c>
      <c r="J384" t="s">
        <v>4047</v>
      </c>
      <c r="K384" t="s">
        <v>4047</v>
      </c>
      <c r="L384">
        <v>2035</v>
      </c>
      <c r="M384" t="s">
        <v>4049</v>
      </c>
      <c r="N384" t="s">
        <v>4049</v>
      </c>
      <c r="O384" t="s">
        <v>4049</v>
      </c>
      <c r="P384" t="s">
        <v>4049</v>
      </c>
    </row>
    <row r="385" spans="1:16" x14ac:dyDescent="0.25">
      <c r="A385" t="s">
        <v>751</v>
      </c>
      <c r="B385">
        <v>2029</v>
      </c>
      <c r="C385" t="s">
        <v>4043</v>
      </c>
      <c r="D385" t="s">
        <v>4043</v>
      </c>
      <c r="E385" t="s">
        <v>4043</v>
      </c>
      <c r="F385" t="s">
        <v>4043</v>
      </c>
      <c r="G385">
        <v>2032</v>
      </c>
      <c r="H385" t="s">
        <v>4047</v>
      </c>
      <c r="I385" t="s">
        <v>4047</v>
      </c>
      <c r="J385" t="s">
        <v>4047</v>
      </c>
      <c r="K385" t="s">
        <v>4047</v>
      </c>
      <c r="L385">
        <v>2035</v>
      </c>
      <c r="M385" t="s">
        <v>4049</v>
      </c>
      <c r="N385" t="s">
        <v>4049</v>
      </c>
      <c r="O385" t="s">
        <v>4049</v>
      </c>
      <c r="P385" t="s">
        <v>4049</v>
      </c>
    </row>
    <row r="386" spans="1:16" x14ac:dyDescent="0.25">
      <c r="A386" t="s">
        <v>661</v>
      </c>
      <c r="B386">
        <v>2029</v>
      </c>
      <c r="C386" t="s">
        <v>4043</v>
      </c>
      <c r="D386" t="s">
        <v>4043</v>
      </c>
      <c r="E386" t="s">
        <v>4043</v>
      </c>
      <c r="F386" t="s">
        <v>4043</v>
      </c>
      <c r="G386">
        <v>2032</v>
      </c>
      <c r="H386" t="s">
        <v>4047</v>
      </c>
      <c r="I386" t="s">
        <v>4047</v>
      </c>
      <c r="J386" t="s">
        <v>4047</v>
      </c>
      <c r="K386" t="s">
        <v>4047</v>
      </c>
      <c r="L386">
        <v>2035</v>
      </c>
      <c r="M386" t="s">
        <v>4049</v>
      </c>
      <c r="N386" t="s">
        <v>4049</v>
      </c>
      <c r="O386" t="s">
        <v>4049</v>
      </c>
      <c r="P386" t="s">
        <v>4049</v>
      </c>
    </row>
    <row r="387" spans="1:16" x14ac:dyDescent="0.25">
      <c r="A387" t="s">
        <v>674</v>
      </c>
      <c r="B387">
        <v>2029</v>
      </c>
      <c r="C387" t="s">
        <v>4043</v>
      </c>
      <c r="D387" t="s">
        <v>4043</v>
      </c>
      <c r="E387" t="s">
        <v>4043</v>
      </c>
      <c r="F387" t="s">
        <v>4043</v>
      </c>
      <c r="G387">
        <v>2032</v>
      </c>
      <c r="H387" t="s">
        <v>4047</v>
      </c>
      <c r="I387" t="s">
        <v>4047</v>
      </c>
      <c r="J387" t="s">
        <v>4047</v>
      </c>
      <c r="K387" t="s">
        <v>4047</v>
      </c>
      <c r="L387">
        <v>2035</v>
      </c>
      <c r="M387" t="s">
        <v>4049</v>
      </c>
      <c r="N387" t="s">
        <v>4049</v>
      </c>
      <c r="O387" t="s">
        <v>4049</v>
      </c>
      <c r="P387" t="s">
        <v>4049</v>
      </c>
    </row>
    <row r="388" spans="1:16" x14ac:dyDescent="0.25">
      <c r="A388" t="s">
        <v>740</v>
      </c>
      <c r="B388">
        <v>2029</v>
      </c>
      <c r="C388" t="s">
        <v>4043</v>
      </c>
      <c r="D388" t="s">
        <v>4043</v>
      </c>
      <c r="E388" t="s">
        <v>4043</v>
      </c>
      <c r="F388" t="s">
        <v>4043</v>
      </c>
      <c r="G388">
        <v>2032</v>
      </c>
      <c r="H388" t="s">
        <v>4047</v>
      </c>
      <c r="I388" t="s">
        <v>4047</v>
      </c>
      <c r="J388" t="s">
        <v>4047</v>
      </c>
      <c r="K388" t="s">
        <v>4047</v>
      </c>
      <c r="L388">
        <v>2035</v>
      </c>
      <c r="M388" t="s">
        <v>4049</v>
      </c>
      <c r="N388" t="s">
        <v>4049</v>
      </c>
      <c r="O388" t="s">
        <v>4049</v>
      </c>
      <c r="P388" t="s">
        <v>4049</v>
      </c>
    </row>
    <row r="389" spans="1:16" x14ac:dyDescent="0.25">
      <c r="A389" t="s">
        <v>700</v>
      </c>
      <c r="B389">
        <v>2029</v>
      </c>
      <c r="C389" t="s">
        <v>4043</v>
      </c>
      <c r="D389" t="s">
        <v>4043</v>
      </c>
      <c r="E389" t="s">
        <v>4043</v>
      </c>
      <c r="F389" t="s">
        <v>4043</v>
      </c>
      <c r="G389">
        <v>2032</v>
      </c>
      <c r="H389" t="s">
        <v>4047</v>
      </c>
      <c r="I389" t="s">
        <v>4047</v>
      </c>
      <c r="J389" t="s">
        <v>4047</v>
      </c>
      <c r="K389" t="s">
        <v>4047</v>
      </c>
      <c r="L389">
        <v>2035</v>
      </c>
      <c r="M389" t="s">
        <v>4049</v>
      </c>
      <c r="N389" t="s">
        <v>4049</v>
      </c>
      <c r="O389" t="s">
        <v>4049</v>
      </c>
      <c r="P389" t="s">
        <v>4049</v>
      </c>
    </row>
    <row r="390" spans="1:16" x14ac:dyDescent="0.25">
      <c r="A390" t="s">
        <v>767</v>
      </c>
      <c r="B390">
        <v>2029</v>
      </c>
      <c r="C390" t="s">
        <v>4043</v>
      </c>
      <c r="D390" t="s">
        <v>4043</v>
      </c>
      <c r="E390" t="s">
        <v>4043</v>
      </c>
      <c r="F390" t="s">
        <v>4043</v>
      </c>
      <c r="G390">
        <v>2032</v>
      </c>
      <c r="H390" t="s">
        <v>4047</v>
      </c>
      <c r="I390" t="s">
        <v>4047</v>
      </c>
      <c r="J390" t="s">
        <v>4047</v>
      </c>
      <c r="K390" t="s">
        <v>4047</v>
      </c>
      <c r="L390">
        <v>2035</v>
      </c>
      <c r="M390" t="s">
        <v>4049</v>
      </c>
      <c r="N390" t="s">
        <v>4049</v>
      </c>
      <c r="O390" t="s">
        <v>4049</v>
      </c>
      <c r="P390" t="s">
        <v>4049</v>
      </c>
    </row>
    <row r="391" spans="1:16" x14ac:dyDescent="0.25">
      <c r="A391" t="s">
        <v>761</v>
      </c>
      <c r="B391">
        <v>2029</v>
      </c>
      <c r="C391" t="s">
        <v>4043</v>
      </c>
      <c r="D391" t="s">
        <v>4043</v>
      </c>
      <c r="E391" t="s">
        <v>4043</v>
      </c>
      <c r="F391" t="s">
        <v>4043</v>
      </c>
      <c r="G391">
        <v>2032</v>
      </c>
      <c r="H391" t="s">
        <v>4047</v>
      </c>
      <c r="I391" t="s">
        <v>4047</v>
      </c>
      <c r="J391" t="s">
        <v>4047</v>
      </c>
      <c r="K391" t="s">
        <v>4047</v>
      </c>
      <c r="L391">
        <v>2035</v>
      </c>
      <c r="M391" t="s">
        <v>4049</v>
      </c>
      <c r="N391" t="s">
        <v>4049</v>
      </c>
      <c r="O391" t="s">
        <v>4049</v>
      </c>
      <c r="P391" t="s">
        <v>4049</v>
      </c>
    </row>
    <row r="392" spans="1:16" x14ac:dyDescent="0.25">
      <c r="A392" t="s">
        <v>779</v>
      </c>
      <c r="B392">
        <v>2029</v>
      </c>
      <c r="C392" t="s">
        <v>4043</v>
      </c>
      <c r="D392" t="s">
        <v>4043</v>
      </c>
      <c r="E392" t="s">
        <v>4043</v>
      </c>
      <c r="F392" t="s">
        <v>4043</v>
      </c>
      <c r="G392">
        <v>2032</v>
      </c>
      <c r="H392" t="s">
        <v>4047</v>
      </c>
      <c r="I392" t="s">
        <v>4047</v>
      </c>
      <c r="J392" t="s">
        <v>4047</v>
      </c>
      <c r="K392" t="s">
        <v>4047</v>
      </c>
      <c r="L392">
        <v>2035</v>
      </c>
      <c r="M392" t="s">
        <v>4049</v>
      </c>
      <c r="N392" t="s">
        <v>4049</v>
      </c>
      <c r="O392" t="s">
        <v>4049</v>
      </c>
      <c r="P392" t="s">
        <v>4049</v>
      </c>
    </row>
    <row r="393" spans="1:16" x14ac:dyDescent="0.25">
      <c r="A393" t="s">
        <v>707</v>
      </c>
      <c r="B393">
        <v>2029</v>
      </c>
      <c r="C393" t="s">
        <v>4043</v>
      </c>
      <c r="D393" t="s">
        <v>4043</v>
      </c>
      <c r="E393" t="s">
        <v>4043</v>
      </c>
      <c r="F393" t="s">
        <v>4043</v>
      </c>
      <c r="G393">
        <v>2032</v>
      </c>
      <c r="H393" t="s">
        <v>4047</v>
      </c>
      <c r="I393" t="s">
        <v>4047</v>
      </c>
      <c r="J393" t="s">
        <v>4047</v>
      </c>
      <c r="K393" t="s">
        <v>4047</v>
      </c>
      <c r="L393">
        <v>2035</v>
      </c>
      <c r="M393" t="s">
        <v>4049</v>
      </c>
      <c r="N393" t="s">
        <v>4049</v>
      </c>
      <c r="O393" t="s">
        <v>4049</v>
      </c>
      <c r="P393" t="s">
        <v>4049</v>
      </c>
    </row>
    <row r="394" spans="1:16" x14ac:dyDescent="0.25">
      <c r="A394" t="s">
        <v>726</v>
      </c>
      <c r="B394">
        <v>2029</v>
      </c>
      <c r="C394" t="s">
        <v>4043</v>
      </c>
      <c r="D394" t="s">
        <v>4043</v>
      </c>
      <c r="E394" t="s">
        <v>4043</v>
      </c>
      <c r="F394" t="s">
        <v>4043</v>
      </c>
      <c r="G394">
        <v>2032</v>
      </c>
      <c r="H394" t="s">
        <v>4047</v>
      </c>
      <c r="I394" t="s">
        <v>4047</v>
      </c>
      <c r="J394" t="s">
        <v>4047</v>
      </c>
      <c r="K394" t="s">
        <v>4047</v>
      </c>
      <c r="L394">
        <v>2035</v>
      </c>
      <c r="M394" t="s">
        <v>4049</v>
      </c>
      <c r="N394" t="s">
        <v>4049</v>
      </c>
      <c r="O394" t="s">
        <v>4049</v>
      </c>
      <c r="P394" t="s">
        <v>4049</v>
      </c>
    </row>
    <row r="395" spans="1:16" x14ac:dyDescent="0.25">
      <c r="A395" t="s">
        <v>677</v>
      </c>
      <c r="B395">
        <v>2029</v>
      </c>
      <c r="C395" t="s">
        <v>4043</v>
      </c>
      <c r="D395" t="s">
        <v>4043</v>
      </c>
      <c r="E395" t="s">
        <v>4043</v>
      </c>
      <c r="F395" t="s">
        <v>4043</v>
      </c>
      <c r="G395">
        <v>2032</v>
      </c>
      <c r="H395" t="s">
        <v>4047</v>
      </c>
      <c r="I395" t="s">
        <v>4047</v>
      </c>
      <c r="J395" t="s">
        <v>4047</v>
      </c>
      <c r="K395" t="s">
        <v>4047</v>
      </c>
      <c r="L395">
        <v>2035</v>
      </c>
      <c r="M395" t="s">
        <v>4049</v>
      </c>
      <c r="N395" t="s">
        <v>4049</v>
      </c>
      <c r="O395" t="s">
        <v>4049</v>
      </c>
      <c r="P395" t="s">
        <v>4049</v>
      </c>
    </row>
    <row r="396" spans="1:16" x14ac:dyDescent="0.25">
      <c r="A396" t="s">
        <v>671</v>
      </c>
      <c r="B396">
        <v>2029</v>
      </c>
      <c r="C396" t="s">
        <v>4043</v>
      </c>
      <c r="D396" t="s">
        <v>4043</v>
      </c>
      <c r="E396" t="s">
        <v>4043</v>
      </c>
      <c r="F396" t="s">
        <v>4043</v>
      </c>
      <c r="G396">
        <v>2032</v>
      </c>
      <c r="H396" t="s">
        <v>4047</v>
      </c>
      <c r="I396" t="s">
        <v>4047</v>
      </c>
      <c r="J396" t="s">
        <v>4047</v>
      </c>
      <c r="K396" t="s">
        <v>4047</v>
      </c>
      <c r="L396">
        <v>2035</v>
      </c>
      <c r="M396" t="s">
        <v>4049</v>
      </c>
      <c r="N396" t="s">
        <v>4049</v>
      </c>
      <c r="O396" t="s">
        <v>4049</v>
      </c>
      <c r="P396" t="s">
        <v>4049</v>
      </c>
    </row>
    <row r="397" spans="1:16" x14ac:dyDescent="0.25">
      <c r="A397" t="s">
        <v>720</v>
      </c>
      <c r="B397">
        <v>2029</v>
      </c>
      <c r="C397" t="s">
        <v>4043</v>
      </c>
      <c r="D397" t="s">
        <v>4043</v>
      </c>
      <c r="E397" t="s">
        <v>4043</v>
      </c>
      <c r="F397" t="s">
        <v>4043</v>
      </c>
      <c r="G397">
        <v>2032</v>
      </c>
      <c r="H397" t="s">
        <v>4047</v>
      </c>
      <c r="I397" t="s">
        <v>4047</v>
      </c>
      <c r="J397" t="s">
        <v>4047</v>
      </c>
      <c r="K397" t="s">
        <v>4047</v>
      </c>
      <c r="L397">
        <v>2035</v>
      </c>
      <c r="M397" t="s">
        <v>4049</v>
      </c>
      <c r="N397" t="s">
        <v>4049</v>
      </c>
      <c r="O397" t="s">
        <v>4049</v>
      </c>
      <c r="P397" t="s">
        <v>4049</v>
      </c>
    </row>
    <row r="398" spans="1:16" x14ac:dyDescent="0.25">
      <c r="A398" t="s">
        <v>758</v>
      </c>
      <c r="B398">
        <v>2029</v>
      </c>
      <c r="C398" t="s">
        <v>4043</v>
      </c>
      <c r="D398" t="s">
        <v>4043</v>
      </c>
      <c r="E398" t="s">
        <v>4043</v>
      </c>
      <c r="F398" t="s">
        <v>4043</v>
      </c>
      <c r="G398">
        <v>2032</v>
      </c>
      <c r="H398" t="s">
        <v>4047</v>
      </c>
      <c r="I398" t="s">
        <v>4047</v>
      </c>
      <c r="J398" t="s">
        <v>4047</v>
      </c>
      <c r="K398" t="s">
        <v>4047</v>
      </c>
      <c r="L398">
        <v>2035</v>
      </c>
      <c r="M398" t="s">
        <v>4049</v>
      </c>
      <c r="N398" t="s">
        <v>4049</v>
      </c>
      <c r="O398" t="s">
        <v>4049</v>
      </c>
      <c r="P398" t="s">
        <v>4049</v>
      </c>
    </row>
    <row r="399" spans="1:16" x14ac:dyDescent="0.25">
      <c r="A399" t="s">
        <v>683</v>
      </c>
      <c r="B399">
        <v>2029</v>
      </c>
      <c r="C399" t="s">
        <v>4043</v>
      </c>
      <c r="D399" t="s">
        <v>4043</v>
      </c>
      <c r="E399" t="s">
        <v>4043</v>
      </c>
      <c r="F399" t="s">
        <v>4043</v>
      </c>
      <c r="G399">
        <v>2032</v>
      </c>
      <c r="H399" t="s">
        <v>4047</v>
      </c>
      <c r="I399" t="s">
        <v>4047</v>
      </c>
      <c r="J399" t="s">
        <v>4047</v>
      </c>
      <c r="K399" t="s">
        <v>4047</v>
      </c>
      <c r="L399">
        <v>2035</v>
      </c>
      <c r="M399" t="s">
        <v>4049</v>
      </c>
      <c r="N399" t="s">
        <v>4049</v>
      </c>
      <c r="O399" t="s">
        <v>4049</v>
      </c>
      <c r="P399" t="s">
        <v>4049</v>
      </c>
    </row>
    <row r="400" spans="1:16" x14ac:dyDescent="0.25">
      <c r="A400" t="s">
        <v>693</v>
      </c>
      <c r="B400">
        <v>2029</v>
      </c>
      <c r="C400" t="s">
        <v>4043</v>
      </c>
      <c r="D400" t="s">
        <v>4043</v>
      </c>
      <c r="E400" t="s">
        <v>4043</v>
      </c>
      <c r="F400" t="s">
        <v>4043</v>
      </c>
      <c r="G400">
        <v>2032</v>
      </c>
      <c r="H400" t="s">
        <v>4047</v>
      </c>
      <c r="I400" t="s">
        <v>4047</v>
      </c>
      <c r="J400" t="s">
        <v>4047</v>
      </c>
      <c r="K400" t="s">
        <v>4047</v>
      </c>
      <c r="L400">
        <v>2035</v>
      </c>
      <c r="M400" t="s">
        <v>4049</v>
      </c>
      <c r="N400" t="s">
        <v>4049</v>
      </c>
      <c r="O400" t="s">
        <v>4049</v>
      </c>
      <c r="P400" t="s">
        <v>4049</v>
      </c>
    </row>
    <row r="401" spans="1:16" x14ac:dyDescent="0.25">
      <c r="A401" t="s">
        <v>1334</v>
      </c>
      <c r="B401">
        <v>2030</v>
      </c>
      <c r="C401" t="s">
        <v>4044</v>
      </c>
      <c r="D401" t="s">
        <v>4044</v>
      </c>
      <c r="E401" t="s">
        <v>4044</v>
      </c>
      <c r="F401" t="s">
        <v>4044</v>
      </c>
      <c r="G401">
        <v>2033</v>
      </c>
      <c r="H401" t="s">
        <v>4048</v>
      </c>
      <c r="I401" t="s">
        <v>4048</v>
      </c>
      <c r="J401" t="s">
        <v>4048</v>
      </c>
      <c r="K401" t="s">
        <v>4048</v>
      </c>
      <c r="L401">
        <v>2036</v>
      </c>
      <c r="M401" t="s">
        <v>4052</v>
      </c>
      <c r="N401" t="s">
        <v>4052</v>
      </c>
      <c r="O401" t="s">
        <v>4052</v>
      </c>
      <c r="P401" t="s">
        <v>4052</v>
      </c>
    </row>
    <row r="402" spans="1:16" x14ac:dyDescent="0.25">
      <c r="A402" t="s">
        <v>830</v>
      </c>
      <c r="B402">
        <v>2030</v>
      </c>
      <c r="C402" t="s">
        <v>4044</v>
      </c>
      <c r="D402" t="s">
        <v>4044</v>
      </c>
      <c r="E402" t="s">
        <v>4044</v>
      </c>
      <c r="F402" t="s">
        <v>4044</v>
      </c>
      <c r="G402">
        <v>2033</v>
      </c>
      <c r="H402" t="s">
        <v>4048</v>
      </c>
      <c r="I402" t="s">
        <v>4048</v>
      </c>
      <c r="J402" t="s">
        <v>4048</v>
      </c>
      <c r="K402" t="s">
        <v>4048</v>
      </c>
      <c r="L402">
        <v>2036</v>
      </c>
      <c r="M402" t="s">
        <v>4052</v>
      </c>
      <c r="N402" t="s">
        <v>4052</v>
      </c>
      <c r="O402" t="s">
        <v>4052</v>
      </c>
      <c r="P402" t="s">
        <v>4052</v>
      </c>
    </row>
    <row r="403" spans="1:16" x14ac:dyDescent="0.25">
      <c r="A403" t="s">
        <v>852</v>
      </c>
      <c r="B403">
        <v>2030</v>
      </c>
      <c r="C403" t="s">
        <v>4044</v>
      </c>
      <c r="D403" t="s">
        <v>4044</v>
      </c>
      <c r="E403" t="s">
        <v>4044</v>
      </c>
      <c r="F403" t="s">
        <v>4044</v>
      </c>
      <c r="G403">
        <v>2033</v>
      </c>
      <c r="H403" t="s">
        <v>4048</v>
      </c>
      <c r="I403" t="s">
        <v>4048</v>
      </c>
      <c r="J403" t="s">
        <v>4048</v>
      </c>
      <c r="K403" t="s">
        <v>4048</v>
      </c>
      <c r="L403">
        <v>2036</v>
      </c>
      <c r="M403" t="s">
        <v>4052</v>
      </c>
      <c r="N403" t="s">
        <v>4052</v>
      </c>
      <c r="O403" t="s">
        <v>4052</v>
      </c>
      <c r="P403" t="s">
        <v>4052</v>
      </c>
    </row>
    <row r="404" spans="1:16" x14ac:dyDescent="0.25">
      <c r="A404" t="s">
        <v>823</v>
      </c>
      <c r="B404">
        <v>2030</v>
      </c>
      <c r="C404" t="s">
        <v>4044</v>
      </c>
      <c r="D404" t="s">
        <v>4044</v>
      </c>
      <c r="E404" t="s">
        <v>4044</v>
      </c>
      <c r="F404" t="s">
        <v>4044</v>
      </c>
      <c r="G404">
        <v>2033</v>
      </c>
      <c r="H404" t="s">
        <v>4048</v>
      </c>
      <c r="I404" t="s">
        <v>4048</v>
      </c>
      <c r="J404" t="s">
        <v>4048</v>
      </c>
      <c r="K404" t="s">
        <v>4048</v>
      </c>
      <c r="L404">
        <v>2036</v>
      </c>
      <c r="M404" t="s">
        <v>4052</v>
      </c>
      <c r="N404" t="s">
        <v>4052</v>
      </c>
      <c r="O404" t="s">
        <v>4052</v>
      </c>
      <c r="P404" t="s">
        <v>4052</v>
      </c>
    </row>
    <row r="405" spans="1:16" x14ac:dyDescent="0.25">
      <c r="A405" t="s">
        <v>837</v>
      </c>
      <c r="B405">
        <v>2030</v>
      </c>
      <c r="C405" t="s">
        <v>4044</v>
      </c>
      <c r="D405" t="s">
        <v>4044</v>
      </c>
      <c r="E405" t="s">
        <v>4044</v>
      </c>
      <c r="F405" t="s">
        <v>4044</v>
      </c>
      <c r="G405">
        <v>2033</v>
      </c>
      <c r="H405" t="s">
        <v>4048</v>
      </c>
      <c r="I405" t="s">
        <v>4048</v>
      </c>
      <c r="J405" t="s">
        <v>4048</v>
      </c>
      <c r="K405" t="s">
        <v>4048</v>
      </c>
      <c r="L405">
        <v>2036</v>
      </c>
      <c r="M405" t="s">
        <v>4052</v>
      </c>
      <c r="N405" t="s">
        <v>4052</v>
      </c>
      <c r="O405" t="s">
        <v>4052</v>
      </c>
      <c r="P405" t="s">
        <v>4052</v>
      </c>
    </row>
    <row r="406" spans="1:16" x14ac:dyDescent="0.25">
      <c r="A406" t="s">
        <v>833</v>
      </c>
      <c r="B406">
        <v>2030</v>
      </c>
      <c r="C406" t="s">
        <v>4044</v>
      </c>
      <c r="D406" t="s">
        <v>4044</v>
      </c>
      <c r="E406" t="s">
        <v>4044</v>
      </c>
      <c r="F406" t="s">
        <v>4044</v>
      </c>
      <c r="G406">
        <v>2033</v>
      </c>
      <c r="H406" t="s">
        <v>4048</v>
      </c>
      <c r="I406" t="s">
        <v>4048</v>
      </c>
      <c r="J406" t="s">
        <v>4048</v>
      </c>
      <c r="K406" t="s">
        <v>4048</v>
      </c>
      <c r="L406">
        <v>2036</v>
      </c>
      <c r="M406" t="s">
        <v>4052</v>
      </c>
      <c r="N406" t="s">
        <v>4052</v>
      </c>
      <c r="O406" t="s">
        <v>4052</v>
      </c>
      <c r="P406" t="s">
        <v>4052</v>
      </c>
    </row>
    <row r="407" spans="1:16" x14ac:dyDescent="0.25">
      <c r="A407" t="s">
        <v>820</v>
      </c>
      <c r="B407">
        <v>2030</v>
      </c>
      <c r="C407" t="s">
        <v>4044</v>
      </c>
      <c r="D407" t="s">
        <v>4044</v>
      </c>
      <c r="E407" t="s">
        <v>4044</v>
      </c>
      <c r="F407" t="s">
        <v>4044</v>
      </c>
      <c r="G407">
        <v>2033</v>
      </c>
      <c r="H407" t="s">
        <v>4048</v>
      </c>
      <c r="I407" t="s">
        <v>4048</v>
      </c>
      <c r="J407" t="s">
        <v>4048</v>
      </c>
      <c r="K407" t="s">
        <v>4048</v>
      </c>
      <c r="L407">
        <v>2036</v>
      </c>
      <c r="M407" t="s">
        <v>4052</v>
      </c>
      <c r="N407" t="s">
        <v>4052</v>
      </c>
      <c r="O407" t="s">
        <v>4052</v>
      </c>
      <c r="P407" t="s">
        <v>4052</v>
      </c>
    </row>
    <row r="408" spans="1:16" x14ac:dyDescent="0.25">
      <c r="A408" t="s">
        <v>1330</v>
      </c>
      <c r="B408">
        <v>2030</v>
      </c>
      <c r="C408" t="s">
        <v>4044</v>
      </c>
      <c r="D408" t="s">
        <v>4044</v>
      </c>
      <c r="E408" t="s">
        <v>4044</v>
      </c>
      <c r="F408" t="s">
        <v>4044</v>
      </c>
      <c r="G408">
        <v>2033</v>
      </c>
      <c r="H408" t="s">
        <v>4048</v>
      </c>
      <c r="I408" t="s">
        <v>4048</v>
      </c>
      <c r="J408" t="s">
        <v>4048</v>
      </c>
      <c r="K408" t="s">
        <v>4048</v>
      </c>
      <c r="L408">
        <v>2036</v>
      </c>
      <c r="M408" t="s">
        <v>4052</v>
      </c>
      <c r="N408" t="s">
        <v>4052</v>
      </c>
      <c r="O408" t="s">
        <v>4052</v>
      </c>
      <c r="P408" t="s">
        <v>4052</v>
      </c>
    </row>
    <row r="409" spans="1:16" x14ac:dyDescent="0.25">
      <c r="A409" t="s">
        <v>376</v>
      </c>
      <c r="B409">
        <v>2030</v>
      </c>
      <c r="C409" t="s">
        <v>4044</v>
      </c>
      <c r="D409" t="s">
        <v>4044</v>
      </c>
      <c r="E409" t="s">
        <v>4044</v>
      </c>
      <c r="F409" t="s">
        <v>4044</v>
      </c>
      <c r="G409">
        <v>2033</v>
      </c>
      <c r="H409" t="s">
        <v>4048</v>
      </c>
      <c r="I409" t="s">
        <v>4048</v>
      </c>
      <c r="J409" t="s">
        <v>4048</v>
      </c>
      <c r="K409" t="s">
        <v>4048</v>
      </c>
      <c r="L409">
        <v>2036</v>
      </c>
      <c r="M409" t="s">
        <v>4052</v>
      </c>
      <c r="N409" t="s">
        <v>4052</v>
      </c>
      <c r="O409" t="s">
        <v>4052</v>
      </c>
      <c r="P409" t="s">
        <v>4052</v>
      </c>
    </row>
    <row r="410" spans="1:16" x14ac:dyDescent="0.25">
      <c r="A410" t="s">
        <v>1328</v>
      </c>
      <c r="B410">
        <v>2030</v>
      </c>
      <c r="C410" t="s">
        <v>4044</v>
      </c>
      <c r="D410" t="s">
        <v>4044</v>
      </c>
      <c r="E410" t="s">
        <v>4044</v>
      </c>
      <c r="F410" t="s">
        <v>4044</v>
      </c>
      <c r="G410">
        <v>2033</v>
      </c>
      <c r="H410" t="s">
        <v>4048</v>
      </c>
      <c r="I410" t="s">
        <v>4048</v>
      </c>
      <c r="J410" t="s">
        <v>4048</v>
      </c>
      <c r="K410" t="s">
        <v>4048</v>
      </c>
      <c r="L410">
        <v>2036</v>
      </c>
      <c r="M410" t="s">
        <v>4052</v>
      </c>
      <c r="N410" t="s">
        <v>4052</v>
      </c>
      <c r="O410" t="s">
        <v>4052</v>
      </c>
      <c r="P410" t="s">
        <v>4052</v>
      </c>
    </row>
    <row r="411" spans="1:16" x14ac:dyDescent="0.25">
      <c r="A411" t="s">
        <v>846</v>
      </c>
      <c r="B411">
        <v>2030</v>
      </c>
      <c r="C411" t="s">
        <v>4044</v>
      </c>
      <c r="D411" t="s">
        <v>4044</v>
      </c>
      <c r="E411" t="s">
        <v>4044</v>
      </c>
      <c r="F411" t="s">
        <v>4044</v>
      </c>
      <c r="G411">
        <v>2033</v>
      </c>
      <c r="H411" t="s">
        <v>4048</v>
      </c>
      <c r="I411" t="s">
        <v>4048</v>
      </c>
      <c r="J411" t="s">
        <v>4048</v>
      </c>
      <c r="K411" t="s">
        <v>4048</v>
      </c>
      <c r="L411">
        <v>2036</v>
      </c>
      <c r="M411" t="s">
        <v>4052</v>
      </c>
      <c r="N411" t="s">
        <v>4052</v>
      </c>
      <c r="O411" t="s">
        <v>4052</v>
      </c>
      <c r="P411" t="s">
        <v>4052</v>
      </c>
    </row>
    <row r="412" spans="1:16" x14ac:dyDescent="0.25">
      <c r="A412" t="s">
        <v>796</v>
      </c>
      <c r="B412">
        <v>2030</v>
      </c>
      <c r="C412" t="s">
        <v>4044</v>
      </c>
      <c r="D412" t="s">
        <v>4044</v>
      </c>
      <c r="E412" t="s">
        <v>4044</v>
      </c>
      <c r="F412" t="s">
        <v>4044</v>
      </c>
      <c r="G412">
        <v>2033</v>
      </c>
      <c r="H412" t="s">
        <v>4048</v>
      </c>
      <c r="I412" t="s">
        <v>4048</v>
      </c>
      <c r="J412" t="s">
        <v>4048</v>
      </c>
      <c r="K412" t="s">
        <v>4048</v>
      </c>
      <c r="L412">
        <v>2036</v>
      </c>
      <c r="M412" t="s">
        <v>4052</v>
      </c>
      <c r="N412" t="s">
        <v>4052</v>
      </c>
      <c r="O412" t="s">
        <v>4052</v>
      </c>
      <c r="P412" t="s">
        <v>4052</v>
      </c>
    </row>
    <row r="413" spans="1:16" x14ac:dyDescent="0.25">
      <c r="A413" t="s">
        <v>817</v>
      </c>
      <c r="B413">
        <v>2030</v>
      </c>
      <c r="C413" t="s">
        <v>4044</v>
      </c>
      <c r="D413" t="s">
        <v>4044</v>
      </c>
      <c r="E413" t="s">
        <v>4044</v>
      </c>
      <c r="F413" t="s">
        <v>4044</v>
      </c>
      <c r="G413">
        <v>2033</v>
      </c>
      <c r="H413" t="s">
        <v>4048</v>
      </c>
      <c r="I413" t="s">
        <v>4048</v>
      </c>
      <c r="J413" t="s">
        <v>4048</v>
      </c>
      <c r="K413" t="s">
        <v>4048</v>
      </c>
      <c r="L413">
        <v>2036</v>
      </c>
      <c r="M413" t="s">
        <v>4052</v>
      </c>
      <c r="N413" t="s">
        <v>4052</v>
      </c>
      <c r="O413" t="s">
        <v>4052</v>
      </c>
      <c r="P413" t="s">
        <v>4052</v>
      </c>
    </row>
    <row r="414" spans="1:16" x14ac:dyDescent="0.25">
      <c r="A414" t="s">
        <v>843</v>
      </c>
      <c r="B414">
        <v>2030</v>
      </c>
      <c r="C414" t="s">
        <v>4044</v>
      </c>
      <c r="D414" t="s">
        <v>4044</v>
      </c>
      <c r="E414" t="s">
        <v>4044</v>
      </c>
      <c r="F414" t="s">
        <v>4044</v>
      </c>
      <c r="G414">
        <v>2033</v>
      </c>
      <c r="H414" t="s">
        <v>4048</v>
      </c>
      <c r="I414" t="s">
        <v>4048</v>
      </c>
      <c r="J414" t="s">
        <v>4048</v>
      </c>
      <c r="K414" t="s">
        <v>4048</v>
      </c>
      <c r="L414">
        <v>2036</v>
      </c>
      <c r="M414" t="s">
        <v>4052</v>
      </c>
      <c r="N414" t="s">
        <v>4052</v>
      </c>
      <c r="O414" t="s">
        <v>4052</v>
      </c>
      <c r="P414" t="s">
        <v>4052</v>
      </c>
    </row>
    <row r="415" spans="1:16" x14ac:dyDescent="0.25">
      <c r="A415" t="s">
        <v>813</v>
      </c>
      <c r="B415">
        <v>2030</v>
      </c>
      <c r="C415" t="s">
        <v>4044</v>
      </c>
      <c r="D415" t="s">
        <v>4044</v>
      </c>
      <c r="E415" t="s">
        <v>4044</v>
      </c>
      <c r="F415" t="s">
        <v>4044</v>
      </c>
      <c r="G415">
        <v>2033</v>
      </c>
      <c r="H415" t="s">
        <v>4048</v>
      </c>
      <c r="I415" t="s">
        <v>4048</v>
      </c>
      <c r="J415" t="s">
        <v>4048</v>
      </c>
      <c r="K415" t="s">
        <v>4048</v>
      </c>
      <c r="L415">
        <v>2036</v>
      </c>
      <c r="M415" t="s">
        <v>4052</v>
      </c>
      <c r="N415" t="s">
        <v>4052</v>
      </c>
      <c r="O415" t="s">
        <v>4052</v>
      </c>
      <c r="P415" t="s">
        <v>4052</v>
      </c>
    </row>
    <row r="416" spans="1:16" x14ac:dyDescent="0.25">
      <c r="A416" t="s">
        <v>849</v>
      </c>
      <c r="B416">
        <v>2030</v>
      </c>
      <c r="C416" t="s">
        <v>4044</v>
      </c>
      <c r="D416" t="s">
        <v>4044</v>
      </c>
      <c r="E416" t="s">
        <v>4044</v>
      </c>
      <c r="F416" t="s">
        <v>4044</v>
      </c>
      <c r="G416">
        <v>2033</v>
      </c>
      <c r="H416" t="s">
        <v>4048</v>
      </c>
      <c r="I416" t="s">
        <v>4048</v>
      </c>
      <c r="J416" t="s">
        <v>4048</v>
      </c>
      <c r="K416" t="s">
        <v>4048</v>
      </c>
      <c r="L416">
        <v>2036</v>
      </c>
      <c r="M416" t="s">
        <v>4052</v>
      </c>
      <c r="N416" t="s">
        <v>4052</v>
      </c>
      <c r="O416" t="s">
        <v>4052</v>
      </c>
      <c r="P416" t="s">
        <v>4052</v>
      </c>
    </row>
    <row r="417" spans="1:16" x14ac:dyDescent="0.25">
      <c r="A417" t="s">
        <v>1329</v>
      </c>
      <c r="B417">
        <v>2030</v>
      </c>
      <c r="C417" t="s">
        <v>4044</v>
      </c>
      <c r="D417" t="s">
        <v>4044</v>
      </c>
      <c r="E417" t="s">
        <v>4044</v>
      </c>
      <c r="F417" t="s">
        <v>4044</v>
      </c>
      <c r="G417">
        <v>2033</v>
      </c>
      <c r="H417" t="s">
        <v>4048</v>
      </c>
      <c r="I417" t="s">
        <v>4048</v>
      </c>
      <c r="J417" t="s">
        <v>4048</v>
      </c>
      <c r="K417" t="s">
        <v>4048</v>
      </c>
      <c r="L417">
        <v>2036</v>
      </c>
      <c r="M417" t="s">
        <v>4052</v>
      </c>
      <c r="N417" t="s">
        <v>4052</v>
      </c>
      <c r="O417" t="s">
        <v>4052</v>
      </c>
      <c r="P417" t="s">
        <v>4052</v>
      </c>
    </row>
    <row r="418" spans="1:16" x14ac:dyDescent="0.25">
      <c r="A418" t="s">
        <v>815</v>
      </c>
      <c r="B418">
        <v>2030</v>
      </c>
      <c r="C418" t="s">
        <v>4044</v>
      </c>
      <c r="D418" t="s">
        <v>4044</v>
      </c>
      <c r="E418" t="s">
        <v>4044</v>
      </c>
      <c r="F418" t="s">
        <v>4044</v>
      </c>
      <c r="G418">
        <v>2033</v>
      </c>
      <c r="H418" t="s">
        <v>4048</v>
      </c>
      <c r="I418" t="s">
        <v>4048</v>
      </c>
      <c r="J418" t="s">
        <v>4048</v>
      </c>
      <c r="K418" t="s">
        <v>4048</v>
      </c>
      <c r="L418">
        <v>2036</v>
      </c>
      <c r="M418" t="s">
        <v>4052</v>
      </c>
      <c r="N418" t="s">
        <v>4052</v>
      </c>
      <c r="O418" t="s">
        <v>4052</v>
      </c>
      <c r="P418" t="s">
        <v>4052</v>
      </c>
    </row>
    <row r="419" spans="1:16" x14ac:dyDescent="0.25">
      <c r="A419" t="s">
        <v>1338</v>
      </c>
      <c r="B419">
        <v>2030</v>
      </c>
      <c r="C419" t="s">
        <v>4044</v>
      </c>
      <c r="D419" t="s">
        <v>4044</v>
      </c>
      <c r="E419" t="s">
        <v>4044</v>
      </c>
      <c r="F419" t="s">
        <v>4044</v>
      </c>
      <c r="G419">
        <v>2033</v>
      </c>
      <c r="H419" t="s">
        <v>4048</v>
      </c>
      <c r="I419" t="s">
        <v>4048</v>
      </c>
      <c r="J419" t="s">
        <v>4048</v>
      </c>
      <c r="K419" t="s">
        <v>4048</v>
      </c>
      <c r="L419">
        <v>2036</v>
      </c>
      <c r="M419" t="s">
        <v>4052</v>
      </c>
      <c r="N419" t="s">
        <v>4052</v>
      </c>
      <c r="O419" t="s">
        <v>4052</v>
      </c>
      <c r="P419" t="s">
        <v>4052</v>
      </c>
    </row>
    <row r="420" spans="1:16" x14ac:dyDescent="0.25">
      <c r="A420" t="s">
        <v>840</v>
      </c>
      <c r="B420">
        <v>2030</v>
      </c>
      <c r="C420" t="s">
        <v>4044</v>
      </c>
      <c r="D420" t="s">
        <v>4044</v>
      </c>
      <c r="E420" t="s">
        <v>4044</v>
      </c>
      <c r="F420" t="s">
        <v>4044</v>
      </c>
      <c r="G420">
        <v>2033</v>
      </c>
      <c r="H420" t="s">
        <v>4048</v>
      </c>
      <c r="I420" t="s">
        <v>4048</v>
      </c>
      <c r="J420" t="s">
        <v>4048</v>
      </c>
      <c r="K420" t="s">
        <v>4048</v>
      </c>
      <c r="L420">
        <v>2036</v>
      </c>
      <c r="M420" t="s">
        <v>4052</v>
      </c>
      <c r="N420" t="s">
        <v>4052</v>
      </c>
      <c r="O420" t="s">
        <v>4052</v>
      </c>
      <c r="P420" t="s">
        <v>4052</v>
      </c>
    </row>
    <row r="421" spans="1:16" x14ac:dyDescent="0.25">
      <c r="A421" t="s">
        <v>792</v>
      </c>
      <c r="B421">
        <v>2030</v>
      </c>
      <c r="C421" t="s">
        <v>4044</v>
      </c>
      <c r="D421" t="s">
        <v>4044</v>
      </c>
      <c r="E421" t="s">
        <v>4044</v>
      </c>
      <c r="F421" t="s">
        <v>4044</v>
      </c>
      <c r="G421">
        <v>2033</v>
      </c>
      <c r="H421" t="s">
        <v>4048</v>
      </c>
      <c r="I421" t="s">
        <v>4048</v>
      </c>
      <c r="J421" t="s">
        <v>4048</v>
      </c>
      <c r="K421" t="s">
        <v>4048</v>
      </c>
      <c r="L421">
        <v>2036</v>
      </c>
      <c r="M421" t="s">
        <v>4052</v>
      </c>
      <c r="N421" t="s">
        <v>4052</v>
      </c>
      <c r="O421" t="s">
        <v>4052</v>
      </c>
      <c r="P421" t="s">
        <v>4052</v>
      </c>
    </row>
    <row r="422" spans="1:16" x14ac:dyDescent="0.25">
      <c r="A422" t="s">
        <v>4053</v>
      </c>
      <c r="B422">
        <v>2030</v>
      </c>
      <c r="C422" t="s">
        <v>4044</v>
      </c>
      <c r="D422" t="s">
        <v>4044</v>
      </c>
      <c r="E422" t="s">
        <v>4044</v>
      </c>
      <c r="F422" t="s">
        <v>4044</v>
      </c>
      <c r="G422">
        <v>2033</v>
      </c>
      <c r="H422" t="s">
        <v>4048</v>
      </c>
      <c r="I422" t="s">
        <v>4048</v>
      </c>
      <c r="J422" t="s">
        <v>4048</v>
      </c>
      <c r="K422" t="s">
        <v>4048</v>
      </c>
      <c r="L422">
        <v>2036</v>
      </c>
      <c r="M422" t="s">
        <v>4052</v>
      </c>
      <c r="N422" t="s">
        <v>4052</v>
      </c>
      <c r="O422" t="s">
        <v>4052</v>
      </c>
      <c r="P422" t="s">
        <v>4052</v>
      </c>
    </row>
    <row r="423" spans="1:16" x14ac:dyDescent="0.25">
      <c r="A423" t="s">
        <v>816</v>
      </c>
      <c r="B423">
        <v>2030</v>
      </c>
      <c r="C423" t="s">
        <v>4044</v>
      </c>
      <c r="D423" t="s">
        <v>4044</v>
      </c>
      <c r="E423" t="s">
        <v>4044</v>
      </c>
      <c r="F423" t="s">
        <v>4044</v>
      </c>
      <c r="G423">
        <v>2033</v>
      </c>
      <c r="H423" t="s">
        <v>4048</v>
      </c>
      <c r="I423" t="s">
        <v>4048</v>
      </c>
      <c r="J423" t="s">
        <v>4048</v>
      </c>
      <c r="K423" t="s">
        <v>4048</v>
      </c>
      <c r="L423">
        <v>2036</v>
      </c>
      <c r="M423" t="s">
        <v>4052</v>
      </c>
      <c r="N423" t="s">
        <v>4052</v>
      </c>
      <c r="O423" t="s">
        <v>4052</v>
      </c>
      <c r="P423" t="s">
        <v>4052</v>
      </c>
    </row>
    <row r="424" spans="1:16" x14ac:dyDescent="0.25">
      <c r="A424" t="s">
        <v>797</v>
      </c>
      <c r="B424">
        <v>2030</v>
      </c>
      <c r="C424" t="s">
        <v>4044</v>
      </c>
      <c r="D424" t="s">
        <v>4044</v>
      </c>
      <c r="E424" t="s">
        <v>4044</v>
      </c>
      <c r="F424" t="s">
        <v>4044</v>
      </c>
      <c r="G424">
        <v>2033</v>
      </c>
      <c r="H424" t="s">
        <v>4048</v>
      </c>
      <c r="I424" t="s">
        <v>4048</v>
      </c>
      <c r="J424" t="s">
        <v>4048</v>
      </c>
      <c r="K424" t="s">
        <v>4048</v>
      </c>
      <c r="L424">
        <v>2036</v>
      </c>
      <c r="M424" t="s">
        <v>4052</v>
      </c>
      <c r="N424" t="s">
        <v>4052</v>
      </c>
      <c r="O424" t="s">
        <v>4052</v>
      </c>
      <c r="P424" t="s">
        <v>4052</v>
      </c>
    </row>
    <row r="425" spans="1:16" x14ac:dyDescent="0.25">
      <c r="A425" t="s">
        <v>808</v>
      </c>
      <c r="B425">
        <v>2030</v>
      </c>
      <c r="C425" t="s">
        <v>4044</v>
      </c>
      <c r="D425" t="s">
        <v>4044</v>
      </c>
      <c r="E425" t="s">
        <v>4044</v>
      </c>
      <c r="F425" t="s">
        <v>4044</v>
      </c>
      <c r="G425">
        <v>2033</v>
      </c>
      <c r="H425" t="s">
        <v>4048</v>
      </c>
      <c r="I425" t="s">
        <v>4048</v>
      </c>
      <c r="J425" t="s">
        <v>4048</v>
      </c>
      <c r="K425" t="s">
        <v>4048</v>
      </c>
      <c r="L425">
        <v>2036</v>
      </c>
      <c r="M425" t="s">
        <v>4052</v>
      </c>
      <c r="N425" t="s">
        <v>4052</v>
      </c>
      <c r="O425" t="s">
        <v>4052</v>
      </c>
      <c r="P425" t="s">
        <v>4052</v>
      </c>
    </row>
    <row r="426" spans="1:16" x14ac:dyDescent="0.25">
      <c r="A426" t="s">
        <v>805</v>
      </c>
      <c r="B426">
        <v>2030</v>
      </c>
      <c r="C426" t="s">
        <v>4044</v>
      </c>
      <c r="D426" t="s">
        <v>4044</v>
      </c>
      <c r="E426" t="s">
        <v>4044</v>
      </c>
      <c r="F426" t="s">
        <v>4044</v>
      </c>
      <c r="G426">
        <v>2033</v>
      </c>
      <c r="H426" t="s">
        <v>4048</v>
      </c>
      <c r="I426" t="s">
        <v>4048</v>
      </c>
      <c r="J426" t="s">
        <v>4048</v>
      </c>
      <c r="K426" t="s">
        <v>4048</v>
      </c>
      <c r="L426">
        <v>2036</v>
      </c>
      <c r="M426" t="s">
        <v>4052</v>
      </c>
      <c r="N426" t="s">
        <v>4052</v>
      </c>
      <c r="O426" t="s">
        <v>4052</v>
      </c>
      <c r="P426" t="s">
        <v>4052</v>
      </c>
    </row>
    <row r="427" spans="1:16" x14ac:dyDescent="0.25">
      <c r="A427" t="s">
        <v>826</v>
      </c>
      <c r="B427">
        <v>2030</v>
      </c>
      <c r="C427" t="s">
        <v>4044</v>
      </c>
      <c r="D427" t="s">
        <v>4044</v>
      </c>
      <c r="E427" t="s">
        <v>4044</v>
      </c>
      <c r="F427" t="s">
        <v>4044</v>
      </c>
      <c r="G427">
        <v>2033</v>
      </c>
      <c r="H427" t="s">
        <v>4048</v>
      </c>
      <c r="I427" t="s">
        <v>4048</v>
      </c>
      <c r="J427" t="s">
        <v>4048</v>
      </c>
      <c r="K427" t="s">
        <v>4048</v>
      </c>
      <c r="L427">
        <v>2036</v>
      </c>
      <c r="M427" t="s">
        <v>4052</v>
      </c>
      <c r="N427" t="s">
        <v>4052</v>
      </c>
      <c r="O427" t="s">
        <v>4052</v>
      </c>
      <c r="P427" t="s">
        <v>4052</v>
      </c>
    </row>
    <row r="428" spans="1:16" x14ac:dyDescent="0.25">
      <c r="A428" t="s">
        <v>798</v>
      </c>
      <c r="B428">
        <v>2030</v>
      </c>
      <c r="C428" t="s">
        <v>4044</v>
      </c>
      <c r="D428" t="s">
        <v>4044</v>
      </c>
      <c r="E428" t="s">
        <v>4044</v>
      </c>
      <c r="F428" t="s">
        <v>4044</v>
      </c>
      <c r="G428">
        <v>2033</v>
      </c>
      <c r="H428" t="s">
        <v>4048</v>
      </c>
      <c r="I428" t="s">
        <v>4048</v>
      </c>
      <c r="J428" t="s">
        <v>4048</v>
      </c>
      <c r="K428" t="s">
        <v>4048</v>
      </c>
      <c r="L428">
        <v>2036</v>
      </c>
      <c r="M428" t="s">
        <v>4052</v>
      </c>
      <c r="N428" t="s">
        <v>4052</v>
      </c>
      <c r="O428" t="s">
        <v>4052</v>
      </c>
      <c r="P428" t="s">
        <v>4052</v>
      </c>
    </row>
    <row r="429" spans="1:16" x14ac:dyDescent="0.25">
      <c r="A429" t="s">
        <v>802</v>
      </c>
      <c r="B429">
        <v>2030</v>
      </c>
      <c r="C429" t="s">
        <v>4044</v>
      </c>
      <c r="D429" t="s">
        <v>4044</v>
      </c>
      <c r="E429" t="s">
        <v>4044</v>
      </c>
      <c r="F429" t="s">
        <v>4044</v>
      </c>
      <c r="G429">
        <v>2033</v>
      </c>
      <c r="H429" t="s">
        <v>4048</v>
      </c>
      <c r="I429" t="s">
        <v>4048</v>
      </c>
      <c r="J429" t="s">
        <v>4048</v>
      </c>
      <c r="K429" t="s">
        <v>4048</v>
      </c>
      <c r="L429">
        <v>2036</v>
      </c>
      <c r="M429" t="s">
        <v>4052</v>
      </c>
      <c r="N429" t="s">
        <v>4052</v>
      </c>
      <c r="O429" t="s">
        <v>4052</v>
      </c>
      <c r="P429" t="s">
        <v>4052</v>
      </c>
    </row>
    <row r="430" spans="1:16" x14ac:dyDescent="0.25">
      <c r="A430" t="s">
        <v>814</v>
      </c>
      <c r="B430">
        <v>2030</v>
      </c>
      <c r="C430" t="s">
        <v>4044</v>
      </c>
      <c r="D430" t="s">
        <v>4044</v>
      </c>
      <c r="E430" t="s">
        <v>4044</v>
      </c>
      <c r="F430" t="s">
        <v>4044</v>
      </c>
      <c r="G430">
        <v>2033</v>
      </c>
      <c r="H430" t="s">
        <v>4048</v>
      </c>
      <c r="I430" t="s">
        <v>4048</v>
      </c>
      <c r="J430" t="s">
        <v>4048</v>
      </c>
      <c r="K430" t="s">
        <v>4048</v>
      </c>
      <c r="L430">
        <v>2036</v>
      </c>
      <c r="M430" t="s">
        <v>4052</v>
      </c>
      <c r="N430" t="s">
        <v>4052</v>
      </c>
      <c r="O430" t="s">
        <v>4052</v>
      </c>
      <c r="P430" t="s">
        <v>4052</v>
      </c>
    </row>
    <row r="431" spans="1:16" x14ac:dyDescent="0.25">
      <c r="A431" t="s">
        <v>801</v>
      </c>
      <c r="B431">
        <v>2030</v>
      </c>
      <c r="C431" t="s">
        <v>4044</v>
      </c>
      <c r="D431" t="s">
        <v>4044</v>
      </c>
      <c r="E431" t="s">
        <v>4044</v>
      </c>
      <c r="F431" t="s">
        <v>4044</v>
      </c>
      <c r="G431">
        <v>2033</v>
      </c>
      <c r="H431" t="s">
        <v>4048</v>
      </c>
      <c r="I431" t="s">
        <v>4048</v>
      </c>
      <c r="J431" t="s">
        <v>4048</v>
      </c>
      <c r="K431" t="s">
        <v>4048</v>
      </c>
      <c r="L431">
        <v>2036</v>
      </c>
      <c r="M431" t="s">
        <v>4052</v>
      </c>
      <c r="N431" t="s">
        <v>4052</v>
      </c>
      <c r="O431" t="s">
        <v>4052</v>
      </c>
      <c r="P431" t="s">
        <v>4052</v>
      </c>
    </row>
    <row r="432" spans="1:16" x14ac:dyDescent="0.25">
      <c r="A432" t="s">
        <v>1070</v>
      </c>
      <c r="B432">
        <v>2025</v>
      </c>
      <c r="G432">
        <v>2028</v>
      </c>
      <c r="H432" t="s">
        <v>4042</v>
      </c>
      <c r="I432" t="s">
        <v>4042</v>
      </c>
      <c r="J432" t="s">
        <v>4042</v>
      </c>
      <c r="K432" t="s">
        <v>4042</v>
      </c>
      <c r="L432">
        <v>2031</v>
      </c>
      <c r="M432" t="s">
        <v>4045</v>
      </c>
      <c r="N432" t="s">
        <v>4045</v>
      </c>
      <c r="O432" t="s">
        <v>4045</v>
      </c>
      <c r="P432" t="s">
        <v>4045</v>
      </c>
    </row>
    <row r="433" spans="1:16" x14ac:dyDescent="0.25">
      <c r="A433" t="s">
        <v>961</v>
      </c>
      <c r="B433">
        <v>2024</v>
      </c>
      <c r="G433">
        <v>2027</v>
      </c>
      <c r="H433" t="s">
        <v>4046</v>
      </c>
      <c r="I433" t="s">
        <v>4046</v>
      </c>
      <c r="J433" t="s">
        <v>4046</v>
      </c>
      <c r="K433" t="s">
        <v>4046</v>
      </c>
      <c r="L433">
        <v>2030</v>
      </c>
      <c r="M433" t="s">
        <v>4044</v>
      </c>
      <c r="N433" t="s">
        <v>4044</v>
      </c>
      <c r="O433" t="s">
        <v>4044</v>
      </c>
      <c r="P433" t="s">
        <v>4044</v>
      </c>
    </row>
    <row r="434" spans="1:16" x14ac:dyDescent="0.25">
      <c r="A434" t="s">
        <v>453</v>
      </c>
      <c r="B434">
        <v>2025</v>
      </c>
      <c r="G434">
        <v>2028</v>
      </c>
      <c r="H434" t="s">
        <v>4042</v>
      </c>
      <c r="I434" t="s">
        <v>4042</v>
      </c>
      <c r="J434" t="s">
        <v>4042</v>
      </c>
      <c r="K434" t="s">
        <v>4042</v>
      </c>
      <c r="L434">
        <v>2031</v>
      </c>
      <c r="M434" t="s">
        <v>4045</v>
      </c>
      <c r="N434" t="s">
        <v>4045</v>
      </c>
      <c r="O434" t="s">
        <v>4045</v>
      </c>
      <c r="P434" t="s">
        <v>4045</v>
      </c>
    </row>
    <row r="435" spans="1:16" x14ac:dyDescent="0.25">
      <c r="A435" t="s">
        <v>855</v>
      </c>
      <c r="B435">
        <v>2020</v>
      </c>
      <c r="G435">
        <v>2023</v>
      </c>
      <c r="L435">
        <v>2026</v>
      </c>
      <c r="M435" t="s">
        <v>4051</v>
      </c>
      <c r="N435" t="s">
        <v>4051</v>
      </c>
      <c r="O435" t="s">
        <v>4051</v>
      </c>
      <c r="P435" t="s">
        <v>4051</v>
      </c>
    </row>
    <row r="436" spans="1:16" x14ac:dyDescent="0.25">
      <c r="A436" t="s">
        <v>994</v>
      </c>
      <c r="B436">
        <v>2024</v>
      </c>
      <c r="G436">
        <v>2027</v>
      </c>
      <c r="H436" t="s">
        <v>4046</v>
      </c>
      <c r="I436" t="s">
        <v>4046</v>
      </c>
      <c r="J436" t="s">
        <v>4046</v>
      </c>
      <c r="K436" t="s">
        <v>4046</v>
      </c>
      <c r="L436">
        <v>2030</v>
      </c>
      <c r="M436" t="s">
        <v>4044</v>
      </c>
      <c r="N436" t="s">
        <v>4044</v>
      </c>
      <c r="O436" t="s">
        <v>4044</v>
      </c>
      <c r="P436" t="s">
        <v>4044</v>
      </c>
    </row>
    <row r="437" spans="1:16" x14ac:dyDescent="0.25">
      <c r="A437" t="s">
        <v>958</v>
      </c>
      <c r="B437">
        <v>2024</v>
      </c>
      <c r="G437">
        <v>2027</v>
      </c>
      <c r="H437" t="s">
        <v>4046</v>
      </c>
      <c r="I437" t="s">
        <v>4046</v>
      </c>
      <c r="J437" t="s">
        <v>4046</v>
      </c>
      <c r="K437" t="s">
        <v>4046</v>
      </c>
      <c r="L437">
        <v>2030</v>
      </c>
      <c r="M437" t="s">
        <v>4044</v>
      </c>
      <c r="N437" t="s">
        <v>4044</v>
      </c>
      <c r="O437" t="s">
        <v>4044</v>
      </c>
      <c r="P437" t="s">
        <v>4044</v>
      </c>
    </row>
    <row r="438" spans="1:16" x14ac:dyDescent="0.25">
      <c r="A438" t="s">
        <v>981</v>
      </c>
      <c r="B438">
        <v>2024</v>
      </c>
      <c r="G438">
        <v>2027</v>
      </c>
      <c r="H438" t="s">
        <v>4046</v>
      </c>
      <c r="I438" t="s">
        <v>4046</v>
      </c>
      <c r="J438" t="s">
        <v>4046</v>
      </c>
      <c r="K438" t="s">
        <v>4046</v>
      </c>
      <c r="L438">
        <v>2030</v>
      </c>
      <c r="M438" t="s">
        <v>4044</v>
      </c>
      <c r="N438" t="s">
        <v>4044</v>
      </c>
      <c r="O438" t="s">
        <v>4044</v>
      </c>
      <c r="P438" t="s">
        <v>4044</v>
      </c>
    </row>
    <row r="439" spans="1:16" x14ac:dyDescent="0.25">
      <c r="A439" t="s">
        <v>1010</v>
      </c>
      <c r="B439">
        <v>2025</v>
      </c>
      <c r="G439">
        <v>2028</v>
      </c>
      <c r="H439" t="s">
        <v>4042</v>
      </c>
      <c r="I439" t="s">
        <v>4042</v>
      </c>
      <c r="J439" t="s">
        <v>4042</v>
      </c>
      <c r="K439" t="s">
        <v>4042</v>
      </c>
      <c r="L439">
        <v>2031</v>
      </c>
      <c r="M439" t="s">
        <v>4045</v>
      </c>
      <c r="N439" t="s">
        <v>4045</v>
      </c>
      <c r="O439" t="s">
        <v>4045</v>
      </c>
      <c r="P439" t="s">
        <v>4045</v>
      </c>
    </row>
    <row r="440" spans="1:16" x14ac:dyDescent="0.25">
      <c r="A440" t="s">
        <v>142</v>
      </c>
      <c r="B440">
        <v>2025</v>
      </c>
      <c r="G440">
        <v>2028</v>
      </c>
      <c r="H440" t="s">
        <v>4042</v>
      </c>
      <c r="I440" t="s">
        <v>4042</v>
      </c>
      <c r="J440" t="s">
        <v>4042</v>
      </c>
      <c r="K440" t="s">
        <v>4042</v>
      </c>
      <c r="L440">
        <v>2031</v>
      </c>
      <c r="M440" t="s">
        <v>4045</v>
      </c>
      <c r="N440" t="s">
        <v>4045</v>
      </c>
      <c r="O440" t="s">
        <v>4045</v>
      </c>
      <c r="P440" t="s">
        <v>4045</v>
      </c>
    </row>
    <row r="441" spans="1:16" x14ac:dyDescent="0.25">
      <c r="A441" t="s">
        <v>1003</v>
      </c>
      <c r="B441">
        <v>2025</v>
      </c>
      <c r="G441">
        <v>2028</v>
      </c>
      <c r="H441" t="s">
        <v>4042</v>
      </c>
      <c r="I441" t="s">
        <v>4042</v>
      </c>
      <c r="J441" t="s">
        <v>4042</v>
      </c>
      <c r="K441" t="s">
        <v>4042</v>
      </c>
      <c r="L441">
        <v>2031</v>
      </c>
      <c r="M441" t="s">
        <v>4045</v>
      </c>
      <c r="N441" t="s">
        <v>4045</v>
      </c>
      <c r="O441" t="s">
        <v>4045</v>
      </c>
      <c r="P441" t="s">
        <v>4045</v>
      </c>
    </row>
    <row r="442" spans="1:16" x14ac:dyDescent="0.25">
      <c r="A442" t="s">
        <v>1076</v>
      </c>
      <c r="B442">
        <v>2025</v>
      </c>
      <c r="G442">
        <v>2028</v>
      </c>
      <c r="H442" t="s">
        <v>4042</v>
      </c>
      <c r="I442" t="s">
        <v>4042</v>
      </c>
      <c r="J442" t="s">
        <v>4042</v>
      </c>
      <c r="K442" t="s">
        <v>4042</v>
      </c>
      <c r="L442">
        <v>2031</v>
      </c>
      <c r="M442" t="s">
        <v>4045</v>
      </c>
      <c r="N442" t="s">
        <v>4045</v>
      </c>
      <c r="O442" t="s">
        <v>4045</v>
      </c>
      <c r="P442" t="s">
        <v>4045</v>
      </c>
    </row>
    <row r="443" spans="1:16" x14ac:dyDescent="0.25">
      <c r="A443" t="s">
        <v>975</v>
      </c>
      <c r="B443">
        <v>2024</v>
      </c>
      <c r="G443">
        <v>2027</v>
      </c>
      <c r="H443" t="s">
        <v>4046</v>
      </c>
      <c r="I443" t="s">
        <v>4046</v>
      </c>
      <c r="J443" t="s">
        <v>4046</v>
      </c>
      <c r="K443" t="s">
        <v>4046</v>
      </c>
      <c r="L443">
        <v>2030</v>
      </c>
      <c r="M443" t="s">
        <v>4044</v>
      </c>
      <c r="N443" t="s">
        <v>4044</v>
      </c>
      <c r="O443" t="s">
        <v>4044</v>
      </c>
      <c r="P443" t="s">
        <v>4044</v>
      </c>
    </row>
    <row r="444" spans="1:16" x14ac:dyDescent="0.25">
      <c r="A444" t="s">
        <v>159</v>
      </c>
      <c r="B444">
        <v>2025</v>
      </c>
      <c r="G444">
        <v>2028</v>
      </c>
      <c r="H444" t="s">
        <v>4042</v>
      </c>
      <c r="I444" t="s">
        <v>4042</v>
      </c>
      <c r="J444" t="s">
        <v>4042</v>
      </c>
      <c r="K444" t="s">
        <v>4042</v>
      </c>
      <c r="L444">
        <v>2031</v>
      </c>
      <c r="M444" t="s">
        <v>4045</v>
      </c>
      <c r="N444" t="s">
        <v>4045</v>
      </c>
      <c r="O444" t="s">
        <v>4045</v>
      </c>
      <c r="P444" t="s">
        <v>4045</v>
      </c>
    </row>
    <row r="445" spans="1:16" x14ac:dyDescent="0.25">
      <c r="A445" t="s">
        <v>1101</v>
      </c>
      <c r="B445">
        <v>2025</v>
      </c>
      <c r="G445">
        <v>2028</v>
      </c>
      <c r="H445" t="s">
        <v>4042</v>
      </c>
      <c r="I445" t="s">
        <v>4042</v>
      </c>
      <c r="J445" t="s">
        <v>4042</v>
      </c>
      <c r="K445" t="s">
        <v>4042</v>
      </c>
      <c r="L445">
        <v>2031</v>
      </c>
      <c r="M445" t="s">
        <v>4045</v>
      </c>
      <c r="N445" t="s">
        <v>4045</v>
      </c>
      <c r="O445" t="s">
        <v>4045</v>
      </c>
      <c r="P445" t="s">
        <v>4045</v>
      </c>
    </row>
    <row r="446" spans="1:16" x14ac:dyDescent="0.25">
      <c r="A446" t="s">
        <v>1020</v>
      </c>
      <c r="B446">
        <v>2025</v>
      </c>
      <c r="G446">
        <v>2028</v>
      </c>
      <c r="H446" t="s">
        <v>4042</v>
      </c>
      <c r="I446" t="s">
        <v>4042</v>
      </c>
      <c r="J446" t="s">
        <v>4042</v>
      </c>
      <c r="K446" t="s">
        <v>4042</v>
      </c>
      <c r="L446">
        <v>2031</v>
      </c>
      <c r="M446" t="s">
        <v>4045</v>
      </c>
      <c r="N446" t="s">
        <v>4045</v>
      </c>
      <c r="O446" t="s">
        <v>4045</v>
      </c>
      <c r="P446" t="s">
        <v>4045</v>
      </c>
    </row>
    <row r="447" spans="1:16" x14ac:dyDescent="0.25">
      <c r="A447" t="s">
        <v>519</v>
      </c>
      <c r="B447">
        <v>2025</v>
      </c>
      <c r="G447">
        <v>2028</v>
      </c>
      <c r="H447" t="s">
        <v>4042</v>
      </c>
      <c r="I447" t="s">
        <v>4042</v>
      </c>
      <c r="J447" t="s">
        <v>4042</v>
      </c>
      <c r="K447" t="s">
        <v>4042</v>
      </c>
      <c r="L447">
        <v>2031</v>
      </c>
      <c r="M447" t="s">
        <v>4045</v>
      </c>
      <c r="N447" t="s">
        <v>4045</v>
      </c>
      <c r="O447" t="s">
        <v>4045</v>
      </c>
      <c r="P447" t="s">
        <v>4045</v>
      </c>
    </row>
    <row r="448" spans="1:16" x14ac:dyDescent="0.25">
      <c r="A448" t="s">
        <v>1086</v>
      </c>
      <c r="B448">
        <v>2025</v>
      </c>
      <c r="G448">
        <v>2028</v>
      </c>
      <c r="H448" t="s">
        <v>4042</v>
      </c>
      <c r="I448" t="s">
        <v>4042</v>
      </c>
      <c r="J448" t="s">
        <v>4042</v>
      </c>
      <c r="K448" t="s">
        <v>4042</v>
      </c>
      <c r="L448">
        <v>2031</v>
      </c>
      <c r="M448" t="s">
        <v>4045</v>
      </c>
      <c r="N448" t="s">
        <v>4045</v>
      </c>
      <c r="O448" t="s">
        <v>4045</v>
      </c>
      <c r="P448" t="s">
        <v>4045</v>
      </c>
    </row>
    <row r="449" spans="1:16" x14ac:dyDescent="0.25">
      <c r="A449" t="s">
        <v>1053</v>
      </c>
      <c r="B449">
        <v>2025</v>
      </c>
      <c r="G449">
        <v>2028</v>
      </c>
      <c r="H449" t="s">
        <v>4042</v>
      </c>
      <c r="I449" t="s">
        <v>4042</v>
      </c>
      <c r="J449" t="s">
        <v>4042</v>
      </c>
      <c r="K449" t="s">
        <v>4042</v>
      </c>
      <c r="L449">
        <v>2031</v>
      </c>
      <c r="M449" t="s">
        <v>4045</v>
      </c>
      <c r="N449" t="s">
        <v>4045</v>
      </c>
      <c r="O449" t="s">
        <v>4045</v>
      </c>
      <c r="P449" t="s">
        <v>4045</v>
      </c>
    </row>
    <row r="450" spans="1:16" x14ac:dyDescent="0.25">
      <c r="A450" t="s">
        <v>971</v>
      </c>
      <c r="B450">
        <v>2024</v>
      </c>
      <c r="G450">
        <v>2027</v>
      </c>
      <c r="H450" t="s">
        <v>4046</v>
      </c>
      <c r="I450" t="s">
        <v>4046</v>
      </c>
      <c r="J450" t="s">
        <v>4046</v>
      </c>
      <c r="K450" t="s">
        <v>4046</v>
      </c>
      <c r="L450">
        <v>2030</v>
      </c>
      <c r="M450" t="s">
        <v>4044</v>
      </c>
      <c r="N450" t="s">
        <v>4044</v>
      </c>
      <c r="O450" t="s">
        <v>4044</v>
      </c>
      <c r="P450" t="s">
        <v>4044</v>
      </c>
    </row>
    <row r="451" spans="1:16" x14ac:dyDescent="0.25">
      <c r="A451" t="s">
        <v>1089</v>
      </c>
      <c r="B451">
        <v>2025</v>
      </c>
      <c r="G451">
        <v>2028</v>
      </c>
      <c r="H451" t="s">
        <v>4042</v>
      </c>
      <c r="I451" t="s">
        <v>4042</v>
      </c>
      <c r="J451" t="s">
        <v>4042</v>
      </c>
      <c r="K451" t="s">
        <v>4042</v>
      </c>
      <c r="L451">
        <v>2031</v>
      </c>
      <c r="M451" t="s">
        <v>4045</v>
      </c>
      <c r="N451" t="s">
        <v>4045</v>
      </c>
      <c r="O451" t="s">
        <v>4045</v>
      </c>
      <c r="P451" t="s">
        <v>4045</v>
      </c>
    </row>
    <row r="452" spans="1:16" x14ac:dyDescent="0.25">
      <c r="A452" t="s">
        <v>1031</v>
      </c>
      <c r="B452">
        <v>2025</v>
      </c>
      <c r="G452">
        <v>2028</v>
      </c>
      <c r="H452" t="s">
        <v>4042</v>
      </c>
      <c r="I452" t="s">
        <v>4042</v>
      </c>
      <c r="J452" t="s">
        <v>4042</v>
      </c>
      <c r="K452" t="s">
        <v>4042</v>
      </c>
      <c r="L452">
        <v>2031</v>
      </c>
      <c r="M452" t="s">
        <v>4045</v>
      </c>
      <c r="N452" t="s">
        <v>4045</v>
      </c>
      <c r="O452" t="s">
        <v>4045</v>
      </c>
      <c r="P452" t="s">
        <v>4045</v>
      </c>
    </row>
    <row r="453" spans="1:16" x14ac:dyDescent="0.25">
      <c r="A453" t="s">
        <v>1104</v>
      </c>
      <c r="B453">
        <v>2025</v>
      </c>
      <c r="G453">
        <v>2028</v>
      </c>
      <c r="H453" t="s">
        <v>4042</v>
      </c>
      <c r="I453" t="s">
        <v>4042</v>
      </c>
      <c r="J453" t="s">
        <v>4042</v>
      </c>
      <c r="K453" t="s">
        <v>4042</v>
      </c>
      <c r="L453">
        <v>2031</v>
      </c>
      <c r="M453" t="s">
        <v>4045</v>
      </c>
      <c r="N453" t="s">
        <v>4045</v>
      </c>
      <c r="O453" t="s">
        <v>4045</v>
      </c>
      <c r="P453" t="s">
        <v>4045</v>
      </c>
    </row>
    <row r="454" spans="1:16" x14ac:dyDescent="0.25">
      <c r="A454" t="s">
        <v>1036</v>
      </c>
      <c r="B454">
        <v>2025</v>
      </c>
      <c r="G454">
        <v>2028</v>
      </c>
      <c r="H454" t="s">
        <v>4042</v>
      </c>
      <c r="I454" t="s">
        <v>4042</v>
      </c>
      <c r="J454" t="s">
        <v>4042</v>
      </c>
      <c r="K454" t="s">
        <v>4042</v>
      </c>
      <c r="L454">
        <v>2031</v>
      </c>
      <c r="M454" t="s">
        <v>4045</v>
      </c>
      <c r="N454" t="s">
        <v>4045</v>
      </c>
      <c r="O454" t="s">
        <v>4045</v>
      </c>
      <c r="P454" t="s">
        <v>4045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BB3A51E5AD4D4D98B9A4964A218B95" ma:contentTypeVersion="19" ma:contentTypeDescription="Create a new document." ma:contentTypeScope="" ma:versionID="1816f4878b9efabfb79dc23ae277844a">
  <xsd:schema xmlns:xsd="http://www.w3.org/2001/XMLSchema" xmlns:xs="http://www.w3.org/2001/XMLSchema" xmlns:p="http://schemas.microsoft.com/office/2006/metadata/properties" xmlns:ns2="b8d541d1-2725-4224-9516-b59f9479c403" xmlns:ns3="4d1d17b2-9aa2-41f1-81df-02da6823d8aa" targetNamespace="http://schemas.microsoft.com/office/2006/metadata/properties" ma:root="true" ma:fieldsID="171cda4fb0378600514581d524975022" ns2:_="" ns3:_="">
    <xsd:import namespace="b8d541d1-2725-4224-9516-b59f9479c403"/>
    <xsd:import namespace="4d1d17b2-9aa2-41f1-81df-02da6823d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541d1-2725-4224-9516-b59f9479c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d79e82-57fe-44a2-bea2-5a40538086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d17b2-9aa2-41f1-81df-02da6823d8a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8d26379-84a6-48e6-b8e1-662732b4aa62}" ma:internalName="TaxCatchAll" ma:showField="CatchAllData" ma:web="4d1d17b2-9aa2-41f1-81df-02da6823d8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d541d1-2725-4224-9516-b59f9479c403">
      <Terms xmlns="http://schemas.microsoft.com/office/infopath/2007/PartnerControls"/>
    </lcf76f155ced4ddcb4097134ff3c332f>
    <TaxCatchAll xmlns="4d1d17b2-9aa2-41f1-81df-02da6823d8aa" xsi:nil="true"/>
  </documentManagement>
</p:properties>
</file>

<file path=customXml/itemProps1.xml><?xml version="1.0" encoding="utf-8"?>
<ds:datastoreItem xmlns:ds="http://schemas.openxmlformats.org/officeDocument/2006/customXml" ds:itemID="{C30CD1FA-D769-482E-9DF4-EC176A553C7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9F5ED02-ABE2-4618-BD0F-13C2F1CD2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d541d1-2725-4224-9516-b59f9479c403"/>
    <ds:schemaRef ds:uri="4d1d17b2-9aa2-41f1-81df-02da6823d8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0ED114-1022-4285-A849-9DC8507CAB6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7A63C81-0BED-45A4-A1B8-9CA8964C7DDC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4d1d17b2-9aa2-41f1-81df-02da6823d8aa"/>
    <ds:schemaRef ds:uri="http://purl.org/dc/dcmitype/"/>
    <ds:schemaRef ds:uri="b8d541d1-2725-4224-9516-b59f9479c40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Active Farmers Query</vt:lpstr>
      <vt:lpstr>cat_functions</vt:lpstr>
      <vt:lpstr>CTI</vt:lpstr>
      <vt:lpstr>FPI</vt:lpstr>
      <vt:lpstr>CA</vt:lpstr>
      <vt:lpstr>CRC</vt:lpstr>
      <vt:lpstr>IMC</vt:lpstr>
      <vt:lpstr>IM</vt:lpstr>
      <vt:lpstr>CR_summary</vt:lpstr>
      <vt:lpstr>CR_TS</vt:lpstr>
      <vt:lpstr>SMA</vt:lpstr>
      <vt:lpstr>master_inventories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Lopez Moyao</cp:lastModifiedBy>
  <dcterms:created xsi:type="dcterms:W3CDTF">2025-12-05T20:45:36Z</dcterms:created>
  <dcterms:modified xsi:type="dcterms:W3CDTF">2025-12-18T01:47:40Z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0x010100A4BB3A51E5AD4D4D98B9A4964A218B95</vt:lpwstr>
  </property>
</Properties>
</file>